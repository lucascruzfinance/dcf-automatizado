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4.xml" ContentType="application/vnd.openxmlformats-officedocument.drawing+xml"/>
  <Override PartName="/xl/comments8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h\Downloads\Nova pasta\"/>
    </mc:Choice>
  </mc:AlternateContent>
  <xr:revisionPtr revIDLastSave="0" documentId="8_{03C0A341-DE43-44B7-BF58-6280E17FBC41}" xr6:coauthVersionLast="47" xr6:coauthVersionMax="47" xr10:uidLastSave="{00000000-0000-0000-0000-000000000000}"/>
  <bookViews>
    <workbookView xWindow="-110" yWindow="-110" windowWidth="19420" windowHeight="11500" xr2:uid="{D3E7C759-5D4C-4635-AC91-7F4A2FF5C943}"/>
  </bookViews>
  <sheets>
    <sheet name="Modelo" sheetId="8" r:id="rId1"/>
    <sheet name="FCFF" sheetId="12" r:id="rId2"/>
    <sheet name="Multiplos" sheetId="13" r:id="rId3"/>
    <sheet name="Buildup da Receita" sheetId="1" r:id="rId4"/>
    <sheet name="Inputs - BP" sheetId="9" r:id="rId5"/>
    <sheet name="Inputs - DRE" sheetId="10" r:id="rId6"/>
    <sheet name="Inputs - Operacionais" sheetId="11" r:id="rId7"/>
    <sheet name="Projeções Macro" sheetId="2" r:id="rId8"/>
    <sheet name="Unit Direcional" sheetId="3" r:id="rId9"/>
    <sheet name="Unit Riva" sheetId="4" r:id="rId10"/>
    <sheet name="Unit INCC" sheetId="5" r:id="rId11"/>
    <sheet name="Unit Parcelamento" sheetId="6" r:id="rId12"/>
    <sheet name="Unit Cury" sheetId="7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2" i="8" l="1"/>
  <c r="I12" i="8"/>
  <c r="H12" i="8"/>
  <c r="G12" i="8"/>
  <c r="G32" i="12"/>
  <c r="E27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C20" i="10"/>
  <c r="G33" i="8"/>
  <c r="J190" i="8"/>
  <c r="H190" i="8"/>
  <c r="G210" i="8"/>
  <c r="G203" i="8"/>
  <c r="G158" i="8"/>
  <c r="G176" i="8"/>
  <c r="G153" i="8"/>
  <c r="H137" i="9"/>
  <c r="C16" i="12"/>
  <c r="E9" i="13"/>
  <c r="D9" i="13"/>
  <c r="F3" i="8"/>
  <c r="G4" i="8" s="1"/>
  <c r="J4" i="8"/>
  <c r="I4" i="8"/>
  <c r="H4" i="8"/>
  <c r="C29" i="12" l="1"/>
  <c r="F158" i="8"/>
  <c r="E158" i="8"/>
  <c r="D158" i="8"/>
  <c r="H51" i="8" l="1"/>
  <c r="I51" i="8" s="1"/>
  <c r="J51" i="8" s="1"/>
  <c r="G51" i="8"/>
  <c r="G65" i="8" l="1"/>
  <c r="H65" i="8" s="1"/>
  <c r="I65" i="8" s="1"/>
  <c r="J65" i="8" s="1"/>
  <c r="J22" i="8"/>
  <c r="G190" i="8"/>
  <c r="E42" i="8"/>
  <c r="F42" i="8" s="1"/>
  <c r="G42" i="8" s="1"/>
  <c r="H42" i="8" s="1"/>
  <c r="I42" i="8" s="1"/>
  <c r="J42" i="8" s="1"/>
  <c r="D42" i="8"/>
  <c r="C7" i="13"/>
  <c r="C33" i="12"/>
  <c r="C34" i="12" s="1"/>
  <c r="D208" i="8"/>
  <c r="D210" i="8" s="1"/>
  <c r="E208" i="8"/>
  <c r="E210" i="8" s="1"/>
  <c r="F208" i="8"/>
  <c r="F210" i="8" s="1"/>
  <c r="C208" i="8"/>
  <c r="C210" i="8" s="1"/>
  <c r="H134" i="8"/>
  <c r="I134" i="8"/>
  <c r="J134" i="8"/>
  <c r="D187" i="8"/>
  <c r="E187" i="8"/>
  <c r="F187" i="8"/>
  <c r="C187" i="8"/>
  <c r="G74" i="8"/>
  <c r="H74" i="8" s="1"/>
  <c r="I74" i="8" s="1"/>
  <c r="J74" i="8" s="1"/>
  <c r="F200" i="8"/>
  <c r="G197" i="8" s="1"/>
  <c r="G202" i="8"/>
  <c r="E197" i="8"/>
  <c r="F197" i="8"/>
  <c r="H79" i="8"/>
  <c r="I79" i="8"/>
  <c r="J79" i="8"/>
  <c r="G79" i="8"/>
  <c r="G185" i="8"/>
  <c r="G134" i="8" s="1"/>
  <c r="F186" i="8"/>
  <c r="G183" i="8" s="1"/>
  <c r="G64" i="8"/>
  <c r="H64" i="8" s="1"/>
  <c r="I64" i="8" s="1"/>
  <c r="C127" i="8"/>
  <c r="D83" i="8"/>
  <c r="D178" i="8" s="1"/>
  <c r="E83" i="8"/>
  <c r="E178" i="8" s="1"/>
  <c r="F83" i="8"/>
  <c r="F178" i="8" s="1"/>
  <c r="C83" i="8"/>
  <c r="C178" i="8" s="1"/>
  <c r="G55" i="8"/>
  <c r="H55" i="8" s="1"/>
  <c r="I55" i="8" s="1"/>
  <c r="J55" i="8" s="1"/>
  <c r="D174" i="8"/>
  <c r="E174" i="8"/>
  <c r="F174" i="8"/>
  <c r="C174" i="8"/>
  <c r="G103" i="8"/>
  <c r="H103" i="8" s="1"/>
  <c r="I103" i="8" s="1"/>
  <c r="J103" i="8" s="1"/>
  <c r="G104" i="8"/>
  <c r="H104" i="8" s="1"/>
  <c r="I104" i="8" s="1"/>
  <c r="J104" i="8" s="1"/>
  <c r="D170" i="8"/>
  <c r="E170" i="8"/>
  <c r="F170" i="8"/>
  <c r="C170" i="8"/>
  <c r="D166" i="8"/>
  <c r="E166" i="8"/>
  <c r="F166" i="8"/>
  <c r="C166" i="8"/>
  <c r="D160" i="8"/>
  <c r="E160" i="8"/>
  <c r="F160" i="8"/>
  <c r="C160" i="8"/>
  <c r="D156" i="8"/>
  <c r="E156" i="8"/>
  <c r="F156" i="8"/>
  <c r="C156" i="8"/>
  <c r="D151" i="8"/>
  <c r="E151" i="8"/>
  <c r="F151" i="8"/>
  <c r="C151" i="8"/>
  <c r="G120" i="8"/>
  <c r="H120" i="8" s="1"/>
  <c r="I120" i="8" s="1"/>
  <c r="J120" i="8" s="1"/>
  <c r="G116" i="8"/>
  <c r="H116" i="8" s="1"/>
  <c r="I116" i="8" s="1"/>
  <c r="J116" i="8" s="1"/>
  <c r="G115" i="8"/>
  <c r="H115" i="8" s="1"/>
  <c r="I115" i="8" s="1"/>
  <c r="J115" i="8" s="1"/>
  <c r="G114" i="8"/>
  <c r="H114" i="8" s="1"/>
  <c r="I114" i="8" s="1"/>
  <c r="J114" i="8" s="1"/>
  <c r="G113" i="8"/>
  <c r="H113" i="8" s="1"/>
  <c r="I113" i="8" s="1"/>
  <c r="J113" i="8" s="1"/>
  <c r="G112" i="8"/>
  <c r="H112" i="8" s="1"/>
  <c r="I112" i="8" s="1"/>
  <c r="J112" i="8" s="1"/>
  <c r="G111" i="8"/>
  <c r="H111" i="8" s="1"/>
  <c r="I111" i="8" s="1"/>
  <c r="J111" i="8" s="1"/>
  <c r="G107" i="8"/>
  <c r="H107" i="8" s="1"/>
  <c r="I107" i="8" s="1"/>
  <c r="J107" i="8" s="1"/>
  <c r="G106" i="8"/>
  <c r="H106" i="8" s="1"/>
  <c r="I106" i="8" s="1"/>
  <c r="J106" i="8" s="1"/>
  <c r="G105" i="8"/>
  <c r="H105" i="8" s="1"/>
  <c r="I105" i="8" s="1"/>
  <c r="J105" i="8" s="1"/>
  <c r="G102" i="8"/>
  <c r="H102" i="8" s="1"/>
  <c r="I102" i="8" s="1"/>
  <c r="J102" i="8" s="1"/>
  <c r="G101" i="8"/>
  <c r="H101" i="8" s="1"/>
  <c r="I101" i="8" s="1"/>
  <c r="J101" i="8" s="1"/>
  <c r="G100" i="8"/>
  <c r="H100" i="8" s="1"/>
  <c r="I100" i="8" s="1"/>
  <c r="J100" i="8" s="1"/>
  <c r="G99" i="8"/>
  <c r="H99" i="8" s="1"/>
  <c r="I99" i="8" s="1"/>
  <c r="J99" i="8" s="1"/>
  <c r="G98" i="8"/>
  <c r="H98" i="8" s="1"/>
  <c r="I98" i="8" s="1"/>
  <c r="J98" i="8" s="1"/>
  <c r="G94" i="8"/>
  <c r="H94" i="8" s="1"/>
  <c r="I94" i="8" s="1"/>
  <c r="J94" i="8" s="1"/>
  <c r="G93" i="8"/>
  <c r="H93" i="8" s="1"/>
  <c r="I93" i="8" s="1"/>
  <c r="J93" i="8" s="1"/>
  <c r="G92" i="8"/>
  <c r="H92" i="8" s="1"/>
  <c r="I92" i="8" s="1"/>
  <c r="J92" i="8" s="1"/>
  <c r="G91" i="8"/>
  <c r="H91" i="8" s="1"/>
  <c r="I91" i="8" s="1"/>
  <c r="J91" i="8" s="1"/>
  <c r="G88" i="8"/>
  <c r="H88" i="8" s="1"/>
  <c r="I88" i="8" s="1"/>
  <c r="J88" i="8" s="1"/>
  <c r="G82" i="8"/>
  <c r="H82" i="8" s="1"/>
  <c r="I82" i="8" s="1"/>
  <c r="J82" i="8" s="1"/>
  <c r="G80" i="8"/>
  <c r="H80" i="8" s="1"/>
  <c r="I80" i="8" s="1"/>
  <c r="J80" i="8" s="1"/>
  <c r="G58" i="8"/>
  <c r="H58" i="8" s="1"/>
  <c r="I58" i="8" s="1"/>
  <c r="J58" i="8" s="1"/>
  <c r="G59" i="8"/>
  <c r="H59" i="8" s="1"/>
  <c r="I59" i="8" s="1"/>
  <c r="J59" i="8" s="1"/>
  <c r="G72" i="8"/>
  <c r="H72" i="8" s="1"/>
  <c r="G70" i="8"/>
  <c r="H70" i="8" s="1"/>
  <c r="I70" i="8" s="1"/>
  <c r="J70" i="8" s="1"/>
  <c r="G69" i="8"/>
  <c r="H69" i="8" s="1"/>
  <c r="I69" i="8" s="1"/>
  <c r="J69" i="8" s="1"/>
  <c r="G68" i="8"/>
  <c r="H68" i="8" s="1"/>
  <c r="I68" i="8" s="1"/>
  <c r="J68" i="8" s="1"/>
  <c r="G67" i="8"/>
  <c r="H67" i="8" s="1"/>
  <c r="I67" i="8" s="1"/>
  <c r="J67" i="8" s="1"/>
  <c r="G66" i="8"/>
  <c r="H66" i="8" s="1"/>
  <c r="I66" i="8" s="1"/>
  <c r="J66" i="8" s="1"/>
  <c r="G63" i="8"/>
  <c r="H63" i="8" s="1"/>
  <c r="I63" i="8" s="1"/>
  <c r="J63" i="8" s="1"/>
  <c r="G62" i="8"/>
  <c r="H62" i="8" s="1"/>
  <c r="F139" i="8"/>
  <c r="G137" i="8" s="1"/>
  <c r="I13" i="8"/>
  <c r="H14" i="8"/>
  <c r="H11" i="8"/>
  <c r="I11" i="8" s="1"/>
  <c r="H22" i="8"/>
  <c r="I22" i="8"/>
  <c r="G22" i="8"/>
  <c r="C24" i="8"/>
  <c r="D122" i="8"/>
  <c r="E122" i="8"/>
  <c r="F122" i="8"/>
  <c r="C122" i="8"/>
  <c r="F38" i="8"/>
  <c r="E38" i="8"/>
  <c r="D38" i="8"/>
  <c r="C38" i="8"/>
  <c r="F36" i="8"/>
  <c r="E36" i="8"/>
  <c r="D36" i="8"/>
  <c r="C36" i="8"/>
  <c r="F33" i="8"/>
  <c r="E33" i="8"/>
  <c r="D33" i="8"/>
  <c r="C33" i="8"/>
  <c r="F27" i="8"/>
  <c r="E27" i="8"/>
  <c r="D27" i="8"/>
  <c r="C27" i="8"/>
  <c r="F26" i="8"/>
  <c r="E26" i="8"/>
  <c r="D26" i="8"/>
  <c r="C26" i="8"/>
  <c r="F25" i="8"/>
  <c r="E25" i="8"/>
  <c r="D25" i="8"/>
  <c r="C25" i="8"/>
  <c r="F24" i="8"/>
  <c r="E24" i="8"/>
  <c r="D24" i="8"/>
  <c r="F20" i="8"/>
  <c r="E20" i="8"/>
  <c r="D20" i="8"/>
  <c r="C20" i="8"/>
  <c r="F19" i="8"/>
  <c r="E19" i="8"/>
  <c r="D19" i="8"/>
  <c r="C19" i="8"/>
  <c r="E114" i="7"/>
  <c r="E113" i="7"/>
  <c r="E112" i="7"/>
  <c r="E111" i="7"/>
  <c r="E110" i="7"/>
  <c r="E109" i="7"/>
  <c r="E108" i="7"/>
  <c r="D97" i="7"/>
  <c r="AN82" i="7"/>
  <c r="Z80" i="7"/>
  <c r="E79" i="7"/>
  <c r="AN78" i="7"/>
  <c r="AM78" i="7"/>
  <c r="AL78" i="7"/>
  <c r="AK78" i="7"/>
  <c r="AJ78" i="7"/>
  <c r="AI78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AK76" i="7"/>
  <c r="D75" i="7"/>
  <c r="AK73" i="7"/>
  <c r="AL73" i="7" s="1"/>
  <c r="AM73" i="7" s="1"/>
  <c r="AN73" i="7" s="1"/>
  <c r="AG73" i="7"/>
  <c r="AH73" i="7" s="1"/>
  <c r="AI73" i="7" s="1"/>
  <c r="AJ73" i="7" s="1"/>
  <c r="AC63" i="7"/>
  <c r="X61" i="7"/>
  <c r="W61" i="7"/>
  <c r="AC40" i="7"/>
  <c r="AC41" i="7" s="1"/>
  <c r="D38" i="7"/>
  <c r="E38" i="7" s="1"/>
  <c r="F38" i="7" s="1"/>
  <c r="G38" i="7" s="1"/>
  <c r="H38" i="7" s="1"/>
  <c r="I38" i="7" s="1"/>
  <c r="J38" i="7" s="1"/>
  <c r="K38" i="7" s="1"/>
  <c r="L38" i="7" s="1"/>
  <c r="M38" i="7" s="1"/>
  <c r="N38" i="7" s="1"/>
  <c r="O38" i="7" s="1"/>
  <c r="P38" i="7" s="1"/>
  <c r="Q38" i="7" s="1"/>
  <c r="R38" i="7" s="1"/>
  <c r="S38" i="7" s="1"/>
  <c r="T38" i="7" s="1"/>
  <c r="U38" i="7" s="1"/>
  <c r="V38" i="7" s="1"/>
  <c r="W38" i="7" s="1"/>
  <c r="X38" i="7" s="1"/>
  <c r="Y38" i="7" s="1"/>
  <c r="Z38" i="7" s="1"/>
  <c r="AA38" i="7" s="1"/>
  <c r="AB38" i="7" s="1"/>
  <c r="AC38" i="7" s="1"/>
  <c r="AD38" i="7" s="1"/>
  <c r="AE38" i="7" s="1"/>
  <c r="AF38" i="7" s="1"/>
  <c r="AG38" i="7" s="1"/>
  <c r="AH38" i="7" s="1"/>
  <c r="AI38" i="7" s="1"/>
  <c r="AJ38" i="7" s="1"/>
  <c r="AK38" i="7" s="1"/>
  <c r="AL38" i="7" s="1"/>
  <c r="AM38" i="7" s="1"/>
  <c r="AN38" i="7" s="1"/>
  <c r="AN33" i="7"/>
  <c r="AM33" i="7"/>
  <c r="AL33" i="7"/>
  <c r="AK33" i="7"/>
  <c r="AJ33" i="7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D34" i="7" s="1"/>
  <c r="F32" i="7"/>
  <c r="F35" i="7" s="1"/>
  <c r="E32" i="7"/>
  <c r="D32" i="7"/>
  <c r="AH28" i="7"/>
  <c r="AI28" i="7" s="1"/>
  <c r="AJ28" i="7" s="1"/>
  <c r="AK28" i="7" s="1"/>
  <c r="AL28" i="7" s="1"/>
  <c r="AM28" i="7" s="1"/>
  <c r="AN28" i="7" s="1"/>
  <c r="AG28" i="7"/>
  <c r="C8" i="7"/>
  <c r="E114" i="6"/>
  <c r="E113" i="6"/>
  <c r="E112" i="6"/>
  <c r="E111" i="6"/>
  <c r="E110" i="6"/>
  <c r="E109" i="6"/>
  <c r="E108" i="6"/>
  <c r="D97" i="6"/>
  <c r="AJ82" i="6"/>
  <c r="AI82" i="6"/>
  <c r="AD82" i="6"/>
  <c r="D82" i="6"/>
  <c r="Y81" i="6"/>
  <c r="T81" i="6"/>
  <c r="P80" i="6"/>
  <c r="O80" i="6"/>
  <c r="J80" i="6"/>
  <c r="U79" i="6"/>
  <c r="T79" i="6"/>
  <c r="O79" i="6"/>
  <c r="AN78" i="6"/>
  <c r="AM78" i="6"/>
  <c r="AL78" i="6"/>
  <c r="AK78" i="6"/>
  <c r="AJ78" i="6"/>
  <c r="AI78" i="6"/>
  <c r="AH78" i="6"/>
  <c r="AG78" i="6"/>
  <c r="AF78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F78" i="6"/>
  <c r="E78" i="6"/>
  <c r="D78" i="6"/>
  <c r="R77" i="6"/>
  <c r="O77" i="6"/>
  <c r="N77" i="6"/>
  <c r="N75" i="6"/>
  <c r="K75" i="6"/>
  <c r="J75" i="6"/>
  <c r="AJ73" i="6"/>
  <c r="AK73" i="6" s="1"/>
  <c r="AL73" i="6" s="1"/>
  <c r="AM73" i="6" s="1"/>
  <c r="AN73" i="6" s="1"/>
  <c r="AG73" i="6"/>
  <c r="AH73" i="6" s="1"/>
  <c r="AI73" i="6" s="1"/>
  <c r="O65" i="6"/>
  <c r="N65" i="6"/>
  <c r="I65" i="6"/>
  <c r="E63" i="6"/>
  <c r="D63" i="6"/>
  <c r="U62" i="6"/>
  <c r="V61" i="6"/>
  <c r="U61" i="6"/>
  <c r="P61" i="6"/>
  <c r="AK40" i="6"/>
  <c r="AK41" i="6" s="1"/>
  <c r="AJ40" i="6"/>
  <c r="AJ41" i="6" s="1"/>
  <c r="AH40" i="6"/>
  <c r="AH41" i="6" s="1"/>
  <c r="U40" i="6"/>
  <c r="U41" i="6" s="1"/>
  <c r="T40" i="6"/>
  <c r="T41" i="6" s="1"/>
  <c r="R40" i="6"/>
  <c r="R41" i="6" s="1"/>
  <c r="E40" i="6"/>
  <c r="E41" i="6" s="1"/>
  <c r="D40" i="6"/>
  <c r="D41" i="6" s="1"/>
  <c r="D42" i="6" s="1"/>
  <c r="D38" i="6"/>
  <c r="E38" i="6" s="1"/>
  <c r="F38" i="6" s="1"/>
  <c r="G38" i="6" s="1"/>
  <c r="H38" i="6" s="1"/>
  <c r="I38" i="6" s="1"/>
  <c r="J38" i="6" s="1"/>
  <c r="K38" i="6" s="1"/>
  <c r="L38" i="6" s="1"/>
  <c r="M38" i="6" s="1"/>
  <c r="N38" i="6" s="1"/>
  <c r="O38" i="6" s="1"/>
  <c r="P38" i="6" s="1"/>
  <c r="Q38" i="6" s="1"/>
  <c r="R38" i="6" s="1"/>
  <c r="S38" i="6" s="1"/>
  <c r="T38" i="6" s="1"/>
  <c r="U38" i="6" s="1"/>
  <c r="V38" i="6" s="1"/>
  <c r="W38" i="6" s="1"/>
  <c r="X38" i="6" s="1"/>
  <c r="Y38" i="6" s="1"/>
  <c r="Z38" i="6" s="1"/>
  <c r="AA38" i="6" s="1"/>
  <c r="AB38" i="6" s="1"/>
  <c r="AC38" i="6" s="1"/>
  <c r="AD38" i="6" s="1"/>
  <c r="AE38" i="6" s="1"/>
  <c r="AF38" i="6" s="1"/>
  <c r="AG38" i="6" s="1"/>
  <c r="AH38" i="6" s="1"/>
  <c r="AI38" i="6" s="1"/>
  <c r="AJ38" i="6" s="1"/>
  <c r="AK38" i="6" s="1"/>
  <c r="AL38" i="6" s="1"/>
  <c r="AM38" i="6" s="1"/>
  <c r="AN38" i="6" s="1"/>
  <c r="D34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E32" i="6"/>
  <c r="E35" i="6" s="1"/>
  <c r="D32" i="6"/>
  <c r="AH28" i="6"/>
  <c r="AI28" i="6" s="1"/>
  <c r="AJ28" i="6" s="1"/>
  <c r="AK28" i="6" s="1"/>
  <c r="AL28" i="6" s="1"/>
  <c r="AM28" i="6" s="1"/>
  <c r="AN28" i="6" s="1"/>
  <c r="AG28" i="6"/>
  <c r="C8" i="6"/>
  <c r="S82" i="6" s="1"/>
  <c r="D98" i="5"/>
  <c r="AK83" i="5"/>
  <c r="T83" i="5"/>
  <c r="S83" i="5"/>
  <c r="AD80" i="5"/>
  <c r="AC80" i="5"/>
  <c r="G80" i="5"/>
  <c r="F80" i="5"/>
  <c r="Z79" i="5"/>
  <c r="T79" i="5"/>
  <c r="AN78" i="5"/>
  <c r="AM78" i="5"/>
  <c r="Q78" i="5"/>
  <c r="P78" i="5"/>
  <c r="AH76" i="5"/>
  <c r="AB76" i="5"/>
  <c r="K76" i="5"/>
  <c r="J76" i="5"/>
  <c r="AL74" i="5"/>
  <c r="AM74" i="5" s="1"/>
  <c r="AN74" i="5" s="1"/>
  <c r="AG74" i="5"/>
  <c r="AH74" i="5" s="1"/>
  <c r="AI74" i="5" s="1"/>
  <c r="AJ74" i="5" s="1"/>
  <c r="AK74" i="5" s="1"/>
  <c r="AK62" i="5"/>
  <c r="AJ62" i="5"/>
  <c r="S62" i="5"/>
  <c r="M62" i="5"/>
  <c r="AL41" i="5"/>
  <c r="AL42" i="5" s="1"/>
  <c r="AK41" i="5"/>
  <c r="AK42" i="5" s="1"/>
  <c r="AI41" i="5"/>
  <c r="AI42" i="5" s="1"/>
  <c r="AD41" i="5"/>
  <c r="AD42" i="5" s="1"/>
  <c r="AC41" i="5"/>
  <c r="AC42" i="5" s="1"/>
  <c r="AA41" i="5"/>
  <c r="AA42" i="5" s="1"/>
  <c r="V41" i="5"/>
  <c r="V42" i="5" s="1"/>
  <c r="U41" i="5"/>
  <c r="U42" i="5" s="1"/>
  <c r="S41" i="5"/>
  <c r="S42" i="5" s="1"/>
  <c r="N41" i="5"/>
  <c r="N42" i="5" s="1"/>
  <c r="M41" i="5"/>
  <c r="M42" i="5" s="1"/>
  <c r="K41" i="5"/>
  <c r="K42" i="5" s="1"/>
  <c r="F41" i="5"/>
  <c r="F42" i="5" s="1"/>
  <c r="E41" i="5"/>
  <c r="E42" i="5" s="1"/>
  <c r="Z39" i="5"/>
  <c r="AA39" i="5" s="1"/>
  <c r="AB39" i="5" s="1"/>
  <c r="AC39" i="5" s="1"/>
  <c r="AD39" i="5" s="1"/>
  <c r="AE39" i="5" s="1"/>
  <c r="AF39" i="5" s="1"/>
  <c r="AG39" i="5" s="1"/>
  <c r="AH39" i="5" s="1"/>
  <c r="AI39" i="5" s="1"/>
  <c r="AJ39" i="5" s="1"/>
  <c r="AK39" i="5" s="1"/>
  <c r="AL39" i="5" s="1"/>
  <c r="AM39" i="5" s="1"/>
  <c r="AN39" i="5" s="1"/>
  <c r="R39" i="5"/>
  <c r="S39" i="5" s="1"/>
  <c r="T39" i="5" s="1"/>
  <c r="U39" i="5" s="1"/>
  <c r="V39" i="5" s="1"/>
  <c r="W39" i="5" s="1"/>
  <c r="X39" i="5" s="1"/>
  <c r="Y39" i="5" s="1"/>
  <c r="J39" i="5"/>
  <c r="K39" i="5" s="1"/>
  <c r="L39" i="5" s="1"/>
  <c r="M39" i="5" s="1"/>
  <c r="N39" i="5" s="1"/>
  <c r="O39" i="5" s="1"/>
  <c r="P39" i="5" s="1"/>
  <c r="Q39" i="5" s="1"/>
  <c r="E39" i="5"/>
  <c r="F39" i="5" s="1"/>
  <c r="G39" i="5" s="1"/>
  <c r="H39" i="5" s="1"/>
  <c r="I39" i="5" s="1"/>
  <c r="D39" i="5"/>
  <c r="E35" i="5"/>
  <c r="F35" i="5" s="1"/>
  <c r="D35" i="5"/>
  <c r="AN34" i="5"/>
  <c r="AM34" i="5"/>
  <c r="AL34" i="5"/>
  <c r="AK34" i="5"/>
  <c r="AJ34" i="5"/>
  <c r="AI34" i="5"/>
  <c r="AH34" i="5"/>
  <c r="AG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G35" i="5" s="1"/>
  <c r="F34" i="5"/>
  <c r="E34" i="5"/>
  <c r="D34" i="5"/>
  <c r="D33" i="5"/>
  <c r="D36" i="5" s="1"/>
  <c r="AH31" i="5"/>
  <c r="AG31" i="5"/>
  <c r="AF31" i="5"/>
  <c r="AE31" i="5"/>
  <c r="AH29" i="5"/>
  <c r="AI29" i="5" s="1"/>
  <c r="AJ29" i="5" s="1"/>
  <c r="AK29" i="5" s="1"/>
  <c r="AL29" i="5" s="1"/>
  <c r="AM29" i="5" s="1"/>
  <c r="AN29" i="5" s="1"/>
  <c r="AG29" i="5"/>
  <c r="I20" i="5"/>
  <c r="C13" i="5"/>
  <c r="E11" i="5"/>
  <c r="C11" i="5"/>
  <c r="S10" i="5"/>
  <c r="T12" i="5" s="1"/>
  <c r="C8" i="5"/>
  <c r="AB83" i="5" s="1"/>
  <c r="D97" i="4"/>
  <c r="AI82" i="4"/>
  <c r="U81" i="4"/>
  <c r="T81" i="4"/>
  <c r="K80" i="4"/>
  <c r="G80" i="4"/>
  <c r="P79" i="4"/>
  <c r="L79" i="4"/>
  <c r="U78" i="4"/>
  <c r="Q78" i="4"/>
  <c r="Z77" i="4"/>
  <c r="V77" i="4"/>
  <c r="U75" i="4"/>
  <c r="Q75" i="4"/>
  <c r="AG73" i="4"/>
  <c r="AH73" i="4" s="1"/>
  <c r="AI73" i="4" s="1"/>
  <c r="AJ73" i="4" s="1"/>
  <c r="AK73" i="4" s="1"/>
  <c r="AL73" i="4" s="1"/>
  <c r="AM73" i="4" s="1"/>
  <c r="AN73" i="4" s="1"/>
  <c r="H63" i="4"/>
  <c r="F63" i="4"/>
  <c r="K62" i="4"/>
  <c r="J62" i="4"/>
  <c r="L61" i="4"/>
  <c r="J61" i="4"/>
  <c r="AH40" i="4"/>
  <c r="AH41" i="4" s="1"/>
  <c r="AG40" i="4"/>
  <c r="AG41" i="4" s="1"/>
  <c r="X40" i="4"/>
  <c r="X41" i="4" s="1"/>
  <c r="W40" i="4"/>
  <c r="W41" i="4" s="1"/>
  <c r="N40" i="4"/>
  <c r="N41" i="4" s="1"/>
  <c r="K40" i="4"/>
  <c r="K41" i="4" s="1"/>
  <c r="D38" i="4"/>
  <c r="E38" i="4" s="1"/>
  <c r="F38" i="4" s="1"/>
  <c r="G38" i="4" s="1"/>
  <c r="H38" i="4" s="1"/>
  <c r="I38" i="4" s="1"/>
  <c r="J38" i="4" s="1"/>
  <c r="K38" i="4" s="1"/>
  <c r="L38" i="4" s="1"/>
  <c r="M38" i="4" s="1"/>
  <c r="N38" i="4" s="1"/>
  <c r="O38" i="4" s="1"/>
  <c r="P38" i="4" s="1"/>
  <c r="Q38" i="4" s="1"/>
  <c r="R38" i="4" s="1"/>
  <c r="S38" i="4" s="1"/>
  <c r="T38" i="4" s="1"/>
  <c r="U38" i="4" s="1"/>
  <c r="V38" i="4" s="1"/>
  <c r="W38" i="4" s="1"/>
  <c r="X38" i="4" s="1"/>
  <c r="Y38" i="4" s="1"/>
  <c r="Z38" i="4" s="1"/>
  <c r="AA38" i="4" s="1"/>
  <c r="AB38" i="4" s="1"/>
  <c r="AC38" i="4" s="1"/>
  <c r="AD38" i="4" s="1"/>
  <c r="AE38" i="4" s="1"/>
  <c r="AF38" i="4" s="1"/>
  <c r="AG38" i="4" s="1"/>
  <c r="AH38" i="4" s="1"/>
  <c r="AI38" i="4" s="1"/>
  <c r="AJ38" i="4" s="1"/>
  <c r="AK38" i="4" s="1"/>
  <c r="AL38" i="4" s="1"/>
  <c r="AM38" i="4" s="1"/>
  <c r="AN38" i="4" s="1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E34" i="4" s="1"/>
  <c r="F34" i="4" s="1"/>
  <c r="G34" i="4" s="1"/>
  <c r="H34" i="4" s="1"/>
  <c r="I34" i="4" s="1"/>
  <c r="D33" i="4"/>
  <c r="D34" i="4" s="1"/>
  <c r="E32" i="4"/>
  <c r="F32" i="4" s="1"/>
  <c r="D32" i="4"/>
  <c r="D35" i="4" s="1"/>
  <c r="AH28" i="4"/>
  <c r="AI28" i="4" s="1"/>
  <c r="AJ28" i="4" s="1"/>
  <c r="AK28" i="4" s="1"/>
  <c r="AL28" i="4" s="1"/>
  <c r="AM28" i="4" s="1"/>
  <c r="AN28" i="4" s="1"/>
  <c r="AG28" i="4"/>
  <c r="AG25" i="4"/>
  <c r="AD25" i="4"/>
  <c r="AA25" i="4"/>
  <c r="X25" i="4"/>
  <c r="U25" i="4"/>
  <c r="R25" i="4"/>
  <c r="O25" i="4"/>
  <c r="L25" i="4"/>
  <c r="I25" i="4"/>
  <c r="C13" i="4"/>
  <c r="E11" i="4"/>
  <c r="C11" i="4"/>
  <c r="C8" i="4"/>
  <c r="S82" i="4" s="1"/>
  <c r="E114" i="3"/>
  <c r="E113" i="3"/>
  <c r="E112" i="3"/>
  <c r="E111" i="3"/>
  <c r="E110" i="3"/>
  <c r="E109" i="3"/>
  <c r="E108" i="3"/>
  <c r="D97" i="3"/>
  <c r="AA82" i="3"/>
  <c r="E82" i="3"/>
  <c r="G81" i="3"/>
  <c r="G80" i="3"/>
  <c r="V79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AI77" i="3"/>
  <c r="L77" i="3"/>
  <c r="R75" i="3"/>
  <c r="AH73" i="3"/>
  <c r="AI73" i="3" s="1"/>
  <c r="AJ73" i="3" s="1"/>
  <c r="AK73" i="3" s="1"/>
  <c r="AL73" i="3" s="1"/>
  <c r="AM73" i="3" s="1"/>
  <c r="AN73" i="3" s="1"/>
  <c r="AG73" i="3"/>
  <c r="AC65" i="3"/>
  <c r="M65" i="3"/>
  <c r="Q63" i="3"/>
  <c r="W62" i="3"/>
  <c r="G62" i="3"/>
  <c r="M61" i="3"/>
  <c r="AM40" i="3"/>
  <c r="AM41" i="3" s="1"/>
  <c r="AJ40" i="3"/>
  <c r="AJ41" i="3" s="1"/>
  <c r="AI40" i="3"/>
  <c r="AI41" i="3" s="1"/>
  <c r="AB40" i="3"/>
  <c r="AB41" i="3" s="1"/>
  <c r="Z40" i="3"/>
  <c r="Z41" i="3" s="1"/>
  <c r="Y40" i="3"/>
  <c r="Y41" i="3" s="1"/>
  <c r="R40" i="3"/>
  <c r="R41" i="3" s="1"/>
  <c r="O40" i="3"/>
  <c r="O41" i="3" s="1"/>
  <c r="M40" i="3"/>
  <c r="M41" i="3" s="1"/>
  <c r="G40" i="3"/>
  <c r="G41" i="3" s="1"/>
  <c r="D40" i="3"/>
  <c r="D41" i="3" s="1"/>
  <c r="D42" i="3" s="1"/>
  <c r="D38" i="3"/>
  <c r="E38" i="3" s="1"/>
  <c r="F38" i="3" s="1"/>
  <c r="G38" i="3" s="1"/>
  <c r="H38" i="3" s="1"/>
  <c r="I38" i="3" s="1"/>
  <c r="J38" i="3" s="1"/>
  <c r="K38" i="3" s="1"/>
  <c r="L38" i="3" s="1"/>
  <c r="M38" i="3" s="1"/>
  <c r="N38" i="3" s="1"/>
  <c r="O38" i="3" s="1"/>
  <c r="P38" i="3" s="1"/>
  <c r="Q38" i="3" s="1"/>
  <c r="R38" i="3" s="1"/>
  <c r="S38" i="3" s="1"/>
  <c r="T38" i="3" s="1"/>
  <c r="U38" i="3" s="1"/>
  <c r="V38" i="3" s="1"/>
  <c r="W38" i="3" s="1"/>
  <c r="X38" i="3" s="1"/>
  <c r="Y38" i="3" s="1"/>
  <c r="Z38" i="3" s="1"/>
  <c r="AA38" i="3" s="1"/>
  <c r="AB38" i="3" s="1"/>
  <c r="AC38" i="3" s="1"/>
  <c r="AD38" i="3" s="1"/>
  <c r="AE38" i="3" s="1"/>
  <c r="AF38" i="3" s="1"/>
  <c r="AG38" i="3" s="1"/>
  <c r="AH38" i="3" s="1"/>
  <c r="AI38" i="3" s="1"/>
  <c r="AJ38" i="3" s="1"/>
  <c r="AK38" i="3" s="1"/>
  <c r="AL38" i="3" s="1"/>
  <c r="AM38" i="3" s="1"/>
  <c r="AN38" i="3" s="1"/>
  <c r="E34" i="3"/>
  <c r="F34" i="3" s="1"/>
  <c r="G34" i="3" s="1"/>
  <c r="H34" i="3" s="1"/>
  <c r="D34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I34" i="3" s="1"/>
  <c r="H33" i="3"/>
  <c r="G33" i="3"/>
  <c r="F33" i="3"/>
  <c r="E33" i="3"/>
  <c r="D33" i="3"/>
  <c r="D32" i="3"/>
  <c r="E32" i="3" s="1"/>
  <c r="AG28" i="3"/>
  <c r="AH28" i="3" s="1"/>
  <c r="AI28" i="3" s="1"/>
  <c r="AJ28" i="3" s="1"/>
  <c r="AK28" i="3" s="1"/>
  <c r="AL28" i="3" s="1"/>
  <c r="AM28" i="3" s="1"/>
  <c r="AN28" i="3" s="1"/>
  <c r="C11" i="3"/>
  <c r="C8" i="3"/>
  <c r="AF82" i="3" s="1"/>
  <c r="AW35" i="1"/>
  <c r="AQ35" i="1"/>
  <c r="AK35" i="1"/>
  <c r="AE35" i="1"/>
  <c r="AE34" i="1"/>
  <c r="AD6" i="1" s="1"/>
  <c r="AA18" i="1"/>
  <c r="AE15" i="1"/>
  <c r="AA15" i="1"/>
  <c r="AV11" i="1"/>
  <c r="AU11" i="1"/>
  <c r="AT11" i="1"/>
  <c r="AS11" i="1"/>
  <c r="AP11" i="1"/>
  <c r="AO11" i="1"/>
  <c r="AN11" i="1"/>
  <c r="AM11" i="1"/>
  <c r="AJ11" i="1"/>
  <c r="AI11" i="1"/>
  <c r="AH11" i="1"/>
  <c r="AG11" i="1"/>
  <c r="AD11" i="1"/>
  <c r="AC11" i="1"/>
  <c r="AB11" i="1"/>
  <c r="AA11" i="1"/>
  <c r="AA12" i="1" s="1"/>
  <c r="AA10" i="1"/>
  <c r="AV8" i="1"/>
  <c r="AV16" i="1" s="1"/>
  <c r="AP8" i="1"/>
  <c r="AP16" i="1" s="1"/>
  <c r="AO8" i="1"/>
  <c r="AO16" i="1" s="1"/>
  <c r="AI8" i="1"/>
  <c r="AI16" i="1" s="1"/>
  <c r="AV7" i="1"/>
  <c r="AU7" i="1"/>
  <c r="AT7" i="1"/>
  <c r="AT8" i="1" s="1"/>
  <c r="AS7" i="1"/>
  <c r="AS8" i="1" s="1"/>
  <c r="AP7" i="1"/>
  <c r="AO7" i="1"/>
  <c r="AN7" i="1"/>
  <c r="AN8" i="1" s="1"/>
  <c r="AM7" i="1"/>
  <c r="AM8" i="1" s="1"/>
  <c r="AJ7" i="1"/>
  <c r="AI7" i="1"/>
  <c r="AH7" i="1"/>
  <c r="AH8" i="1" s="1"/>
  <c r="AG7" i="1"/>
  <c r="AG8" i="1" s="1"/>
  <c r="AD7" i="1"/>
  <c r="AC7" i="1"/>
  <c r="AB7" i="1"/>
  <c r="AA7" i="1"/>
  <c r="AA8" i="1" s="1"/>
  <c r="AV6" i="1"/>
  <c r="AU6" i="1"/>
  <c r="AU8" i="1" s="1"/>
  <c r="AT6" i="1"/>
  <c r="AW6" i="1" s="1"/>
  <c r="AW38" i="1" s="1"/>
  <c r="AS6" i="1"/>
  <c r="AP6" i="1"/>
  <c r="AO6" i="1"/>
  <c r="AQ6" i="1" s="1"/>
  <c r="AQ38" i="1" s="1"/>
  <c r="AN6" i="1"/>
  <c r="AM6" i="1"/>
  <c r="AJ6" i="1"/>
  <c r="AJ8" i="1" s="1"/>
  <c r="AI6" i="1"/>
  <c r="AH6" i="1"/>
  <c r="AG6" i="1"/>
  <c r="AA6" i="1"/>
  <c r="C158" i="8" l="1"/>
  <c r="C37" i="12"/>
  <c r="F188" i="8"/>
  <c r="G199" i="8"/>
  <c r="G28" i="8" s="1"/>
  <c r="I72" i="8"/>
  <c r="I62" i="8"/>
  <c r="J64" i="8"/>
  <c r="E168" i="8"/>
  <c r="G191" i="8"/>
  <c r="G186" i="8"/>
  <c r="C176" i="8"/>
  <c r="D149" i="8"/>
  <c r="C149" i="8"/>
  <c r="F149" i="8"/>
  <c r="F161" i="8"/>
  <c r="F171" i="8"/>
  <c r="E149" i="8"/>
  <c r="E161" i="8"/>
  <c r="F180" i="8"/>
  <c r="F167" i="8"/>
  <c r="F162" i="8"/>
  <c r="E162" i="8"/>
  <c r="D180" i="8"/>
  <c r="F172" i="8"/>
  <c r="C180" i="8"/>
  <c r="D167" i="8"/>
  <c r="C164" i="8"/>
  <c r="E164" i="8"/>
  <c r="E179" i="8"/>
  <c r="E180" i="8"/>
  <c r="C162" i="8"/>
  <c r="F164" i="8"/>
  <c r="F168" i="8"/>
  <c r="F176" i="8"/>
  <c r="D162" i="8"/>
  <c r="C172" i="8"/>
  <c r="D164" i="8"/>
  <c r="E175" i="8"/>
  <c r="E172" i="8"/>
  <c r="C168" i="8"/>
  <c r="D172" i="8"/>
  <c r="F179" i="8"/>
  <c r="E167" i="8"/>
  <c r="E171" i="8"/>
  <c r="E176" i="8"/>
  <c r="D161" i="8"/>
  <c r="D176" i="8"/>
  <c r="D179" i="8"/>
  <c r="D175" i="8"/>
  <c r="D168" i="8"/>
  <c r="D171" i="8"/>
  <c r="F175" i="8"/>
  <c r="F152" i="8"/>
  <c r="E153" i="8"/>
  <c r="E157" i="8"/>
  <c r="E152" i="8"/>
  <c r="C153" i="8"/>
  <c r="D157" i="8"/>
  <c r="F153" i="8"/>
  <c r="D153" i="8"/>
  <c r="F157" i="8"/>
  <c r="D152" i="8"/>
  <c r="J11" i="8"/>
  <c r="I14" i="8"/>
  <c r="J13" i="8"/>
  <c r="F21" i="8"/>
  <c r="F22" i="8" s="1"/>
  <c r="C21" i="8"/>
  <c r="C30" i="8" s="1"/>
  <c r="D21" i="8"/>
  <c r="D22" i="8" s="1"/>
  <c r="E21" i="8"/>
  <c r="E22" i="8" s="1"/>
  <c r="AM82" i="7"/>
  <c r="AE82" i="7"/>
  <c r="W82" i="7"/>
  <c r="O82" i="7"/>
  <c r="G82" i="7"/>
  <c r="AA81" i="7"/>
  <c r="S81" i="7"/>
  <c r="K81" i="7"/>
  <c r="AE80" i="7"/>
  <c r="W80" i="7"/>
  <c r="O80" i="7"/>
  <c r="G80" i="7"/>
  <c r="AJ79" i="7"/>
  <c r="AB79" i="7"/>
  <c r="T79" i="7"/>
  <c r="L79" i="7"/>
  <c r="D79" i="7"/>
  <c r="AL77" i="7"/>
  <c r="AD77" i="7"/>
  <c r="V77" i="7"/>
  <c r="N77" i="7"/>
  <c r="F77" i="7"/>
  <c r="AI76" i="7"/>
  <c r="AA76" i="7"/>
  <c r="S76" i="7"/>
  <c r="K76" i="7"/>
  <c r="AH75" i="7"/>
  <c r="Z75" i="7"/>
  <c r="R75" i="7"/>
  <c r="J75" i="7"/>
  <c r="AL65" i="7"/>
  <c r="AD65" i="7"/>
  <c r="V65" i="7"/>
  <c r="N65" i="7"/>
  <c r="F65" i="7"/>
  <c r="Z63" i="7"/>
  <c r="R63" i="7"/>
  <c r="J63" i="7"/>
  <c r="AD62" i="7"/>
  <c r="V62" i="7"/>
  <c r="N62" i="7"/>
  <c r="F62" i="7"/>
  <c r="AC61" i="7"/>
  <c r="U61" i="7"/>
  <c r="M61" i="7"/>
  <c r="E61" i="7"/>
  <c r="AL82" i="7"/>
  <c r="AD82" i="7"/>
  <c r="V82" i="7"/>
  <c r="N82" i="7"/>
  <c r="F82" i="7"/>
  <c r="Z81" i="7"/>
  <c r="R81" i="7"/>
  <c r="J81" i="7"/>
  <c r="AD80" i="7"/>
  <c r="V80" i="7"/>
  <c r="N80" i="7"/>
  <c r="F80" i="7"/>
  <c r="AI79" i="7"/>
  <c r="AA79" i="7"/>
  <c r="S79" i="7"/>
  <c r="K79" i="7"/>
  <c r="AK77" i="7"/>
  <c r="AC77" i="7"/>
  <c r="U77" i="7"/>
  <c r="M77" i="7"/>
  <c r="E77" i="7"/>
  <c r="AH76" i="7"/>
  <c r="Z76" i="7"/>
  <c r="R76" i="7"/>
  <c r="J76" i="7"/>
  <c r="AG75" i="7"/>
  <c r="Y75" i="7"/>
  <c r="Q75" i="7"/>
  <c r="I75" i="7"/>
  <c r="AK65" i="7"/>
  <c r="AC65" i="7"/>
  <c r="U65" i="7"/>
  <c r="M65" i="7"/>
  <c r="E65" i="7"/>
  <c r="Y63" i="7"/>
  <c r="Q63" i="7"/>
  <c r="I63" i="7"/>
  <c r="AC62" i="7"/>
  <c r="U62" i="7"/>
  <c r="M62" i="7"/>
  <c r="E62" i="7"/>
  <c r="AB61" i="7"/>
  <c r="T61" i="7"/>
  <c r="L61" i="7"/>
  <c r="D61" i="7"/>
  <c r="AK82" i="7"/>
  <c r="AC82" i="7"/>
  <c r="U82" i="7"/>
  <c r="M82" i="7"/>
  <c r="E82" i="7"/>
  <c r="Y81" i="7"/>
  <c r="Q81" i="7"/>
  <c r="I81" i="7"/>
  <c r="AC80" i="7"/>
  <c r="U80" i="7"/>
  <c r="M80" i="7"/>
  <c r="E80" i="7"/>
  <c r="AH79" i="7"/>
  <c r="Z79" i="7"/>
  <c r="R79" i="7"/>
  <c r="J79" i="7"/>
  <c r="AJ77" i="7"/>
  <c r="AB77" i="7"/>
  <c r="T77" i="7"/>
  <c r="L77" i="7"/>
  <c r="D77" i="7"/>
  <c r="AG76" i="7"/>
  <c r="Y76" i="7"/>
  <c r="Q76" i="7"/>
  <c r="I76" i="7"/>
  <c r="AF75" i="7"/>
  <c r="X75" i="7"/>
  <c r="P75" i="7"/>
  <c r="H75" i="7"/>
  <c r="AJ65" i="7"/>
  <c r="AB65" i="7"/>
  <c r="T65" i="7"/>
  <c r="L65" i="7"/>
  <c r="D65" i="7"/>
  <c r="X63" i="7"/>
  <c r="P63" i="7"/>
  <c r="H63" i="7"/>
  <c r="AB62" i="7"/>
  <c r="T62" i="7"/>
  <c r="L62" i="7"/>
  <c r="D62" i="7"/>
  <c r="AA61" i="7"/>
  <c r="S61" i="7"/>
  <c r="K61" i="7"/>
  <c r="AJ82" i="7"/>
  <c r="AB82" i="7"/>
  <c r="T82" i="7"/>
  <c r="L82" i="7"/>
  <c r="D82" i="7"/>
  <c r="X81" i="7"/>
  <c r="P81" i="7"/>
  <c r="H81" i="7"/>
  <c r="AB80" i="7"/>
  <c r="T80" i="7"/>
  <c r="L80" i="7"/>
  <c r="D80" i="7"/>
  <c r="AG79" i="7"/>
  <c r="Y79" i="7"/>
  <c r="Q79" i="7"/>
  <c r="I79" i="7"/>
  <c r="AI77" i="7"/>
  <c r="AA77" i="7"/>
  <c r="S77" i="7"/>
  <c r="K77" i="7"/>
  <c r="AN76" i="7"/>
  <c r="AF76" i="7"/>
  <c r="X76" i="7"/>
  <c r="P76" i="7"/>
  <c r="H76" i="7"/>
  <c r="AE75" i="7"/>
  <c r="W75" i="7"/>
  <c r="O75" i="7"/>
  <c r="G75" i="7"/>
  <c r="AI65" i="7"/>
  <c r="AA65" i="7"/>
  <c r="S65" i="7"/>
  <c r="K65" i="7"/>
  <c r="AE63" i="7"/>
  <c r="W63" i="7"/>
  <c r="O63" i="7"/>
  <c r="G63" i="7"/>
  <c r="AA62" i="7"/>
  <c r="S62" i="7"/>
  <c r="K62" i="7"/>
  <c r="AH61" i="7"/>
  <c r="Z61" i="7"/>
  <c r="R61" i="7"/>
  <c r="J61" i="7"/>
  <c r="AF82" i="7"/>
  <c r="P82" i="7"/>
  <c r="AB81" i="7"/>
  <c r="L81" i="7"/>
  <c r="X80" i="7"/>
  <c r="H80" i="7"/>
  <c r="AC79" i="7"/>
  <c r="M79" i="7"/>
  <c r="Z77" i="7"/>
  <c r="J77" i="7"/>
  <c r="AE76" i="7"/>
  <c r="O76" i="7"/>
  <c r="AD75" i="7"/>
  <c r="N75" i="7"/>
  <c r="AE65" i="7"/>
  <c r="O65" i="7"/>
  <c r="AA63" i="7"/>
  <c r="K63" i="7"/>
  <c r="W62" i="7"/>
  <c r="G62" i="7"/>
  <c r="V61" i="7"/>
  <c r="F61" i="7"/>
  <c r="AI40" i="7"/>
  <c r="AI41" i="7" s="1"/>
  <c r="AA40" i="7"/>
  <c r="AA41" i="7" s="1"/>
  <c r="S40" i="7"/>
  <c r="S41" i="7" s="1"/>
  <c r="K40" i="7"/>
  <c r="K41" i="7" s="1"/>
  <c r="AA82" i="7"/>
  <c r="K82" i="7"/>
  <c r="W81" i="7"/>
  <c r="G81" i="7"/>
  <c r="S80" i="7"/>
  <c r="AN79" i="7"/>
  <c r="X79" i="7"/>
  <c r="H79" i="7"/>
  <c r="Y77" i="7"/>
  <c r="I77" i="7"/>
  <c r="AD76" i="7"/>
  <c r="N76" i="7"/>
  <c r="AC75" i="7"/>
  <c r="M75" i="7"/>
  <c r="Z65" i="7"/>
  <c r="J65" i="7"/>
  <c r="V63" i="7"/>
  <c r="F63" i="7"/>
  <c r="R62" i="7"/>
  <c r="AG61" i="7"/>
  <c r="Q61" i="7"/>
  <c r="AH40" i="7"/>
  <c r="AH41" i="7" s="1"/>
  <c r="Z40" i="7"/>
  <c r="Z41" i="7" s="1"/>
  <c r="R40" i="7"/>
  <c r="R41" i="7" s="1"/>
  <c r="J40" i="7"/>
  <c r="J41" i="7" s="1"/>
  <c r="Z82" i="7"/>
  <c r="J82" i="7"/>
  <c r="V81" i="7"/>
  <c r="F81" i="7"/>
  <c r="R80" i="7"/>
  <c r="AM79" i="7"/>
  <c r="W79" i="7"/>
  <c r="G79" i="7"/>
  <c r="AN77" i="7"/>
  <c r="X77" i="7"/>
  <c r="H77" i="7"/>
  <c r="AC76" i="7"/>
  <c r="M76" i="7"/>
  <c r="AB75" i="7"/>
  <c r="L75" i="7"/>
  <c r="Y65" i="7"/>
  <c r="I65" i="7"/>
  <c r="U63" i="7"/>
  <c r="E63" i="7"/>
  <c r="Q62" i="7"/>
  <c r="AF61" i="7"/>
  <c r="P61" i="7"/>
  <c r="AG40" i="7"/>
  <c r="AG41" i="7" s="1"/>
  <c r="Y40" i="7"/>
  <c r="Y41" i="7" s="1"/>
  <c r="Q40" i="7"/>
  <c r="Q41" i="7" s="1"/>
  <c r="I40" i="7"/>
  <c r="I41" i="7" s="1"/>
  <c r="AI82" i="7"/>
  <c r="S82" i="7"/>
  <c r="AE81" i="7"/>
  <c r="O81" i="7"/>
  <c r="AA80" i="7"/>
  <c r="K80" i="7"/>
  <c r="AF79" i="7"/>
  <c r="P79" i="7"/>
  <c r="AG77" i="7"/>
  <c r="Q77" i="7"/>
  <c r="AL76" i="7"/>
  <c r="V76" i="7"/>
  <c r="F76" i="7"/>
  <c r="U75" i="7"/>
  <c r="E75" i="7"/>
  <c r="AH65" i="7"/>
  <c r="R65" i="7"/>
  <c r="AD63" i="7"/>
  <c r="N63" i="7"/>
  <c r="Z62" i="7"/>
  <c r="J62" i="7"/>
  <c r="Y61" i="7"/>
  <c r="I61" i="7"/>
  <c r="AL40" i="7"/>
  <c r="AL41" i="7" s="1"/>
  <c r="AD40" i="7"/>
  <c r="AD41" i="7" s="1"/>
  <c r="V40" i="7"/>
  <c r="V41" i="7" s="1"/>
  <c r="N40" i="7"/>
  <c r="N41" i="7" s="1"/>
  <c r="F40" i="7"/>
  <c r="F41" i="7" s="1"/>
  <c r="AG82" i="7"/>
  <c r="AC81" i="7"/>
  <c r="Y80" i="7"/>
  <c r="AD79" i="7"/>
  <c r="W77" i="7"/>
  <c r="AB76" i="7"/>
  <c r="AA75" i="7"/>
  <c r="X65" i="7"/>
  <c r="T63" i="7"/>
  <c r="P62" i="7"/>
  <c r="O61" i="7"/>
  <c r="AN40" i="7"/>
  <c r="AN41" i="7" s="1"/>
  <c r="X40" i="7"/>
  <c r="X41" i="7" s="1"/>
  <c r="H40" i="7"/>
  <c r="H41" i="7" s="1"/>
  <c r="G77" i="7"/>
  <c r="H65" i="7"/>
  <c r="AE61" i="7"/>
  <c r="P40" i="7"/>
  <c r="P41" i="7" s="1"/>
  <c r="AE62" i="7"/>
  <c r="Y82" i="7"/>
  <c r="U81" i="7"/>
  <c r="Q80" i="7"/>
  <c r="V79" i="7"/>
  <c r="R77" i="7"/>
  <c r="W76" i="7"/>
  <c r="V75" i="7"/>
  <c r="W65" i="7"/>
  <c r="S63" i="7"/>
  <c r="O62" i="7"/>
  <c r="N61" i="7"/>
  <c r="AM40" i="7"/>
  <c r="AM41" i="7" s="1"/>
  <c r="W40" i="7"/>
  <c r="W41" i="7" s="1"/>
  <c r="G40" i="7"/>
  <c r="G41" i="7" s="1"/>
  <c r="E15" i="7"/>
  <c r="E81" i="7"/>
  <c r="AM76" i="7"/>
  <c r="AE40" i="7"/>
  <c r="AE41" i="7" s="1"/>
  <c r="X82" i="7"/>
  <c r="T81" i="7"/>
  <c r="P80" i="7"/>
  <c r="U79" i="7"/>
  <c r="P77" i="7"/>
  <c r="U76" i="7"/>
  <c r="T75" i="7"/>
  <c r="Q65" i="7"/>
  <c r="M63" i="7"/>
  <c r="I62" i="7"/>
  <c r="H61" i="7"/>
  <c r="AK40" i="7"/>
  <c r="AK41" i="7" s="1"/>
  <c r="U40" i="7"/>
  <c r="U41" i="7" s="1"/>
  <c r="E40" i="7"/>
  <c r="E41" i="7" s="1"/>
  <c r="E42" i="7" s="1"/>
  <c r="C13" i="7"/>
  <c r="E11" i="7" s="1"/>
  <c r="Q82" i="7"/>
  <c r="M81" i="7"/>
  <c r="I80" i="7"/>
  <c r="N79" i="7"/>
  <c r="AM77" i="7"/>
  <c r="L76" i="7"/>
  <c r="K75" i="7"/>
  <c r="AN65" i="7"/>
  <c r="D63" i="7"/>
  <c r="AF40" i="7"/>
  <c r="AF41" i="7" s="1"/>
  <c r="C11" i="7"/>
  <c r="F75" i="7"/>
  <c r="G65" i="7"/>
  <c r="O40" i="7"/>
  <c r="O41" i="7" s="1"/>
  <c r="R82" i="7"/>
  <c r="N81" i="7"/>
  <c r="J80" i="7"/>
  <c r="O79" i="7"/>
  <c r="O77" i="7"/>
  <c r="T76" i="7"/>
  <c r="S75" i="7"/>
  <c r="P65" i="7"/>
  <c r="L63" i="7"/>
  <c r="H62" i="7"/>
  <c r="G61" i="7"/>
  <c r="AJ40" i="7"/>
  <c r="AJ41" i="7" s="1"/>
  <c r="T40" i="7"/>
  <c r="T41" i="7" s="1"/>
  <c r="D40" i="7"/>
  <c r="D41" i="7" s="1"/>
  <c r="D42" i="7" s="1"/>
  <c r="I82" i="7"/>
  <c r="AL79" i="7"/>
  <c r="F79" i="7"/>
  <c r="AH77" i="7"/>
  <c r="G76" i="7"/>
  <c r="AM65" i="7"/>
  <c r="AD61" i="7"/>
  <c r="G32" i="7"/>
  <c r="AF65" i="7"/>
  <c r="AE77" i="7"/>
  <c r="AE79" i="7"/>
  <c r="D35" i="7"/>
  <c r="AG65" i="7"/>
  <c r="AF77" i="7"/>
  <c r="AK79" i="7"/>
  <c r="L40" i="7"/>
  <c r="L41" i="7" s="1"/>
  <c r="X62" i="7"/>
  <c r="D76" i="7"/>
  <c r="AD81" i="7"/>
  <c r="E34" i="7"/>
  <c r="F34" i="7" s="1"/>
  <c r="G34" i="7" s="1"/>
  <c r="H34" i="7" s="1"/>
  <c r="I34" i="7" s="1"/>
  <c r="J34" i="7" s="1"/>
  <c r="K34" i="7" s="1"/>
  <c r="L34" i="7" s="1"/>
  <c r="M34" i="7" s="1"/>
  <c r="N34" i="7" s="1"/>
  <c r="O34" i="7" s="1"/>
  <c r="P34" i="7" s="1"/>
  <c r="Q34" i="7" s="1"/>
  <c r="R34" i="7" s="1"/>
  <c r="S34" i="7" s="1"/>
  <c r="T34" i="7" s="1"/>
  <c r="U34" i="7" s="1"/>
  <c r="V34" i="7" s="1"/>
  <c r="W34" i="7" s="1"/>
  <c r="X34" i="7" s="1"/>
  <c r="Y34" i="7" s="1"/>
  <c r="Z34" i="7" s="1"/>
  <c r="AA34" i="7" s="1"/>
  <c r="AB34" i="7" s="1"/>
  <c r="AC34" i="7" s="1"/>
  <c r="AD34" i="7" s="1"/>
  <c r="AE34" i="7" s="1"/>
  <c r="AF34" i="7" s="1"/>
  <c r="AG34" i="7" s="1"/>
  <c r="AH34" i="7" s="1"/>
  <c r="AI34" i="7" s="1"/>
  <c r="AJ34" i="7" s="1"/>
  <c r="AK34" i="7" s="1"/>
  <c r="AL34" i="7" s="1"/>
  <c r="AM34" i="7" s="1"/>
  <c r="AN34" i="7" s="1"/>
  <c r="D81" i="7"/>
  <c r="M40" i="7"/>
  <c r="M41" i="7" s="1"/>
  <c r="Y62" i="7"/>
  <c r="E76" i="7"/>
  <c r="H82" i="7"/>
  <c r="E35" i="7"/>
  <c r="AB40" i="7"/>
  <c r="AB41" i="7" s="1"/>
  <c r="AB63" i="7"/>
  <c r="AJ76" i="7"/>
  <c r="AH82" i="7"/>
  <c r="E42" i="6"/>
  <c r="C11" i="6"/>
  <c r="J40" i="6"/>
  <c r="J41" i="6" s="1"/>
  <c r="Z40" i="6"/>
  <c r="Z41" i="6" s="1"/>
  <c r="E62" i="6"/>
  <c r="O63" i="6"/>
  <c r="Y65" i="6"/>
  <c r="Z75" i="6"/>
  <c r="AD77" i="6"/>
  <c r="AE79" i="6"/>
  <c r="D81" i="6"/>
  <c r="N82" i="6"/>
  <c r="Y40" i="6"/>
  <c r="Y41" i="6" s="1"/>
  <c r="AD61" i="6"/>
  <c r="W65" i="6"/>
  <c r="R75" i="6"/>
  <c r="AC79" i="6"/>
  <c r="X80" i="6"/>
  <c r="E34" i="6"/>
  <c r="F34" i="6" s="1"/>
  <c r="G34" i="6" s="1"/>
  <c r="H34" i="6" s="1"/>
  <c r="I34" i="6" s="1"/>
  <c r="J34" i="6" s="1"/>
  <c r="K34" i="6" s="1"/>
  <c r="L34" i="6" s="1"/>
  <c r="M34" i="6" s="1"/>
  <c r="N34" i="6" s="1"/>
  <c r="O34" i="6" s="1"/>
  <c r="P34" i="6" s="1"/>
  <c r="Q34" i="6" s="1"/>
  <c r="R34" i="6" s="1"/>
  <c r="S34" i="6" s="1"/>
  <c r="T34" i="6" s="1"/>
  <c r="U34" i="6" s="1"/>
  <c r="V34" i="6" s="1"/>
  <c r="W34" i="6" s="1"/>
  <c r="X34" i="6" s="1"/>
  <c r="Y34" i="6" s="1"/>
  <c r="Z34" i="6" s="1"/>
  <c r="AA34" i="6" s="1"/>
  <c r="AB34" i="6" s="1"/>
  <c r="AC34" i="6" s="1"/>
  <c r="AD34" i="6" s="1"/>
  <c r="AE34" i="6" s="1"/>
  <c r="AF34" i="6" s="1"/>
  <c r="AG34" i="6" s="1"/>
  <c r="AH34" i="6" s="1"/>
  <c r="AI34" i="6" s="1"/>
  <c r="AJ34" i="6" s="1"/>
  <c r="AK34" i="6" s="1"/>
  <c r="AL34" i="6" s="1"/>
  <c r="AM34" i="6" s="1"/>
  <c r="AN34" i="6" s="1"/>
  <c r="L40" i="6"/>
  <c r="L41" i="6" s="1"/>
  <c r="AB40" i="6"/>
  <c r="AB41" i="6" s="1"/>
  <c r="E61" i="6"/>
  <c r="J62" i="6"/>
  <c r="T63" i="6"/>
  <c r="AD65" i="6"/>
  <c r="AA75" i="6"/>
  <c r="AE77" i="6"/>
  <c r="D79" i="6"/>
  <c r="AJ79" i="6"/>
  <c r="I81" i="6"/>
  <c r="AH82" i="6"/>
  <c r="Z82" i="6"/>
  <c r="R82" i="6"/>
  <c r="J82" i="6"/>
  <c r="X81" i="6"/>
  <c r="P81" i="6"/>
  <c r="H81" i="6"/>
  <c r="V80" i="6"/>
  <c r="N80" i="6"/>
  <c r="F80" i="6"/>
  <c r="AI79" i="6"/>
  <c r="AA79" i="6"/>
  <c r="S79" i="6"/>
  <c r="K79" i="6"/>
  <c r="AK77" i="6"/>
  <c r="AC77" i="6"/>
  <c r="U77" i="6"/>
  <c r="M77" i="6"/>
  <c r="E77" i="6"/>
  <c r="Y75" i="6"/>
  <c r="Q75" i="6"/>
  <c r="I75" i="6"/>
  <c r="AK65" i="6"/>
  <c r="AC65" i="6"/>
  <c r="U65" i="6"/>
  <c r="M65" i="6"/>
  <c r="E65" i="6"/>
  <c r="S63" i="6"/>
  <c r="K63" i="6"/>
  <c r="Y62" i="6"/>
  <c r="Q62" i="6"/>
  <c r="I62" i="6"/>
  <c r="AB61" i="6"/>
  <c r="T61" i="6"/>
  <c r="L61" i="6"/>
  <c r="D61" i="6"/>
  <c r="AG82" i="6"/>
  <c r="Y82" i="6"/>
  <c r="Q82" i="6"/>
  <c r="I82" i="6"/>
  <c r="W81" i="6"/>
  <c r="O81" i="6"/>
  <c r="G81" i="6"/>
  <c r="U80" i="6"/>
  <c r="M80" i="6"/>
  <c r="E80" i="6"/>
  <c r="AH79" i="6"/>
  <c r="Z79" i="6"/>
  <c r="R79" i="6"/>
  <c r="J79" i="6"/>
  <c r="AJ77" i="6"/>
  <c r="AB77" i="6"/>
  <c r="T77" i="6"/>
  <c r="L77" i="6"/>
  <c r="D77" i="6"/>
  <c r="X75" i="6"/>
  <c r="P75" i="6"/>
  <c r="H75" i="6"/>
  <c r="AJ65" i="6"/>
  <c r="AB65" i="6"/>
  <c r="T65" i="6"/>
  <c r="L65" i="6"/>
  <c r="D65" i="6"/>
  <c r="R63" i="6"/>
  <c r="J63" i="6"/>
  <c r="X62" i="6"/>
  <c r="P62" i="6"/>
  <c r="H62" i="6"/>
  <c r="AA61" i="6"/>
  <c r="S61" i="6"/>
  <c r="K61" i="6"/>
  <c r="AN82" i="6"/>
  <c r="AF82" i="6"/>
  <c r="X82" i="6"/>
  <c r="P82" i="6"/>
  <c r="H82" i="6"/>
  <c r="V81" i="6"/>
  <c r="N81" i="6"/>
  <c r="F81" i="6"/>
  <c r="T80" i="6"/>
  <c r="L80" i="6"/>
  <c r="D80" i="6"/>
  <c r="AG79" i="6"/>
  <c r="Y79" i="6"/>
  <c r="Q79" i="6"/>
  <c r="I79" i="6"/>
  <c r="AI77" i="6"/>
  <c r="AA77" i="6"/>
  <c r="S77" i="6"/>
  <c r="K77" i="6"/>
  <c r="D76" i="6"/>
  <c r="W75" i="6"/>
  <c r="O75" i="6"/>
  <c r="G75" i="6"/>
  <c r="AI65" i="6"/>
  <c r="AA65" i="6"/>
  <c r="S65" i="6"/>
  <c r="K65" i="6"/>
  <c r="Y63" i="6"/>
  <c r="Q63" i="6"/>
  <c r="I63" i="6"/>
  <c r="W62" i="6"/>
  <c r="O62" i="6"/>
  <c r="G62" i="6"/>
  <c r="Z61" i="6"/>
  <c r="R61" i="6"/>
  <c r="J61" i="6"/>
  <c r="AK82" i="6"/>
  <c r="AC82" i="6"/>
  <c r="U82" i="6"/>
  <c r="M82" i="6"/>
  <c r="E82" i="6"/>
  <c r="S81" i="6"/>
  <c r="K81" i="6"/>
  <c r="Y80" i="6"/>
  <c r="Q80" i="6"/>
  <c r="I80" i="6"/>
  <c r="AL79" i="6"/>
  <c r="AD79" i="6"/>
  <c r="V79" i="6"/>
  <c r="N79" i="6"/>
  <c r="F79" i="6"/>
  <c r="AN77" i="6"/>
  <c r="AF77" i="6"/>
  <c r="X77" i="6"/>
  <c r="P77" i="6"/>
  <c r="H77" i="6"/>
  <c r="AB75" i="6"/>
  <c r="T75" i="6"/>
  <c r="L75" i="6"/>
  <c r="D75" i="6"/>
  <c r="AN65" i="6"/>
  <c r="AF65" i="6"/>
  <c r="X65" i="6"/>
  <c r="P65" i="6"/>
  <c r="H65" i="6"/>
  <c r="V63" i="6"/>
  <c r="N63" i="6"/>
  <c r="F63" i="6"/>
  <c r="T62" i="6"/>
  <c r="L62" i="6"/>
  <c r="D62" i="6"/>
  <c r="W61" i="6"/>
  <c r="O61" i="6"/>
  <c r="G61" i="6"/>
  <c r="AA82" i="6"/>
  <c r="K82" i="6"/>
  <c r="Q81" i="6"/>
  <c r="W80" i="6"/>
  <c r="G80" i="6"/>
  <c r="AB79" i="6"/>
  <c r="L79" i="6"/>
  <c r="Z77" i="6"/>
  <c r="J77" i="6"/>
  <c r="V75" i="6"/>
  <c r="F75" i="6"/>
  <c r="AL65" i="6"/>
  <c r="V65" i="6"/>
  <c r="F65" i="6"/>
  <c r="L63" i="6"/>
  <c r="R62" i="6"/>
  <c r="AC61" i="6"/>
  <c r="M61" i="6"/>
  <c r="AN40" i="6"/>
  <c r="AN41" i="6" s="1"/>
  <c r="AF40" i="6"/>
  <c r="AF41" i="6" s="1"/>
  <c r="X40" i="6"/>
  <c r="X41" i="6" s="1"/>
  <c r="P40" i="6"/>
  <c r="P41" i="6" s="1"/>
  <c r="H40" i="6"/>
  <c r="H41" i="6" s="1"/>
  <c r="AM82" i="6"/>
  <c r="W82" i="6"/>
  <c r="G82" i="6"/>
  <c r="M81" i="6"/>
  <c r="S80" i="6"/>
  <c r="AN79" i="6"/>
  <c r="X79" i="6"/>
  <c r="H79" i="6"/>
  <c r="Y77" i="6"/>
  <c r="I77" i="6"/>
  <c r="U75" i="6"/>
  <c r="E75" i="6"/>
  <c r="AH65" i="6"/>
  <c r="R65" i="6"/>
  <c r="X63" i="6"/>
  <c r="H63" i="6"/>
  <c r="N62" i="6"/>
  <c r="Y61" i="6"/>
  <c r="I61" i="6"/>
  <c r="AM40" i="6"/>
  <c r="AM41" i="6" s="1"/>
  <c r="AE40" i="6"/>
  <c r="AE41" i="6" s="1"/>
  <c r="W40" i="6"/>
  <c r="W41" i="6" s="1"/>
  <c r="O40" i="6"/>
  <c r="O41" i="6" s="1"/>
  <c r="G40" i="6"/>
  <c r="G41" i="6" s="1"/>
  <c r="AL82" i="6"/>
  <c r="V82" i="6"/>
  <c r="F82" i="6"/>
  <c r="L81" i="6"/>
  <c r="R80" i="6"/>
  <c r="AM79" i="6"/>
  <c r="W79" i="6"/>
  <c r="G79" i="6"/>
  <c r="AM77" i="6"/>
  <c r="W77" i="6"/>
  <c r="G77" i="6"/>
  <c r="S75" i="6"/>
  <c r="AG65" i="6"/>
  <c r="Q65" i="6"/>
  <c r="W63" i="6"/>
  <c r="G63" i="6"/>
  <c r="M62" i="6"/>
  <c r="X61" i="6"/>
  <c r="H61" i="6"/>
  <c r="AL40" i="6"/>
  <c r="AL41" i="6" s="1"/>
  <c r="AD40" i="6"/>
  <c r="AD41" i="6" s="1"/>
  <c r="V40" i="6"/>
  <c r="V41" i="6" s="1"/>
  <c r="N40" i="6"/>
  <c r="N41" i="6" s="1"/>
  <c r="F40" i="6"/>
  <c r="F41" i="6" s="1"/>
  <c r="AE82" i="6"/>
  <c r="O82" i="6"/>
  <c r="U81" i="6"/>
  <c r="E81" i="6"/>
  <c r="K80" i="6"/>
  <c r="AF79" i="6"/>
  <c r="P79" i="6"/>
  <c r="AG77" i="6"/>
  <c r="Q77" i="6"/>
  <c r="AC75" i="6"/>
  <c r="M75" i="6"/>
  <c r="Z65" i="6"/>
  <c r="J65" i="6"/>
  <c r="P63" i="6"/>
  <c r="V62" i="6"/>
  <c r="F62" i="6"/>
  <c r="Q61" i="6"/>
  <c r="AI40" i="6"/>
  <c r="AI41" i="6" s="1"/>
  <c r="AA40" i="6"/>
  <c r="AA41" i="6" s="1"/>
  <c r="S40" i="6"/>
  <c r="S41" i="6" s="1"/>
  <c r="K40" i="6"/>
  <c r="K41" i="6" s="1"/>
  <c r="C13" i="6"/>
  <c r="E11" i="6" s="1"/>
  <c r="D44" i="6" s="1"/>
  <c r="M40" i="6"/>
  <c r="M41" i="6" s="1"/>
  <c r="AC40" i="6"/>
  <c r="AC41" i="6" s="1"/>
  <c r="F61" i="6"/>
  <c r="K62" i="6"/>
  <c r="U63" i="6"/>
  <c r="AE65" i="6"/>
  <c r="AD75" i="6"/>
  <c r="AH77" i="6"/>
  <c r="E79" i="6"/>
  <c r="AK79" i="6"/>
  <c r="J81" i="6"/>
  <c r="T82" i="6"/>
  <c r="F32" i="6"/>
  <c r="D35" i="6"/>
  <c r="I40" i="6"/>
  <c r="I41" i="6" s="1"/>
  <c r="M63" i="6"/>
  <c r="V77" i="6"/>
  <c r="L82" i="6"/>
  <c r="Q40" i="6"/>
  <c r="Q41" i="6" s="1"/>
  <c r="AG40" i="6"/>
  <c r="AG41" i="6" s="1"/>
  <c r="N61" i="6"/>
  <c r="S62" i="6"/>
  <c r="G65" i="6"/>
  <c r="AM65" i="6"/>
  <c r="F77" i="6"/>
  <c r="AL77" i="6"/>
  <c r="M79" i="6"/>
  <c r="H80" i="6"/>
  <c r="R81" i="6"/>
  <c r="AB82" i="6"/>
  <c r="H35" i="5"/>
  <c r="I35" i="5"/>
  <c r="J35" i="5" s="1"/>
  <c r="K35" i="5" s="1"/>
  <c r="L35" i="5" s="1"/>
  <c r="M35" i="5" s="1"/>
  <c r="N35" i="5" s="1"/>
  <c r="O35" i="5" s="1"/>
  <c r="P35" i="5" s="1"/>
  <c r="Q35" i="5" s="1"/>
  <c r="R35" i="5" s="1"/>
  <c r="S35" i="5" s="1"/>
  <c r="T35" i="5" s="1"/>
  <c r="U35" i="5" s="1"/>
  <c r="V35" i="5" s="1"/>
  <c r="W35" i="5" s="1"/>
  <c r="X35" i="5" s="1"/>
  <c r="Y35" i="5" s="1"/>
  <c r="Z35" i="5" s="1"/>
  <c r="AA35" i="5" s="1"/>
  <c r="AB35" i="5" s="1"/>
  <c r="AC35" i="5" s="1"/>
  <c r="AD35" i="5" s="1"/>
  <c r="AE35" i="5" s="1"/>
  <c r="F14" i="5"/>
  <c r="F17" i="5" s="1"/>
  <c r="F20" i="5" s="1"/>
  <c r="J9" i="5" s="1"/>
  <c r="F13" i="5"/>
  <c r="F16" i="5" s="1"/>
  <c r="E33" i="5"/>
  <c r="AF34" i="5"/>
  <c r="D41" i="5"/>
  <c r="D42" i="5" s="1"/>
  <c r="D43" i="5" s="1"/>
  <c r="D45" i="5" s="1"/>
  <c r="L41" i="5"/>
  <c r="L42" i="5" s="1"/>
  <c r="T41" i="5"/>
  <c r="T42" i="5" s="1"/>
  <c r="AB41" i="5"/>
  <c r="AB42" i="5" s="1"/>
  <c r="AJ41" i="5"/>
  <c r="AJ42" i="5" s="1"/>
  <c r="L62" i="5"/>
  <c r="AI62" i="5"/>
  <c r="D76" i="5"/>
  <c r="AA76" i="5"/>
  <c r="O78" i="5"/>
  <c r="AG78" i="5"/>
  <c r="S79" i="5"/>
  <c r="E80" i="5"/>
  <c r="W80" i="5"/>
  <c r="M83" i="5"/>
  <c r="AJ83" i="5"/>
  <c r="G41" i="5"/>
  <c r="G42" i="5" s="1"/>
  <c r="O41" i="5"/>
  <c r="O42" i="5" s="1"/>
  <c r="W41" i="5"/>
  <c r="W42" i="5" s="1"/>
  <c r="AE41" i="5"/>
  <c r="AE42" i="5" s="1"/>
  <c r="AM41" i="5"/>
  <c r="AM42" i="5" s="1"/>
  <c r="T62" i="5"/>
  <c r="L76" i="5"/>
  <c r="AI76" i="5"/>
  <c r="W78" i="5"/>
  <c r="D79" i="5"/>
  <c r="AA79" i="5"/>
  <c r="M80" i="5"/>
  <c r="AE80" i="5"/>
  <c r="U83" i="5"/>
  <c r="H41" i="5"/>
  <c r="H42" i="5" s="1"/>
  <c r="P41" i="5"/>
  <c r="P42" i="5" s="1"/>
  <c r="X41" i="5"/>
  <c r="X42" i="5" s="1"/>
  <c r="AF41" i="5"/>
  <c r="AF42" i="5" s="1"/>
  <c r="AN41" i="5"/>
  <c r="AN42" i="5" s="1"/>
  <c r="U62" i="5"/>
  <c r="R76" i="5"/>
  <c r="AJ76" i="5"/>
  <c r="X78" i="5"/>
  <c r="J79" i="5"/>
  <c r="AB79" i="5"/>
  <c r="N80" i="5"/>
  <c r="AK80" i="5"/>
  <c r="D83" i="5"/>
  <c r="AA83" i="5"/>
  <c r="I41" i="5"/>
  <c r="I42" i="5" s="1"/>
  <c r="Q41" i="5"/>
  <c r="Q42" i="5" s="1"/>
  <c r="Y41" i="5"/>
  <c r="Y42" i="5" s="1"/>
  <c r="AG41" i="5"/>
  <c r="AG42" i="5" s="1"/>
  <c r="D62" i="5"/>
  <c r="AA62" i="5"/>
  <c r="S76" i="5"/>
  <c r="G78" i="5"/>
  <c r="Y78" i="5"/>
  <c r="K79" i="5"/>
  <c r="AH79" i="5"/>
  <c r="O80" i="5"/>
  <c r="AL80" i="5"/>
  <c r="E83" i="5"/>
  <c r="AH83" i="5"/>
  <c r="Z83" i="5"/>
  <c r="R83" i="5"/>
  <c r="J83" i="5"/>
  <c r="AJ80" i="5"/>
  <c r="AB80" i="5"/>
  <c r="T80" i="5"/>
  <c r="L80" i="5"/>
  <c r="D80" i="5"/>
  <c r="AG79" i="5"/>
  <c r="Y79" i="5"/>
  <c r="Q79" i="5"/>
  <c r="I79" i="5"/>
  <c r="AL78" i="5"/>
  <c r="AD78" i="5"/>
  <c r="V78" i="5"/>
  <c r="N78" i="5"/>
  <c r="F78" i="5"/>
  <c r="AG76" i="5"/>
  <c r="Y76" i="5"/>
  <c r="Q76" i="5"/>
  <c r="I76" i="5"/>
  <c r="AH62" i="5"/>
  <c r="Z62" i="5"/>
  <c r="R62" i="5"/>
  <c r="J62" i="5"/>
  <c r="AG83" i="5"/>
  <c r="Y83" i="5"/>
  <c r="Q83" i="5"/>
  <c r="I83" i="5"/>
  <c r="AI80" i="5"/>
  <c r="AA80" i="5"/>
  <c r="S80" i="5"/>
  <c r="K80" i="5"/>
  <c r="AN79" i="5"/>
  <c r="AF79" i="5"/>
  <c r="X79" i="5"/>
  <c r="P79" i="5"/>
  <c r="H79" i="5"/>
  <c r="AK78" i="5"/>
  <c r="AC78" i="5"/>
  <c r="U78" i="5"/>
  <c r="M78" i="5"/>
  <c r="E78" i="5"/>
  <c r="AF76" i="5"/>
  <c r="X76" i="5"/>
  <c r="P76" i="5"/>
  <c r="H76" i="5"/>
  <c r="AG62" i="5"/>
  <c r="Y62" i="5"/>
  <c r="Q62" i="5"/>
  <c r="I62" i="5"/>
  <c r="AN83" i="5"/>
  <c r="AF83" i="5"/>
  <c r="X83" i="5"/>
  <c r="P83" i="5"/>
  <c r="H83" i="5"/>
  <c r="AH80" i="5"/>
  <c r="Z80" i="5"/>
  <c r="R80" i="5"/>
  <c r="J80" i="5"/>
  <c r="AM79" i="5"/>
  <c r="AE79" i="5"/>
  <c r="W79" i="5"/>
  <c r="O79" i="5"/>
  <c r="G79" i="5"/>
  <c r="AJ78" i="5"/>
  <c r="AB78" i="5"/>
  <c r="T78" i="5"/>
  <c r="L78" i="5"/>
  <c r="D78" i="5"/>
  <c r="AE76" i="5"/>
  <c r="W76" i="5"/>
  <c r="O76" i="5"/>
  <c r="G76" i="5"/>
  <c r="AF62" i="5"/>
  <c r="X62" i="5"/>
  <c r="P62" i="5"/>
  <c r="H62" i="5"/>
  <c r="AM83" i="5"/>
  <c r="AE83" i="5"/>
  <c r="W83" i="5"/>
  <c r="O83" i="5"/>
  <c r="G83" i="5"/>
  <c r="AG80" i="5"/>
  <c r="Y80" i="5"/>
  <c r="Q80" i="5"/>
  <c r="I80" i="5"/>
  <c r="AL79" i="5"/>
  <c r="AD79" i="5"/>
  <c r="V79" i="5"/>
  <c r="N79" i="5"/>
  <c r="F79" i="5"/>
  <c r="AI78" i="5"/>
  <c r="AA78" i="5"/>
  <c r="S78" i="5"/>
  <c r="K78" i="5"/>
  <c r="D77" i="5"/>
  <c r="AD76" i="5"/>
  <c r="V76" i="5"/>
  <c r="N76" i="5"/>
  <c r="F76" i="5"/>
  <c r="AE62" i="5"/>
  <c r="W62" i="5"/>
  <c r="O62" i="5"/>
  <c r="G62" i="5"/>
  <c r="AL83" i="5"/>
  <c r="AD83" i="5"/>
  <c r="V83" i="5"/>
  <c r="N83" i="5"/>
  <c r="F83" i="5"/>
  <c r="AN80" i="5"/>
  <c r="AF80" i="5"/>
  <c r="X80" i="5"/>
  <c r="P80" i="5"/>
  <c r="H80" i="5"/>
  <c r="AK79" i="5"/>
  <c r="AC79" i="5"/>
  <c r="U79" i="5"/>
  <c r="M79" i="5"/>
  <c r="E79" i="5"/>
  <c r="AH78" i="5"/>
  <c r="Z78" i="5"/>
  <c r="R78" i="5"/>
  <c r="J78" i="5"/>
  <c r="AK76" i="5"/>
  <c r="AC76" i="5"/>
  <c r="U76" i="5"/>
  <c r="M76" i="5"/>
  <c r="E76" i="5"/>
  <c r="AD62" i="5"/>
  <c r="V62" i="5"/>
  <c r="N62" i="5"/>
  <c r="F62" i="5"/>
  <c r="J41" i="5"/>
  <c r="J42" i="5" s="1"/>
  <c r="R41" i="5"/>
  <c r="R42" i="5" s="1"/>
  <c r="Z41" i="5"/>
  <c r="Z42" i="5" s="1"/>
  <c r="AH41" i="5"/>
  <c r="AH42" i="5" s="1"/>
  <c r="E62" i="5"/>
  <c r="AB62" i="5"/>
  <c r="T76" i="5"/>
  <c r="H78" i="5"/>
  <c r="AE78" i="5"/>
  <c r="L79" i="5"/>
  <c r="AI79" i="5"/>
  <c r="U80" i="5"/>
  <c r="AM80" i="5"/>
  <c r="K83" i="5"/>
  <c r="AC83" i="5"/>
  <c r="K62" i="5"/>
  <c r="AC62" i="5"/>
  <c r="Z76" i="5"/>
  <c r="I78" i="5"/>
  <c r="AF78" i="5"/>
  <c r="R79" i="5"/>
  <c r="AJ79" i="5"/>
  <c r="V80" i="5"/>
  <c r="L83" i="5"/>
  <c r="AI83" i="5"/>
  <c r="J34" i="4"/>
  <c r="F35" i="4"/>
  <c r="G32" i="4"/>
  <c r="L34" i="4"/>
  <c r="M34" i="4" s="1"/>
  <c r="N34" i="4" s="1"/>
  <c r="O34" i="4" s="1"/>
  <c r="P34" i="4" s="1"/>
  <c r="Q34" i="4" s="1"/>
  <c r="R34" i="4" s="1"/>
  <c r="S34" i="4" s="1"/>
  <c r="T34" i="4" s="1"/>
  <c r="U34" i="4" s="1"/>
  <c r="V34" i="4" s="1"/>
  <c r="W34" i="4" s="1"/>
  <c r="X34" i="4" s="1"/>
  <c r="Y34" i="4" s="1"/>
  <c r="Z34" i="4" s="1"/>
  <c r="AA34" i="4" s="1"/>
  <c r="AB34" i="4" s="1"/>
  <c r="AC34" i="4" s="1"/>
  <c r="AD34" i="4" s="1"/>
  <c r="AE34" i="4" s="1"/>
  <c r="AF34" i="4" s="1"/>
  <c r="AG34" i="4" s="1"/>
  <c r="AH34" i="4" s="1"/>
  <c r="AI34" i="4" s="1"/>
  <c r="AJ34" i="4" s="1"/>
  <c r="AK34" i="4" s="1"/>
  <c r="AL34" i="4" s="1"/>
  <c r="AM34" i="4" s="1"/>
  <c r="AN34" i="4" s="1"/>
  <c r="O40" i="4"/>
  <c r="O41" i="4" s="1"/>
  <c r="Y40" i="4"/>
  <c r="Y41" i="4" s="1"/>
  <c r="AI40" i="4"/>
  <c r="AI41" i="4" s="1"/>
  <c r="M61" i="4"/>
  <c r="L62" i="4"/>
  <c r="P63" i="4"/>
  <c r="W75" i="4"/>
  <c r="AB77" i="4"/>
  <c r="W78" i="4"/>
  <c r="R79" i="4"/>
  <c r="M80" i="4"/>
  <c r="AA81" i="4"/>
  <c r="F40" i="4"/>
  <c r="F41" i="4" s="1"/>
  <c r="P40" i="4"/>
  <c r="P41" i="4" s="1"/>
  <c r="Z40" i="4"/>
  <c r="Z41" i="4" s="1"/>
  <c r="AL40" i="4"/>
  <c r="AL41" i="4" s="1"/>
  <c r="T61" i="4"/>
  <c r="P62" i="4"/>
  <c r="Q63" i="4"/>
  <c r="E77" i="4"/>
  <c r="AK77" i="4"/>
  <c r="AF78" i="4"/>
  <c r="AA79" i="4"/>
  <c r="V80" i="4"/>
  <c r="K82" i="4"/>
  <c r="K34" i="4"/>
  <c r="E35" i="4"/>
  <c r="G40" i="4"/>
  <c r="G41" i="4" s="1"/>
  <c r="Q40" i="4"/>
  <c r="Q41" i="4" s="1"/>
  <c r="AA40" i="4"/>
  <c r="AA41" i="4" s="1"/>
  <c r="AM40" i="4"/>
  <c r="AM41" i="4" s="1"/>
  <c r="U61" i="4"/>
  <c r="R62" i="4"/>
  <c r="R63" i="4"/>
  <c r="F77" i="4"/>
  <c r="AL77" i="4"/>
  <c r="AG78" i="4"/>
  <c r="AB79" i="4"/>
  <c r="W80" i="4"/>
  <c r="Q82" i="4"/>
  <c r="H40" i="4"/>
  <c r="H41" i="4" s="1"/>
  <c r="R40" i="4"/>
  <c r="R41" i="4" s="1"/>
  <c r="AD40" i="4"/>
  <c r="AD41" i="4" s="1"/>
  <c r="AN40" i="4"/>
  <c r="AN41" i="4" s="1"/>
  <c r="V61" i="4"/>
  <c r="Z62" i="4"/>
  <c r="V63" i="4"/>
  <c r="E75" i="4"/>
  <c r="J77" i="4"/>
  <c r="E78" i="4"/>
  <c r="AK78" i="4"/>
  <c r="AF79" i="4"/>
  <c r="AC80" i="4"/>
  <c r="R82" i="4"/>
  <c r="I40" i="4"/>
  <c r="I41" i="4" s="1"/>
  <c r="S40" i="4"/>
  <c r="S41" i="4" s="1"/>
  <c r="AE40" i="4"/>
  <c r="AE41" i="4" s="1"/>
  <c r="F61" i="4"/>
  <c r="Z61" i="4"/>
  <c r="AA62" i="4"/>
  <c r="X63" i="4"/>
  <c r="G75" i="4"/>
  <c r="L77" i="4"/>
  <c r="G78" i="4"/>
  <c r="AM78" i="4"/>
  <c r="AH79" i="4"/>
  <c r="D81" i="4"/>
  <c r="AN82" i="4"/>
  <c r="AF82" i="4"/>
  <c r="X82" i="4"/>
  <c r="P82" i="4"/>
  <c r="H82" i="4"/>
  <c r="Z81" i="4"/>
  <c r="R81" i="4"/>
  <c r="J81" i="4"/>
  <c r="AB80" i="4"/>
  <c r="T80" i="4"/>
  <c r="L80" i="4"/>
  <c r="D80" i="4"/>
  <c r="AG79" i="4"/>
  <c r="Y79" i="4"/>
  <c r="Q79" i="4"/>
  <c r="I79" i="4"/>
  <c r="AL78" i="4"/>
  <c r="AD78" i="4"/>
  <c r="V78" i="4"/>
  <c r="N78" i="4"/>
  <c r="F78" i="4"/>
  <c r="AI77" i="4"/>
  <c r="AA77" i="4"/>
  <c r="S77" i="4"/>
  <c r="K77" i="4"/>
  <c r="D76" i="4"/>
  <c r="V75" i="4"/>
  <c r="N75" i="4"/>
  <c r="F75" i="4"/>
  <c r="W63" i="4"/>
  <c r="O63" i="4"/>
  <c r="G63" i="4"/>
  <c r="Y62" i="4"/>
  <c r="Q62" i="4"/>
  <c r="I62" i="4"/>
  <c r="AA61" i="4"/>
  <c r="S61" i="4"/>
  <c r="K61" i="4"/>
  <c r="AM82" i="4"/>
  <c r="AE82" i="4"/>
  <c r="W82" i="4"/>
  <c r="O82" i="4"/>
  <c r="G82" i="4"/>
  <c r="Y81" i="4"/>
  <c r="Q81" i="4"/>
  <c r="I81" i="4"/>
  <c r="AA80" i="4"/>
  <c r="Q83" i="4"/>
  <c r="AL82" i="4"/>
  <c r="AD82" i="4"/>
  <c r="V82" i="4"/>
  <c r="N82" i="4"/>
  <c r="F82" i="4"/>
  <c r="X81" i="4"/>
  <c r="P81" i="4"/>
  <c r="H81" i="4"/>
  <c r="Z80" i="4"/>
  <c r="R80" i="4"/>
  <c r="J80" i="4"/>
  <c r="AM79" i="4"/>
  <c r="AE79" i="4"/>
  <c r="W79" i="4"/>
  <c r="O79" i="4"/>
  <c r="G79" i="4"/>
  <c r="AJ78" i="4"/>
  <c r="AB78" i="4"/>
  <c r="T78" i="4"/>
  <c r="L78" i="4"/>
  <c r="D78" i="4"/>
  <c r="AG77" i="4"/>
  <c r="Y77" i="4"/>
  <c r="Q77" i="4"/>
  <c r="I77" i="4"/>
  <c r="AB75" i="4"/>
  <c r="T75" i="4"/>
  <c r="L75" i="4"/>
  <c r="D75" i="4"/>
  <c r="AC63" i="4"/>
  <c r="U63" i="4"/>
  <c r="M63" i="4"/>
  <c r="E63" i="4"/>
  <c r="W62" i="4"/>
  <c r="O62" i="4"/>
  <c r="G62" i="4"/>
  <c r="Y61" i="4"/>
  <c r="AK82" i="4"/>
  <c r="AC82" i="4"/>
  <c r="U82" i="4"/>
  <c r="M82" i="4"/>
  <c r="E82" i="4"/>
  <c r="W81" i="4"/>
  <c r="O81" i="4"/>
  <c r="G81" i="4"/>
  <c r="Y80" i="4"/>
  <c r="Q80" i="4"/>
  <c r="I80" i="4"/>
  <c r="AL79" i="4"/>
  <c r="AD79" i="4"/>
  <c r="V79" i="4"/>
  <c r="N79" i="4"/>
  <c r="F79" i="4"/>
  <c r="AI78" i="4"/>
  <c r="AA78" i="4"/>
  <c r="S78" i="4"/>
  <c r="K78" i="4"/>
  <c r="AN77" i="4"/>
  <c r="AF77" i="4"/>
  <c r="X77" i="4"/>
  <c r="P77" i="4"/>
  <c r="H77" i="4"/>
  <c r="AA75" i="4"/>
  <c r="S75" i="4"/>
  <c r="K75" i="4"/>
  <c r="AB63" i="4"/>
  <c r="T63" i="4"/>
  <c r="L63" i="4"/>
  <c r="D63" i="4"/>
  <c r="V62" i="4"/>
  <c r="N62" i="4"/>
  <c r="F62" i="4"/>
  <c r="X61" i="4"/>
  <c r="P61" i="4"/>
  <c r="H61" i="4"/>
  <c r="AJ82" i="4"/>
  <c r="AB82" i="4"/>
  <c r="T82" i="4"/>
  <c r="L82" i="4"/>
  <c r="D82" i="4"/>
  <c r="V81" i="4"/>
  <c r="N81" i="4"/>
  <c r="F81" i="4"/>
  <c r="X80" i="4"/>
  <c r="P80" i="4"/>
  <c r="H80" i="4"/>
  <c r="AK79" i="4"/>
  <c r="AC79" i="4"/>
  <c r="U79" i="4"/>
  <c r="M79" i="4"/>
  <c r="E79" i="4"/>
  <c r="AH78" i="4"/>
  <c r="Z78" i="4"/>
  <c r="R78" i="4"/>
  <c r="J78" i="4"/>
  <c r="AM77" i="4"/>
  <c r="AE77" i="4"/>
  <c r="W77" i="4"/>
  <c r="O77" i="4"/>
  <c r="G77" i="4"/>
  <c r="Z75" i="4"/>
  <c r="R75" i="4"/>
  <c r="J75" i="4"/>
  <c r="AA63" i="4"/>
  <c r="S63" i="4"/>
  <c r="K63" i="4"/>
  <c r="AC62" i="4"/>
  <c r="U62" i="4"/>
  <c r="M62" i="4"/>
  <c r="E62" i="4"/>
  <c r="W61" i="4"/>
  <c r="O61" i="4"/>
  <c r="G61" i="4"/>
  <c r="AA82" i="4"/>
  <c r="I82" i="4"/>
  <c r="L81" i="4"/>
  <c r="S80" i="4"/>
  <c r="AN79" i="4"/>
  <c r="X79" i="4"/>
  <c r="H79" i="4"/>
  <c r="AC78" i="4"/>
  <c r="M78" i="4"/>
  <c r="AH77" i="4"/>
  <c r="R77" i="4"/>
  <c r="AC75" i="4"/>
  <c r="M75" i="4"/>
  <c r="N63" i="4"/>
  <c r="X62" i="4"/>
  <c r="H62" i="4"/>
  <c r="R61" i="4"/>
  <c r="E61" i="4"/>
  <c r="AK40" i="4"/>
  <c r="AK41" i="4" s="1"/>
  <c r="AC40" i="4"/>
  <c r="AC41" i="4" s="1"/>
  <c r="U40" i="4"/>
  <c r="U41" i="4" s="1"/>
  <c r="M40" i="4"/>
  <c r="M41" i="4" s="1"/>
  <c r="E40" i="4"/>
  <c r="E41" i="4" s="1"/>
  <c r="Z82" i="4"/>
  <c r="AC81" i="4"/>
  <c r="K81" i="4"/>
  <c r="O80" i="4"/>
  <c r="AJ79" i="4"/>
  <c r="T79" i="4"/>
  <c r="D79" i="4"/>
  <c r="Y78" i="4"/>
  <c r="I78" i="4"/>
  <c r="AD77" i="4"/>
  <c r="N77" i="4"/>
  <c r="Y75" i="4"/>
  <c r="I75" i="4"/>
  <c r="Z63" i="4"/>
  <c r="J63" i="4"/>
  <c r="T62" i="4"/>
  <c r="D62" i="4"/>
  <c r="Q61" i="4"/>
  <c r="D61" i="4"/>
  <c r="AJ40" i="4"/>
  <c r="AJ41" i="4" s="1"/>
  <c r="AB40" i="4"/>
  <c r="AB41" i="4" s="1"/>
  <c r="T40" i="4"/>
  <c r="T41" i="4" s="1"/>
  <c r="L40" i="4"/>
  <c r="L41" i="4" s="1"/>
  <c r="D40" i="4"/>
  <c r="D41" i="4" s="1"/>
  <c r="D42" i="4" s="1"/>
  <c r="D44" i="4" s="1"/>
  <c r="Y82" i="4"/>
  <c r="AB81" i="4"/>
  <c r="E81" i="4"/>
  <c r="N80" i="4"/>
  <c r="AI79" i="4"/>
  <c r="S79" i="4"/>
  <c r="AN78" i="4"/>
  <c r="X78" i="4"/>
  <c r="H78" i="4"/>
  <c r="AC77" i="4"/>
  <c r="M77" i="4"/>
  <c r="X75" i="4"/>
  <c r="H75" i="4"/>
  <c r="Y63" i="4"/>
  <c r="I63" i="4"/>
  <c r="S62" i="4"/>
  <c r="AC61" i="4"/>
  <c r="N61" i="4"/>
  <c r="AG82" i="4"/>
  <c r="J82" i="4"/>
  <c r="M81" i="4"/>
  <c r="U80" i="4"/>
  <c r="E80" i="4"/>
  <c r="Z79" i="4"/>
  <c r="J79" i="4"/>
  <c r="AE78" i="4"/>
  <c r="O78" i="4"/>
  <c r="AJ77" i="4"/>
  <c r="T77" i="4"/>
  <c r="D77" i="4"/>
  <c r="O75" i="4"/>
  <c r="J40" i="4"/>
  <c r="J41" i="4" s="1"/>
  <c r="V40" i="4"/>
  <c r="V41" i="4" s="1"/>
  <c r="AF40" i="4"/>
  <c r="AF41" i="4" s="1"/>
  <c r="I61" i="4"/>
  <c r="AB61" i="4"/>
  <c r="AB62" i="4"/>
  <c r="P75" i="4"/>
  <c r="U77" i="4"/>
  <c r="P78" i="4"/>
  <c r="K79" i="4"/>
  <c r="F80" i="4"/>
  <c r="S81" i="4"/>
  <c r="AH82" i="4"/>
  <c r="E35" i="3"/>
  <c r="F32" i="3"/>
  <c r="K34" i="3"/>
  <c r="L34" i="3" s="1"/>
  <c r="M34" i="3" s="1"/>
  <c r="N34" i="3" s="1"/>
  <c r="O34" i="3" s="1"/>
  <c r="P34" i="3" s="1"/>
  <c r="Q34" i="3" s="1"/>
  <c r="R34" i="3" s="1"/>
  <c r="S34" i="3" s="1"/>
  <c r="T34" i="3" s="1"/>
  <c r="U34" i="3" s="1"/>
  <c r="V34" i="3" s="1"/>
  <c r="W34" i="3" s="1"/>
  <c r="X34" i="3" s="1"/>
  <c r="Y34" i="3" s="1"/>
  <c r="Z34" i="3" s="1"/>
  <c r="AA34" i="3" s="1"/>
  <c r="AB34" i="3" s="1"/>
  <c r="AC34" i="3" s="1"/>
  <c r="AD34" i="3" s="1"/>
  <c r="AE34" i="3" s="1"/>
  <c r="AF34" i="3" s="1"/>
  <c r="AG34" i="3" s="1"/>
  <c r="AH34" i="3" s="1"/>
  <c r="AI34" i="3" s="1"/>
  <c r="AJ34" i="3" s="1"/>
  <c r="AK34" i="3" s="1"/>
  <c r="AL34" i="3" s="1"/>
  <c r="AM34" i="3" s="1"/>
  <c r="AN34" i="3" s="1"/>
  <c r="J34" i="3"/>
  <c r="R61" i="3"/>
  <c r="H62" i="3"/>
  <c r="X62" i="3"/>
  <c r="S63" i="3"/>
  <c r="N65" i="3"/>
  <c r="AD65" i="3"/>
  <c r="T75" i="3"/>
  <c r="P77" i="3"/>
  <c r="AJ77" i="3"/>
  <c r="D79" i="3"/>
  <c r="Y79" i="3"/>
  <c r="L80" i="3"/>
  <c r="I81" i="3"/>
  <c r="H82" i="3"/>
  <c r="AM82" i="3"/>
  <c r="AE82" i="3"/>
  <c r="W82" i="3"/>
  <c r="O82" i="3"/>
  <c r="G82" i="3"/>
  <c r="U81" i="3"/>
  <c r="M81" i="3"/>
  <c r="E81" i="3"/>
  <c r="S80" i="3"/>
  <c r="K80" i="3"/>
  <c r="AN79" i="3"/>
  <c r="AF79" i="3"/>
  <c r="X79" i="3"/>
  <c r="P79" i="3"/>
  <c r="H79" i="3"/>
  <c r="AH77" i="3"/>
  <c r="Z77" i="3"/>
  <c r="R77" i="3"/>
  <c r="J77" i="3"/>
  <c r="AD75" i="3"/>
  <c r="V75" i="3"/>
  <c r="N75" i="3"/>
  <c r="F75" i="3"/>
  <c r="AH65" i="3"/>
  <c r="Z65" i="3"/>
  <c r="R65" i="3"/>
  <c r="J65" i="3"/>
  <c r="X63" i="3"/>
  <c r="P63" i="3"/>
  <c r="H63" i="3"/>
  <c r="V62" i="3"/>
  <c r="N62" i="3"/>
  <c r="F62" i="3"/>
  <c r="Y61" i="3"/>
  <c r="Q61" i="3"/>
  <c r="I61" i="3"/>
  <c r="AL82" i="3"/>
  <c r="AD82" i="3"/>
  <c r="V82" i="3"/>
  <c r="N82" i="3"/>
  <c r="F82" i="3"/>
  <c r="T81" i="3"/>
  <c r="L81" i="3"/>
  <c r="D81" i="3"/>
  <c r="R80" i="3"/>
  <c r="J80" i="3"/>
  <c r="AM79" i="3"/>
  <c r="AE79" i="3"/>
  <c r="W79" i="3"/>
  <c r="O79" i="3"/>
  <c r="G79" i="3"/>
  <c r="AG77" i="3"/>
  <c r="Y77" i="3"/>
  <c r="Q77" i="3"/>
  <c r="I77" i="3"/>
  <c r="AC75" i="3"/>
  <c r="U75" i="3"/>
  <c r="M75" i="3"/>
  <c r="E75" i="3"/>
  <c r="AG65" i="3"/>
  <c r="Y65" i="3"/>
  <c r="Q65" i="3"/>
  <c r="I65" i="3"/>
  <c r="W63" i="3"/>
  <c r="O63" i="3"/>
  <c r="G63" i="3"/>
  <c r="U62" i="3"/>
  <c r="M62" i="3"/>
  <c r="E62" i="3"/>
  <c r="X61" i="3"/>
  <c r="P61" i="3"/>
  <c r="H61" i="3"/>
  <c r="AJ82" i="3"/>
  <c r="AB82" i="3"/>
  <c r="T82" i="3"/>
  <c r="L82" i="3"/>
  <c r="D82" i="3"/>
  <c r="R81" i="3"/>
  <c r="J81" i="3"/>
  <c r="X80" i="3"/>
  <c r="P80" i="3"/>
  <c r="H80" i="3"/>
  <c r="AK79" i="3"/>
  <c r="AC79" i="3"/>
  <c r="U79" i="3"/>
  <c r="M79" i="3"/>
  <c r="E79" i="3"/>
  <c r="AM77" i="3"/>
  <c r="AE77" i="3"/>
  <c r="W77" i="3"/>
  <c r="O77" i="3"/>
  <c r="G77" i="3"/>
  <c r="AA75" i="3"/>
  <c r="S75" i="3"/>
  <c r="K75" i="3"/>
  <c r="AM65" i="3"/>
  <c r="AE65" i="3"/>
  <c r="W65" i="3"/>
  <c r="O65" i="3"/>
  <c r="G65" i="3"/>
  <c r="U63" i="3"/>
  <c r="M63" i="3"/>
  <c r="E63" i="3"/>
  <c r="S62" i="3"/>
  <c r="K62" i="3"/>
  <c r="AD61" i="3"/>
  <c r="V61" i="3"/>
  <c r="N61" i="3"/>
  <c r="F61" i="3"/>
  <c r="AH82" i="3"/>
  <c r="Z82" i="3"/>
  <c r="R82" i="3"/>
  <c r="J82" i="3"/>
  <c r="X81" i="3"/>
  <c r="P81" i="3"/>
  <c r="H81" i="3"/>
  <c r="V80" i="3"/>
  <c r="N80" i="3"/>
  <c r="F80" i="3"/>
  <c r="AI79" i="3"/>
  <c r="AA79" i="3"/>
  <c r="S79" i="3"/>
  <c r="K79" i="3"/>
  <c r="AK77" i="3"/>
  <c r="AC77" i="3"/>
  <c r="U77" i="3"/>
  <c r="M77" i="3"/>
  <c r="E77" i="3"/>
  <c r="Y75" i="3"/>
  <c r="Q75" i="3"/>
  <c r="I75" i="3"/>
  <c r="AK65" i="3"/>
  <c r="AC82" i="3"/>
  <c r="M82" i="3"/>
  <c r="S81" i="3"/>
  <c r="Y80" i="3"/>
  <c r="I80" i="3"/>
  <c r="AD79" i="3"/>
  <c r="N79" i="3"/>
  <c r="AD77" i="3"/>
  <c r="N77" i="3"/>
  <c r="Z75" i="3"/>
  <c r="J75" i="3"/>
  <c r="AL65" i="3"/>
  <c r="X65" i="3"/>
  <c r="L65" i="3"/>
  <c r="T63" i="3"/>
  <c r="I63" i="3"/>
  <c r="Q62" i="3"/>
  <c r="D62" i="3"/>
  <c r="S61" i="3"/>
  <c r="E61" i="3"/>
  <c r="AN40" i="3"/>
  <c r="AN41" i="3" s="1"/>
  <c r="AF40" i="3"/>
  <c r="AF41" i="3" s="1"/>
  <c r="X40" i="3"/>
  <c r="X41" i="3" s="1"/>
  <c r="P40" i="3"/>
  <c r="P41" i="3" s="1"/>
  <c r="H40" i="3"/>
  <c r="H41" i="3" s="1"/>
  <c r="Y82" i="3"/>
  <c r="I82" i="3"/>
  <c r="O81" i="3"/>
  <c r="U80" i="3"/>
  <c r="E80" i="3"/>
  <c r="Z79" i="3"/>
  <c r="J79" i="3"/>
  <c r="AA77" i="3"/>
  <c r="K77" i="3"/>
  <c r="W75" i="3"/>
  <c r="G75" i="3"/>
  <c r="AI65" i="3"/>
  <c r="U65" i="3"/>
  <c r="H65" i="3"/>
  <c r="R63" i="3"/>
  <c r="D63" i="3"/>
  <c r="O62" i="3"/>
  <c r="AB61" i="3"/>
  <c r="O61" i="3"/>
  <c r="AL40" i="3"/>
  <c r="AL41" i="3" s="1"/>
  <c r="AD40" i="3"/>
  <c r="AD41" i="3" s="1"/>
  <c r="V40" i="3"/>
  <c r="V41" i="3" s="1"/>
  <c r="N40" i="3"/>
  <c r="N41" i="3" s="1"/>
  <c r="F40" i="3"/>
  <c r="F41" i="3" s="1"/>
  <c r="E40" i="3"/>
  <c r="E41" i="3" s="1"/>
  <c r="E42" i="3" s="1"/>
  <c r="Q40" i="3"/>
  <c r="Q41" i="3" s="1"/>
  <c r="AA40" i="3"/>
  <c r="AA41" i="3" s="1"/>
  <c r="AK40" i="3"/>
  <c r="AK41" i="3" s="1"/>
  <c r="T61" i="3"/>
  <c r="I62" i="3"/>
  <c r="Y62" i="3"/>
  <c r="V63" i="3"/>
  <c r="P65" i="3"/>
  <c r="AF65" i="3"/>
  <c r="X75" i="3"/>
  <c r="S77" i="3"/>
  <c r="AL77" i="3"/>
  <c r="F79" i="3"/>
  <c r="AB79" i="3"/>
  <c r="M80" i="3"/>
  <c r="K81" i="3"/>
  <c r="K82" i="3"/>
  <c r="AG82" i="3"/>
  <c r="D61" i="3"/>
  <c r="U61" i="3"/>
  <c r="J62" i="3"/>
  <c r="F63" i="3"/>
  <c r="Y63" i="3"/>
  <c r="S65" i="3"/>
  <c r="AJ65" i="3"/>
  <c r="D75" i="3"/>
  <c r="AB75" i="3"/>
  <c r="T77" i="3"/>
  <c r="AN77" i="3"/>
  <c r="I79" i="3"/>
  <c r="AG79" i="3"/>
  <c r="O80" i="3"/>
  <c r="N81" i="3"/>
  <c r="P82" i="3"/>
  <c r="AI82" i="3"/>
  <c r="I40" i="3"/>
  <c r="I41" i="3" s="1"/>
  <c r="S40" i="3"/>
  <c r="S41" i="3" s="1"/>
  <c r="AC40" i="3"/>
  <c r="AC41" i="3" s="1"/>
  <c r="G61" i="3"/>
  <c r="W61" i="3"/>
  <c r="L62" i="3"/>
  <c r="J63" i="3"/>
  <c r="D65" i="3"/>
  <c r="T65" i="3"/>
  <c r="AN65" i="3"/>
  <c r="H75" i="3"/>
  <c r="D76" i="3"/>
  <c r="V77" i="3"/>
  <c r="L79" i="3"/>
  <c r="AH79" i="3"/>
  <c r="Q80" i="3"/>
  <c r="Q81" i="3"/>
  <c r="Q82" i="3"/>
  <c r="AK82" i="3"/>
  <c r="C13" i="3"/>
  <c r="E11" i="3" s="1"/>
  <c r="D44" i="3" s="1"/>
  <c r="D35" i="3"/>
  <c r="J40" i="3"/>
  <c r="J41" i="3" s="1"/>
  <c r="T40" i="3"/>
  <c r="T41" i="3" s="1"/>
  <c r="AE40" i="3"/>
  <c r="AE41" i="3" s="1"/>
  <c r="J61" i="3"/>
  <c r="Z61" i="3"/>
  <c r="P62" i="3"/>
  <c r="K63" i="3"/>
  <c r="E65" i="3"/>
  <c r="V65" i="3"/>
  <c r="L75" i="3"/>
  <c r="D77" i="3"/>
  <c r="X77" i="3"/>
  <c r="Q79" i="3"/>
  <c r="AJ79" i="3"/>
  <c r="T80" i="3"/>
  <c r="V81" i="3"/>
  <c r="S82" i="3"/>
  <c r="AN82" i="3"/>
  <c r="K40" i="3"/>
  <c r="K41" i="3" s="1"/>
  <c r="U40" i="3"/>
  <c r="U41" i="3" s="1"/>
  <c r="AG40" i="3"/>
  <c r="AG41" i="3" s="1"/>
  <c r="K61" i="3"/>
  <c r="AA61" i="3"/>
  <c r="R62" i="3"/>
  <c r="L63" i="3"/>
  <c r="F65" i="3"/>
  <c r="AA65" i="3"/>
  <c r="O75" i="3"/>
  <c r="F77" i="3"/>
  <c r="AB77" i="3"/>
  <c r="R79" i="3"/>
  <c r="AL79" i="3"/>
  <c r="W80" i="3"/>
  <c r="W81" i="3"/>
  <c r="U82" i="3"/>
  <c r="L40" i="3"/>
  <c r="L41" i="3" s="1"/>
  <c r="W40" i="3"/>
  <c r="W41" i="3" s="1"/>
  <c r="AH40" i="3"/>
  <c r="AH41" i="3" s="1"/>
  <c r="L61" i="3"/>
  <c r="AC61" i="3"/>
  <c r="T62" i="3"/>
  <c r="N63" i="3"/>
  <c r="K65" i="3"/>
  <c r="AB65" i="3"/>
  <c r="P75" i="3"/>
  <c r="H77" i="3"/>
  <c r="AF77" i="3"/>
  <c r="T79" i="3"/>
  <c r="D80" i="3"/>
  <c r="F81" i="3"/>
  <c r="Y81" i="3"/>
  <c r="X82" i="3"/>
  <c r="AH16" i="1"/>
  <c r="AT16" i="1"/>
  <c r="AU16" i="1"/>
  <c r="AM16" i="1"/>
  <c r="AQ8" i="1"/>
  <c r="AN16" i="1"/>
  <c r="AA17" i="1"/>
  <c r="AE6" i="1"/>
  <c r="AE38" i="1" s="1"/>
  <c r="AD8" i="1"/>
  <c r="AJ16" i="1"/>
  <c r="AA16" i="1"/>
  <c r="AA13" i="1"/>
  <c r="AG16" i="1"/>
  <c r="AK8" i="1"/>
  <c r="AS16" i="1"/>
  <c r="AW8" i="1"/>
  <c r="AB6" i="1"/>
  <c r="AB8" i="1" s="1"/>
  <c r="AK6" i="1"/>
  <c r="AK38" i="1" s="1"/>
  <c r="AC6" i="1"/>
  <c r="AC8" i="1" s="1"/>
  <c r="AE10" i="1"/>
  <c r="D29" i="8" l="1"/>
  <c r="F29" i="8"/>
  <c r="E29" i="8"/>
  <c r="C29" i="8"/>
  <c r="C4" i="12"/>
  <c r="G97" i="8"/>
  <c r="G96" i="8" s="1"/>
  <c r="G180" i="8"/>
  <c r="H180" i="8" s="1"/>
  <c r="G126" i="8"/>
  <c r="J62" i="8"/>
  <c r="J72" i="8"/>
  <c r="H183" i="8"/>
  <c r="C144" i="8"/>
  <c r="G162" i="8"/>
  <c r="H162" i="8" s="1"/>
  <c r="G168" i="8"/>
  <c r="H168" i="8" s="1"/>
  <c r="G172" i="8"/>
  <c r="D144" i="8"/>
  <c r="F144" i="8"/>
  <c r="E144" i="8"/>
  <c r="F30" i="8"/>
  <c r="F35" i="8" s="1"/>
  <c r="F37" i="8" s="1"/>
  <c r="F39" i="8" s="1"/>
  <c r="F40" i="8" s="1"/>
  <c r="C22" i="8"/>
  <c r="J14" i="8"/>
  <c r="D30" i="8"/>
  <c r="D35" i="8" s="1"/>
  <c r="D37" i="8" s="1"/>
  <c r="D39" i="8" s="1"/>
  <c r="D40" i="8" s="1"/>
  <c r="E30" i="8"/>
  <c r="E35" i="8" s="1"/>
  <c r="E37" i="8" s="1"/>
  <c r="E39" i="8" s="1"/>
  <c r="E40" i="8" s="1"/>
  <c r="C35" i="8"/>
  <c r="C37" i="8" s="1"/>
  <c r="C39" i="8" s="1"/>
  <c r="C40" i="8" s="1"/>
  <c r="C31" i="8"/>
  <c r="G35" i="7"/>
  <c r="H32" i="7"/>
  <c r="E44" i="7"/>
  <c r="D44" i="7"/>
  <c r="F42" i="7"/>
  <c r="F44" i="7" s="1"/>
  <c r="D45" i="6"/>
  <c r="D54" i="6" s="1"/>
  <c r="D46" i="6"/>
  <c r="D47" i="6" s="1"/>
  <c r="F42" i="6"/>
  <c r="F44" i="6" s="1"/>
  <c r="G42" i="6"/>
  <c r="G44" i="6" s="1"/>
  <c r="E44" i="6"/>
  <c r="G32" i="6"/>
  <c r="F35" i="6"/>
  <c r="D47" i="5"/>
  <c r="D48" i="5" s="1"/>
  <c r="D46" i="5"/>
  <c r="D55" i="5" s="1"/>
  <c r="AF35" i="5"/>
  <c r="AG35" i="5" s="1"/>
  <c r="AH35" i="5" s="1"/>
  <c r="AI35" i="5" s="1"/>
  <c r="AJ35" i="5" s="1"/>
  <c r="AK35" i="5" s="1"/>
  <c r="AL35" i="5" s="1"/>
  <c r="AM35" i="5" s="1"/>
  <c r="AN35" i="5" s="1"/>
  <c r="E43" i="5"/>
  <c r="E36" i="5"/>
  <c r="F33" i="5"/>
  <c r="G35" i="4"/>
  <c r="H32" i="4"/>
  <c r="D46" i="4"/>
  <c r="D47" i="4" s="1"/>
  <c r="D45" i="4"/>
  <c r="D54" i="4" s="1"/>
  <c r="E42" i="4"/>
  <c r="E44" i="4" s="1"/>
  <c r="D45" i="3"/>
  <c r="D54" i="3" s="1"/>
  <c r="D46" i="3"/>
  <c r="D47" i="3" s="1"/>
  <c r="E44" i="3"/>
  <c r="F42" i="3"/>
  <c r="F35" i="3"/>
  <c r="G32" i="3"/>
  <c r="AC16" i="1"/>
  <c r="AB16" i="1"/>
  <c r="AE8" i="1"/>
  <c r="AW16" i="1"/>
  <c r="AQ16" i="1"/>
  <c r="AA19" i="1"/>
  <c r="AA21" i="1" s="1"/>
  <c r="AB15" i="1" s="1"/>
  <c r="AK16" i="1"/>
  <c r="AA22" i="1"/>
  <c r="AB10" i="1" s="1"/>
  <c r="AD16" i="1"/>
  <c r="G208" i="8" l="1"/>
  <c r="H208" i="8"/>
  <c r="I208" i="8"/>
  <c r="J208" i="8"/>
  <c r="H186" i="8"/>
  <c r="H191" i="8"/>
  <c r="D145" i="8"/>
  <c r="D127" i="8" s="1"/>
  <c r="H153" i="8"/>
  <c r="H172" i="8"/>
  <c r="I180" i="8"/>
  <c r="H158" i="8"/>
  <c r="E145" i="8"/>
  <c r="E127" i="8" s="1"/>
  <c r="F145" i="8"/>
  <c r="F127" i="8" s="1"/>
  <c r="I162" i="8"/>
  <c r="I168" i="8"/>
  <c r="F31" i="8"/>
  <c r="E31" i="8"/>
  <c r="D31" i="8"/>
  <c r="F45" i="7"/>
  <c r="F54" i="7" s="1"/>
  <c r="F46" i="7"/>
  <c r="G42" i="7"/>
  <c r="D45" i="7"/>
  <c r="D54" i="7" s="1"/>
  <c r="D46" i="7"/>
  <c r="D47" i="7" s="1"/>
  <c r="E45" i="7"/>
  <c r="E54" i="7" s="1"/>
  <c r="E46" i="7"/>
  <c r="E47" i="7" s="1"/>
  <c r="H35" i="7"/>
  <c r="I32" i="7"/>
  <c r="G46" i="6"/>
  <c r="G45" i="6"/>
  <c r="G54" i="6" s="1"/>
  <c r="H42" i="6"/>
  <c r="F46" i="6"/>
  <c r="F47" i="6" s="1"/>
  <c r="F45" i="6"/>
  <c r="F54" i="6" s="1"/>
  <c r="H32" i="6"/>
  <c r="G35" i="6"/>
  <c r="D51" i="6"/>
  <c r="D74" i="6"/>
  <c r="E46" i="6"/>
  <c r="E47" i="6" s="1"/>
  <c r="E45" i="6"/>
  <c r="E54" i="6" s="1"/>
  <c r="F36" i="5"/>
  <c r="G33" i="5"/>
  <c r="D75" i="5"/>
  <c r="D82" i="5"/>
  <c r="D52" i="5"/>
  <c r="E45" i="5"/>
  <c r="F43" i="5"/>
  <c r="E45" i="4"/>
  <c r="E54" i="4" s="1"/>
  <c r="E46" i="4"/>
  <c r="E47" i="4" s="1"/>
  <c r="D74" i="4"/>
  <c r="D83" i="4"/>
  <c r="D51" i="4"/>
  <c r="H35" i="4"/>
  <c r="I32" i="4"/>
  <c r="F42" i="4"/>
  <c r="H32" i="3"/>
  <c r="G35" i="3"/>
  <c r="F44" i="3"/>
  <c r="G42" i="3"/>
  <c r="D83" i="3"/>
  <c r="D74" i="3"/>
  <c r="D51" i="3"/>
  <c r="E46" i="3"/>
  <c r="E47" i="3" s="1"/>
  <c r="E45" i="3"/>
  <c r="E54" i="3" s="1"/>
  <c r="AB18" i="1"/>
  <c r="AE16" i="1"/>
  <c r="AB12" i="1"/>
  <c r="G206" i="8" l="1"/>
  <c r="H97" i="8"/>
  <c r="I158" i="8"/>
  <c r="I183" i="8"/>
  <c r="I191" i="8" s="1"/>
  <c r="H96" i="8"/>
  <c r="I153" i="8"/>
  <c r="J180" i="8"/>
  <c r="I172" i="8"/>
  <c r="J162" i="8"/>
  <c r="J168" i="8"/>
  <c r="G44" i="7"/>
  <c r="H42" i="7"/>
  <c r="F47" i="7"/>
  <c r="E74" i="7"/>
  <c r="E83" i="7"/>
  <c r="E51" i="7"/>
  <c r="D74" i="7"/>
  <c r="D51" i="7"/>
  <c r="D83" i="7"/>
  <c r="I35" i="7"/>
  <c r="J32" i="7"/>
  <c r="F74" i="6"/>
  <c r="F51" i="6"/>
  <c r="H44" i="6"/>
  <c r="I42" i="6"/>
  <c r="D58" i="6"/>
  <c r="D68" i="6" s="1"/>
  <c r="D71" i="6"/>
  <c r="D86" i="6" s="1"/>
  <c r="E74" i="6"/>
  <c r="E51" i="6"/>
  <c r="H35" i="6"/>
  <c r="I32" i="6"/>
  <c r="G47" i="6"/>
  <c r="E46" i="5"/>
  <c r="E55" i="5" s="1"/>
  <c r="E47" i="5"/>
  <c r="E48" i="5" s="1"/>
  <c r="D87" i="5"/>
  <c r="H33" i="5"/>
  <c r="G36" i="5"/>
  <c r="F45" i="5"/>
  <c r="G43" i="5"/>
  <c r="D59" i="5"/>
  <c r="D69" i="5" s="1"/>
  <c r="D72" i="5"/>
  <c r="I35" i="4"/>
  <c r="J32" i="4"/>
  <c r="D71" i="4"/>
  <c r="D58" i="4"/>
  <c r="D68" i="4" s="1"/>
  <c r="D86" i="4"/>
  <c r="E74" i="4"/>
  <c r="E83" i="4"/>
  <c r="E51" i="4"/>
  <c r="F44" i="4"/>
  <c r="G42" i="4"/>
  <c r="E83" i="3"/>
  <c r="E51" i="3"/>
  <c r="E74" i="3"/>
  <c r="D58" i="3"/>
  <c r="D68" i="3" s="1"/>
  <c r="D71" i="3"/>
  <c r="D86" i="3" s="1"/>
  <c r="G44" i="3"/>
  <c r="H42" i="3"/>
  <c r="F46" i="3"/>
  <c r="F47" i="3" s="1"/>
  <c r="F45" i="3"/>
  <c r="F54" i="3" s="1"/>
  <c r="I32" i="3"/>
  <c r="H35" i="3"/>
  <c r="AB17" i="1"/>
  <c r="AB13" i="1"/>
  <c r="J158" i="8" l="1"/>
  <c r="I186" i="8"/>
  <c r="J153" i="8"/>
  <c r="J172" i="8"/>
  <c r="G45" i="7"/>
  <c r="G54" i="7" s="1"/>
  <c r="G46" i="7"/>
  <c r="G47" i="7" s="1"/>
  <c r="E71" i="7"/>
  <c r="E58" i="7"/>
  <c r="D86" i="7"/>
  <c r="J35" i="7"/>
  <c r="K32" i="7"/>
  <c r="F74" i="7"/>
  <c r="F83" i="7"/>
  <c r="F51" i="7"/>
  <c r="D71" i="7"/>
  <c r="D58" i="7"/>
  <c r="D68" i="7" s="1"/>
  <c r="E86" i="7"/>
  <c r="H44" i="7"/>
  <c r="I42" i="7"/>
  <c r="D87" i="6"/>
  <c r="I44" i="6"/>
  <c r="J42" i="6"/>
  <c r="E58" i="6"/>
  <c r="E71" i="6"/>
  <c r="E86" i="6" s="1"/>
  <c r="H46" i="6"/>
  <c r="H47" i="6" s="1"/>
  <c r="H45" i="6"/>
  <c r="H54" i="6" s="1"/>
  <c r="G51" i="6"/>
  <c r="G74" i="6"/>
  <c r="I35" i="6"/>
  <c r="J32" i="6"/>
  <c r="F71" i="6"/>
  <c r="F86" i="6" s="1"/>
  <c r="F58" i="6"/>
  <c r="F46" i="5"/>
  <c r="F55" i="5" s="1"/>
  <c r="F47" i="5"/>
  <c r="F48" i="5" s="1"/>
  <c r="D88" i="5"/>
  <c r="G45" i="5"/>
  <c r="H43" i="5"/>
  <c r="I33" i="5"/>
  <c r="H36" i="5"/>
  <c r="E75" i="5"/>
  <c r="E82" i="5"/>
  <c r="E52" i="5"/>
  <c r="D87" i="4"/>
  <c r="G44" i="4"/>
  <c r="H42" i="4"/>
  <c r="F45" i="4"/>
  <c r="F54" i="4" s="1"/>
  <c r="F46" i="4"/>
  <c r="F47" i="4" s="1"/>
  <c r="J35" i="4"/>
  <c r="K32" i="4"/>
  <c r="E71" i="4"/>
  <c r="E86" i="4" s="1"/>
  <c r="E58" i="4"/>
  <c r="E68" i="4" s="1"/>
  <c r="D87" i="3"/>
  <c r="F74" i="3"/>
  <c r="F83" i="3"/>
  <c r="F51" i="3"/>
  <c r="H44" i="3"/>
  <c r="I42" i="3"/>
  <c r="G46" i="3"/>
  <c r="G47" i="3" s="1"/>
  <c r="G45" i="3"/>
  <c r="G54" i="3" s="1"/>
  <c r="J32" i="3"/>
  <c r="I35" i="3"/>
  <c r="E71" i="3"/>
  <c r="E86" i="3" s="1"/>
  <c r="E58" i="3"/>
  <c r="AB22" i="1"/>
  <c r="AC10" i="1" s="1"/>
  <c r="AB19" i="1"/>
  <c r="I97" i="8" l="1"/>
  <c r="J183" i="8"/>
  <c r="I44" i="7"/>
  <c r="J42" i="7"/>
  <c r="L32" i="7"/>
  <c r="K35" i="7"/>
  <c r="H46" i="7"/>
  <c r="H47" i="7" s="1"/>
  <c r="H45" i="7"/>
  <c r="H54" i="7" s="1"/>
  <c r="E59" i="7"/>
  <c r="E68" i="7"/>
  <c r="F58" i="7"/>
  <c r="F71" i="7"/>
  <c r="F86" i="7" s="1"/>
  <c r="G74" i="7"/>
  <c r="G83" i="7"/>
  <c r="G51" i="7"/>
  <c r="D87" i="7"/>
  <c r="E59" i="6"/>
  <c r="E68" i="6"/>
  <c r="J44" i="6"/>
  <c r="K42" i="6"/>
  <c r="J35" i="6"/>
  <c r="K32" i="6"/>
  <c r="G86" i="6"/>
  <c r="I45" i="6"/>
  <c r="I54" i="6" s="1"/>
  <c r="I46" i="6"/>
  <c r="I47" i="6" s="1"/>
  <c r="H74" i="6"/>
  <c r="H51" i="6"/>
  <c r="E87" i="6"/>
  <c r="F87" i="6" s="1"/>
  <c r="F59" i="6"/>
  <c r="F68" i="6"/>
  <c r="G71" i="6"/>
  <c r="G58" i="6"/>
  <c r="J33" i="5"/>
  <c r="I36" i="5"/>
  <c r="E59" i="5"/>
  <c r="E72" i="5"/>
  <c r="E88" i="5"/>
  <c r="H45" i="5"/>
  <c r="I43" i="5"/>
  <c r="E87" i="5"/>
  <c r="F75" i="5"/>
  <c r="F82" i="5"/>
  <c r="F52" i="5"/>
  <c r="G46" i="5"/>
  <c r="G55" i="5" s="1"/>
  <c r="G47" i="5"/>
  <c r="G48" i="5" s="1"/>
  <c r="F83" i="4"/>
  <c r="F74" i="4"/>
  <c r="F51" i="4"/>
  <c r="G45" i="4"/>
  <c r="G54" i="4" s="1"/>
  <c r="G46" i="4"/>
  <c r="G47" i="4" s="1"/>
  <c r="H44" i="4"/>
  <c r="I42" i="4"/>
  <c r="E87" i="4"/>
  <c r="L32" i="4"/>
  <c r="K35" i="4"/>
  <c r="I44" i="3"/>
  <c r="J42" i="3"/>
  <c r="H46" i="3"/>
  <c r="H47" i="3" s="1"/>
  <c r="H45" i="3"/>
  <c r="H54" i="3" s="1"/>
  <c r="F58" i="3"/>
  <c r="F71" i="3"/>
  <c r="F86" i="3" s="1"/>
  <c r="G83" i="3"/>
  <c r="G51" i="3"/>
  <c r="G74" i="3"/>
  <c r="E68" i="3"/>
  <c r="E59" i="3"/>
  <c r="K32" i="3"/>
  <c r="J35" i="3"/>
  <c r="E87" i="3"/>
  <c r="AC12" i="1"/>
  <c r="AB21" i="1"/>
  <c r="AC15" i="1" s="1"/>
  <c r="I96" i="8" l="1"/>
  <c r="J186" i="8"/>
  <c r="J191" i="8"/>
  <c r="G71" i="7"/>
  <c r="G58" i="7"/>
  <c r="G86" i="7"/>
  <c r="L35" i="7"/>
  <c r="M32" i="7"/>
  <c r="J44" i="7"/>
  <c r="K42" i="7"/>
  <c r="E87" i="7"/>
  <c r="F87" i="7" s="1"/>
  <c r="H83" i="7"/>
  <c r="H51" i="7"/>
  <c r="H74" i="7"/>
  <c r="F59" i="7"/>
  <c r="F68" i="7"/>
  <c r="I46" i="7"/>
  <c r="I47" i="7" s="1"/>
  <c r="I45" i="7"/>
  <c r="I54" i="7" s="1"/>
  <c r="L32" i="6"/>
  <c r="K35" i="6"/>
  <c r="G87" i="6"/>
  <c r="H87" i="6" s="1"/>
  <c r="K44" i="6"/>
  <c r="L42" i="6"/>
  <c r="H58" i="6"/>
  <c r="H71" i="6"/>
  <c r="J45" i="6"/>
  <c r="J54" i="6" s="1"/>
  <c r="J46" i="6"/>
  <c r="J47" i="6" s="1"/>
  <c r="H86" i="6"/>
  <c r="G68" i="6"/>
  <c r="G59" i="6"/>
  <c r="I74" i="6"/>
  <c r="I51" i="6"/>
  <c r="I45" i="5"/>
  <c r="J43" i="5"/>
  <c r="F59" i="5"/>
  <c r="F72" i="5"/>
  <c r="G82" i="5"/>
  <c r="G52" i="5"/>
  <c r="G75" i="5"/>
  <c r="G87" i="5" s="1"/>
  <c r="E69" i="5"/>
  <c r="E60" i="5"/>
  <c r="H47" i="5"/>
  <c r="H48" i="5" s="1"/>
  <c r="H46" i="5"/>
  <c r="H55" i="5" s="1"/>
  <c r="F87" i="5"/>
  <c r="F88" i="5" s="1"/>
  <c r="K33" i="5"/>
  <c r="J36" i="5"/>
  <c r="H45" i="4"/>
  <c r="H54" i="4" s="1"/>
  <c r="H46" i="4"/>
  <c r="H47" i="4" s="1"/>
  <c r="F71" i="4"/>
  <c r="F58" i="4"/>
  <c r="F68" i="4" s="1"/>
  <c r="G83" i="4"/>
  <c r="G74" i="4"/>
  <c r="G51" i="4"/>
  <c r="M32" i="4"/>
  <c r="L35" i="4"/>
  <c r="F86" i="4"/>
  <c r="F87" i="4" s="1"/>
  <c r="I44" i="4"/>
  <c r="J42" i="4"/>
  <c r="L32" i="3"/>
  <c r="K35" i="3"/>
  <c r="H51" i="3"/>
  <c r="H74" i="3"/>
  <c r="H83" i="3"/>
  <c r="G86" i="3"/>
  <c r="J44" i="3"/>
  <c r="K42" i="3"/>
  <c r="F68" i="3"/>
  <c r="F59" i="3"/>
  <c r="G58" i="3"/>
  <c r="G71" i="3"/>
  <c r="I46" i="3"/>
  <c r="I47" i="3" s="1"/>
  <c r="I45" i="3"/>
  <c r="I54" i="3" s="1"/>
  <c r="F87" i="3"/>
  <c r="AC18" i="1"/>
  <c r="AC17" i="1"/>
  <c r="AC13" i="1"/>
  <c r="J97" i="8" l="1"/>
  <c r="I83" i="7"/>
  <c r="I51" i="7"/>
  <c r="I74" i="7"/>
  <c r="J46" i="7"/>
  <c r="J47" i="7" s="1"/>
  <c r="J45" i="7"/>
  <c r="J54" i="7" s="1"/>
  <c r="M35" i="7"/>
  <c r="N32" i="7"/>
  <c r="K44" i="7"/>
  <c r="L42" i="7"/>
  <c r="H71" i="7"/>
  <c r="H86" i="7" s="1"/>
  <c r="H58" i="7"/>
  <c r="G59" i="7"/>
  <c r="G68" i="7"/>
  <c r="G87" i="7"/>
  <c r="I58" i="6"/>
  <c r="I71" i="6"/>
  <c r="H68" i="6"/>
  <c r="H59" i="6"/>
  <c r="I86" i="6"/>
  <c r="I87" i="6"/>
  <c r="J51" i="6"/>
  <c r="J74" i="6"/>
  <c r="L35" i="6"/>
  <c r="M32" i="6"/>
  <c r="L44" i="6"/>
  <c r="M42" i="6"/>
  <c r="K45" i="6"/>
  <c r="K54" i="6" s="1"/>
  <c r="K46" i="6"/>
  <c r="K47" i="6" s="1"/>
  <c r="G88" i="5"/>
  <c r="L33" i="5"/>
  <c r="K36" i="5"/>
  <c r="F69" i="5"/>
  <c r="F60" i="5"/>
  <c r="H52" i="5"/>
  <c r="H82" i="5"/>
  <c r="H75" i="5"/>
  <c r="H87" i="5" s="1"/>
  <c r="J45" i="5"/>
  <c r="K43" i="5"/>
  <c r="G59" i="5"/>
  <c r="G72" i="5"/>
  <c r="I47" i="5"/>
  <c r="I48" i="5" s="1"/>
  <c r="I46" i="5"/>
  <c r="I55" i="5" s="1"/>
  <c r="G86" i="4"/>
  <c r="G87" i="4" s="1"/>
  <c r="G71" i="4"/>
  <c r="G58" i="4"/>
  <c r="G68" i="4" s="1"/>
  <c r="I45" i="4"/>
  <c r="I54" i="4" s="1"/>
  <c r="I46" i="4"/>
  <c r="I47" i="4" s="1"/>
  <c r="H83" i="4"/>
  <c r="H74" i="4"/>
  <c r="H51" i="4"/>
  <c r="J44" i="4"/>
  <c r="K42" i="4"/>
  <c r="N32" i="4"/>
  <c r="M35" i="4"/>
  <c r="G68" i="3"/>
  <c r="G59" i="3"/>
  <c r="H71" i="3"/>
  <c r="H58" i="3"/>
  <c r="M32" i="3"/>
  <c r="L35" i="3"/>
  <c r="H86" i="3"/>
  <c r="K44" i="3"/>
  <c r="L42" i="3"/>
  <c r="I83" i="3"/>
  <c r="I74" i="3"/>
  <c r="I51" i="3"/>
  <c r="G87" i="3"/>
  <c r="J45" i="3"/>
  <c r="J54" i="3" s="1"/>
  <c r="J46" i="3"/>
  <c r="J47" i="3" s="1"/>
  <c r="AC22" i="1"/>
  <c r="AD10" i="1" s="1"/>
  <c r="AC19" i="1"/>
  <c r="AC21" i="1" s="1"/>
  <c r="AD15" i="1" s="1"/>
  <c r="J96" i="8" l="1"/>
  <c r="N35" i="7"/>
  <c r="O32" i="7"/>
  <c r="H68" i="7"/>
  <c r="H59" i="7"/>
  <c r="I86" i="7"/>
  <c r="L44" i="7"/>
  <c r="M42" i="7"/>
  <c r="I58" i="7"/>
  <c r="I71" i="7"/>
  <c r="H87" i="7"/>
  <c r="J83" i="7"/>
  <c r="J74" i="7"/>
  <c r="J51" i="7"/>
  <c r="K46" i="7"/>
  <c r="K47" i="7" s="1"/>
  <c r="K45" i="7"/>
  <c r="K54" i="7" s="1"/>
  <c r="L45" i="6"/>
  <c r="L54" i="6" s="1"/>
  <c r="L46" i="6"/>
  <c r="L47" i="6" s="1"/>
  <c r="J58" i="6"/>
  <c r="J71" i="6"/>
  <c r="M35" i="6"/>
  <c r="N32" i="6"/>
  <c r="I59" i="6"/>
  <c r="I68" i="6"/>
  <c r="K51" i="6"/>
  <c r="K74" i="6"/>
  <c r="M44" i="6"/>
  <c r="N42" i="6"/>
  <c r="J86" i="6"/>
  <c r="J87" i="6" s="1"/>
  <c r="I52" i="5"/>
  <c r="I75" i="5"/>
  <c r="I82" i="5"/>
  <c r="G69" i="5"/>
  <c r="G60" i="5"/>
  <c r="K45" i="5"/>
  <c r="L43" i="5"/>
  <c r="L36" i="5"/>
  <c r="M33" i="5"/>
  <c r="J47" i="5"/>
  <c r="J48" i="5" s="1"/>
  <c r="J46" i="5"/>
  <c r="J55" i="5" s="1"/>
  <c r="H59" i="5"/>
  <c r="H72" i="5"/>
  <c r="H88" i="5"/>
  <c r="J46" i="4"/>
  <c r="J47" i="4" s="1"/>
  <c r="J45" i="4"/>
  <c r="J54" i="4" s="1"/>
  <c r="H71" i="4"/>
  <c r="H58" i="4"/>
  <c r="H68" i="4" s="1"/>
  <c r="H86" i="4"/>
  <c r="N35" i="4"/>
  <c r="O32" i="4"/>
  <c r="K44" i="4"/>
  <c r="L42" i="4"/>
  <c r="I83" i="4"/>
  <c r="I74" i="4"/>
  <c r="I51" i="4"/>
  <c r="I71" i="3"/>
  <c r="I58" i="3"/>
  <c r="I86" i="3"/>
  <c r="H59" i="3"/>
  <c r="H68" i="3"/>
  <c r="M35" i="3"/>
  <c r="N32" i="3"/>
  <c r="H87" i="3"/>
  <c r="J83" i="3"/>
  <c r="J74" i="3"/>
  <c r="J51" i="3"/>
  <c r="L44" i="3"/>
  <c r="M42" i="3"/>
  <c r="K45" i="3"/>
  <c r="K54" i="3" s="1"/>
  <c r="K46" i="3"/>
  <c r="K47" i="3" s="1"/>
  <c r="AD18" i="1"/>
  <c r="AE18" i="1" s="1"/>
  <c r="AD12" i="1"/>
  <c r="O35" i="7" l="1"/>
  <c r="P32" i="7"/>
  <c r="J58" i="7"/>
  <c r="J71" i="7"/>
  <c r="J86" i="7" s="1"/>
  <c r="I87" i="7"/>
  <c r="I68" i="7"/>
  <c r="I59" i="7"/>
  <c r="L45" i="7"/>
  <c r="L54" i="7" s="1"/>
  <c r="L46" i="7"/>
  <c r="L47" i="7" s="1"/>
  <c r="K83" i="7"/>
  <c r="K51" i="7"/>
  <c r="K74" i="7"/>
  <c r="M44" i="7"/>
  <c r="N42" i="7"/>
  <c r="N44" i="6"/>
  <c r="O42" i="6"/>
  <c r="M46" i="6"/>
  <c r="M47" i="6" s="1"/>
  <c r="M45" i="6"/>
  <c r="M54" i="6" s="1"/>
  <c r="K86" i="6"/>
  <c r="K87" i="6" s="1"/>
  <c r="J59" i="6"/>
  <c r="J68" i="6"/>
  <c r="K71" i="6"/>
  <c r="K58" i="6"/>
  <c r="L51" i="6"/>
  <c r="L74" i="6"/>
  <c r="N35" i="6"/>
  <c r="O32" i="6"/>
  <c r="H69" i="5"/>
  <c r="H60" i="5"/>
  <c r="L45" i="5"/>
  <c r="M43" i="5"/>
  <c r="K47" i="5"/>
  <c r="K48" i="5" s="1"/>
  <c r="K46" i="5"/>
  <c r="K55" i="5" s="1"/>
  <c r="J52" i="5"/>
  <c r="J75" i="5"/>
  <c r="J82" i="5"/>
  <c r="I87" i="5"/>
  <c r="I88" i="5" s="1"/>
  <c r="M36" i="5"/>
  <c r="N33" i="5"/>
  <c r="I72" i="5"/>
  <c r="I59" i="5"/>
  <c r="I71" i="4"/>
  <c r="I58" i="4"/>
  <c r="I68" i="4" s="1"/>
  <c r="I86" i="4"/>
  <c r="L44" i="4"/>
  <c r="M42" i="4"/>
  <c r="J83" i="4"/>
  <c r="J74" i="4"/>
  <c r="J51" i="4"/>
  <c r="K46" i="4"/>
  <c r="K47" i="4" s="1"/>
  <c r="K45" i="4"/>
  <c r="K54" i="4" s="1"/>
  <c r="O35" i="4"/>
  <c r="P32" i="4"/>
  <c r="H87" i="4"/>
  <c r="K74" i="3"/>
  <c r="K83" i="3"/>
  <c r="K51" i="3"/>
  <c r="N35" i="3"/>
  <c r="O32" i="3"/>
  <c r="L45" i="3"/>
  <c r="L54" i="3" s="1"/>
  <c r="L46" i="3"/>
  <c r="L47" i="3" s="1"/>
  <c r="I87" i="3"/>
  <c r="J87" i="3" s="1"/>
  <c r="J71" i="3"/>
  <c r="J58" i="3"/>
  <c r="M44" i="3"/>
  <c r="N42" i="3"/>
  <c r="J86" i="3"/>
  <c r="I68" i="3"/>
  <c r="I59" i="3"/>
  <c r="AD17" i="1"/>
  <c r="AD13" i="1"/>
  <c r="AE12" i="1"/>
  <c r="N44" i="7" l="1"/>
  <c r="O42" i="7"/>
  <c r="J87" i="7"/>
  <c r="J68" i="7"/>
  <c r="J59" i="7"/>
  <c r="Q32" i="7"/>
  <c r="P35" i="7"/>
  <c r="K58" i="7"/>
  <c r="K71" i="7"/>
  <c r="K86" i="7" s="1"/>
  <c r="L74" i="7"/>
  <c r="L83" i="7"/>
  <c r="L51" i="7"/>
  <c r="M45" i="7"/>
  <c r="M54" i="7" s="1"/>
  <c r="M46" i="7"/>
  <c r="M47" i="7" s="1"/>
  <c r="O35" i="6"/>
  <c r="P32" i="6"/>
  <c r="M74" i="6"/>
  <c r="M51" i="6"/>
  <c r="L71" i="6"/>
  <c r="L86" i="6" s="1"/>
  <c r="L87" i="6" s="1"/>
  <c r="L58" i="6"/>
  <c r="O44" i="6"/>
  <c r="P42" i="6"/>
  <c r="K68" i="6"/>
  <c r="K59" i="6"/>
  <c r="N46" i="6"/>
  <c r="N47" i="6" s="1"/>
  <c r="N45" i="6"/>
  <c r="N54" i="6" s="1"/>
  <c r="K75" i="5"/>
  <c r="K87" i="5" s="1"/>
  <c r="K82" i="5"/>
  <c r="K52" i="5"/>
  <c r="N36" i="5"/>
  <c r="O33" i="5"/>
  <c r="J87" i="5"/>
  <c r="J88" i="5" s="1"/>
  <c r="I60" i="5"/>
  <c r="I69" i="5"/>
  <c r="M45" i="5"/>
  <c r="N43" i="5"/>
  <c r="L47" i="5"/>
  <c r="L48" i="5" s="1"/>
  <c r="L46" i="5"/>
  <c r="L55" i="5" s="1"/>
  <c r="J72" i="5"/>
  <c r="J59" i="5"/>
  <c r="I87" i="4"/>
  <c r="M44" i="4"/>
  <c r="N42" i="4"/>
  <c r="P35" i="4"/>
  <c r="Q32" i="4"/>
  <c r="L46" i="4"/>
  <c r="L47" i="4" s="1"/>
  <c r="L45" i="4"/>
  <c r="L54" i="4" s="1"/>
  <c r="K83" i="4"/>
  <c r="K74" i="4"/>
  <c r="K51" i="4"/>
  <c r="J71" i="4"/>
  <c r="J58" i="4"/>
  <c r="J68" i="4" s="1"/>
  <c r="J86" i="4"/>
  <c r="L74" i="3"/>
  <c r="L51" i="3"/>
  <c r="L83" i="3"/>
  <c r="N44" i="3"/>
  <c r="O42" i="3"/>
  <c r="M46" i="3"/>
  <c r="M47" i="3" s="1"/>
  <c r="M45" i="3"/>
  <c r="M54" i="3" s="1"/>
  <c r="J59" i="3"/>
  <c r="J68" i="3"/>
  <c r="K71" i="3"/>
  <c r="K58" i="3"/>
  <c r="P32" i="3"/>
  <c r="O35" i="3"/>
  <c r="K86" i="3"/>
  <c r="K87" i="3" s="1"/>
  <c r="AE13" i="1"/>
  <c r="AE39" i="1" s="1"/>
  <c r="AD22" i="1"/>
  <c r="AD19" i="1"/>
  <c r="AE19" i="1" s="1"/>
  <c r="AE40" i="1" s="1"/>
  <c r="G19" i="8" s="1"/>
  <c r="AE17" i="1"/>
  <c r="G20" i="8" l="1"/>
  <c r="G26" i="8"/>
  <c r="G198" i="8"/>
  <c r="G24" i="8"/>
  <c r="G27" i="8"/>
  <c r="G25" i="8"/>
  <c r="G178" i="8" s="1"/>
  <c r="G36" i="8"/>
  <c r="G160" i="8" s="1"/>
  <c r="G151" i="8"/>
  <c r="G170" i="8"/>
  <c r="M74" i="7"/>
  <c r="M83" i="7"/>
  <c r="M51" i="7"/>
  <c r="Q35" i="7"/>
  <c r="R32" i="7"/>
  <c r="L71" i="7"/>
  <c r="L58" i="7"/>
  <c r="K87" i="7"/>
  <c r="L86" i="7"/>
  <c r="K59" i="7"/>
  <c r="K68" i="7"/>
  <c r="O44" i="7"/>
  <c r="P42" i="7"/>
  <c r="N45" i="7"/>
  <c r="N54" i="7" s="1"/>
  <c r="N46" i="7"/>
  <c r="N47" i="7" s="1"/>
  <c r="P35" i="6"/>
  <c r="Q32" i="6"/>
  <c r="L59" i="6"/>
  <c r="L68" i="6"/>
  <c r="M58" i="6"/>
  <c r="M71" i="6"/>
  <c r="M86" i="6" s="1"/>
  <c r="M87" i="6" s="1"/>
  <c r="P44" i="6"/>
  <c r="Q42" i="6"/>
  <c r="N74" i="6"/>
  <c r="N51" i="6"/>
  <c r="O46" i="6"/>
  <c r="O47" i="6" s="1"/>
  <c r="O45" i="6"/>
  <c r="O54" i="6" s="1"/>
  <c r="K88" i="5"/>
  <c r="L75" i="5"/>
  <c r="L82" i="5"/>
  <c r="L52" i="5"/>
  <c r="N45" i="5"/>
  <c r="O43" i="5"/>
  <c r="K72" i="5"/>
  <c r="K59" i="5"/>
  <c r="M47" i="5"/>
  <c r="M48" i="5" s="1"/>
  <c r="M46" i="5"/>
  <c r="M55" i="5" s="1"/>
  <c r="P33" i="5"/>
  <c r="O36" i="5"/>
  <c r="J60" i="5"/>
  <c r="J69" i="5"/>
  <c r="Q35" i="4"/>
  <c r="R32" i="4"/>
  <c r="L83" i="4"/>
  <c r="L51" i="4"/>
  <c r="L74" i="4"/>
  <c r="N44" i="4"/>
  <c r="O42" i="4"/>
  <c r="K71" i="4"/>
  <c r="K86" i="4" s="1"/>
  <c r="K58" i="4"/>
  <c r="K68" i="4" s="1"/>
  <c r="M46" i="4"/>
  <c r="M47" i="4" s="1"/>
  <c r="M45" i="4"/>
  <c r="M54" i="4" s="1"/>
  <c r="J87" i="4"/>
  <c r="M83" i="3"/>
  <c r="M74" i="3"/>
  <c r="M51" i="3"/>
  <c r="Q32" i="3"/>
  <c r="P35" i="3"/>
  <c r="O44" i="3"/>
  <c r="P42" i="3"/>
  <c r="K59" i="3"/>
  <c r="K68" i="3"/>
  <c r="N45" i="3"/>
  <c r="N54" i="3" s="1"/>
  <c r="N46" i="3"/>
  <c r="N47" i="3" s="1"/>
  <c r="L58" i="3"/>
  <c r="L71" i="3"/>
  <c r="L86" i="3"/>
  <c r="L87" i="3" s="1"/>
  <c r="AE22" i="1"/>
  <c r="AE41" i="1" s="1"/>
  <c r="AG10" i="1"/>
  <c r="AD21" i="1"/>
  <c r="G171" i="8" l="1"/>
  <c r="G90" i="8"/>
  <c r="G152" i="8"/>
  <c r="G52" i="8"/>
  <c r="G56" i="8"/>
  <c r="G161" i="8"/>
  <c r="G200" i="8"/>
  <c r="C6" i="12"/>
  <c r="G130" i="8"/>
  <c r="G131" i="8" s="1"/>
  <c r="G179" i="8"/>
  <c r="G83" i="8"/>
  <c r="G21" i="8"/>
  <c r="G30" i="8" s="1"/>
  <c r="G156" i="8"/>
  <c r="G166" i="8"/>
  <c r="N74" i="7"/>
  <c r="N51" i="7"/>
  <c r="N83" i="7"/>
  <c r="L59" i="7"/>
  <c r="L68" i="7"/>
  <c r="M86" i="7"/>
  <c r="L87" i="7"/>
  <c r="M87" i="7" s="1"/>
  <c r="P44" i="7"/>
  <c r="Q42" i="7"/>
  <c r="M58" i="7"/>
  <c r="M71" i="7"/>
  <c r="S32" i="7"/>
  <c r="R35" i="7"/>
  <c r="O45" i="7"/>
  <c r="O54" i="7" s="1"/>
  <c r="O46" i="7"/>
  <c r="O47" i="7" s="1"/>
  <c r="M59" i="6"/>
  <c r="M68" i="6"/>
  <c r="O51" i="6"/>
  <c r="O74" i="6"/>
  <c r="N71" i="6"/>
  <c r="N86" i="6" s="1"/>
  <c r="N87" i="6" s="1"/>
  <c r="N58" i="6"/>
  <c r="Q35" i="6"/>
  <c r="R32" i="6"/>
  <c r="Q44" i="6"/>
  <c r="R42" i="6"/>
  <c r="P46" i="6"/>
  <c r="P47" i="6" s="1"/>
  <c r="P45" i="6"/>
  <c r="P54" i="6" s="1"/>
  <c r="L59" i="5"/>
  <c r="L72" i="5"/>
  <c r="N47" i="5"/>
  <c r="N48" i="5" s="1"/>
  <c r="N46" i="5"/>
  <c r="N55" i="5" s="1"/>
  <c r="Q33" i="5"/>
  <c r="P36" i="5"/>
  <c r="O45" i="5"/>
  <c r="P43" i="5"/>
  <c r="L87" i="5"/>
  <c r="M75" i="5"/>
  <c r="M82" i="5"/>
  <c r="M52" i="5"/>
  <c r="K60" i="5"/>
  <c r="K69" i="5"/>
  <c r="L88" i="5"/>
  <c r="N46" i="4"/>
  <c r="N47" i="4" s="1"/>
  <c r="N45" i="4"/>
  <c r="N54" i="4" s="1"/>
  <c r="L71" i="4"/>
  <c r="L86" i="4" s="1"/>
  <c r="L58" i="4"/>
  <c r="L68" i="4" s="1"/>
  <c r="O44" i="4"/>
  <c r="P42" i="4"/>
  <c r="M83" i="4"/>
  <c r="M51" i="4"/>
  <c r="M74" i="4"/>
  <c r="R35" i="4"/>
  <c r="S32" i="4"/>
  <c r="K87" i="4"/>
  <c r="N74" i="3"/>
  <c r="N51" i="3"/>
  <c r="N83" i="3"/>
  <c r="M71" i="3"/>
  <c r="M58" i="3"/>
  <c r="M86" i="3"/>
  <c r="M87" i="3" s="1"/>
  <c r="L68" i="3"/>
  <c r="L59" i="3"/>
  <c r="O46" i="3"/>
  <c r="O47" i="3" s="1"/>
  <c r="O45" i="3"/>
  <c r="O54" i="3" s="1"/>
  <c r="R32" i="3"/>
  <c r="Q35" i="3"/>
  <c r="P44" i="3"/>
  <c r="Q42" i="3"/>
  <c r="AE21" i="1"/>
  <c r="AE42" i="1" s="1"/>
  <c r="AG15" i="1"/>
  <c r="AK10" i="1"/>
  <c r="AG12" i="1"/>
  <c r="G167" i="8" l="1"/>
  <c r="G81" i="8"/>
  <c r="G73" i="8"/>
  <c r="G71" i="8" s="1"/>
  <c r="H197" i="8"/>
  <c r="G53" i="8"/>
  <c r="G157" i="8"/>
  <c r="C3" i="12"/>
  <c r="G31" i="8"/>
  <c r="G29" i="8"/>
  <c r="G149" i="8"/>
  <c r="P46" i="7"/>
  <c r="P47" i="7" s="1"/>
  <c r="P45" i="7"/>
  <c r="P54" i="7" s="1"/>
  <c r="T32" i="7"/>
  <c r="S35" i="7"/>
  <c r="M59" i="7"/>
  <c r="M68" i="7"/>
  <c r="N86" i="7"/>
  <c r="N87" i="7" s="1"/>
  <c r="O74" i="7"/>
  <c r="O83" i="7"/>
  <c r="O51" i="7"/>
  <c r="Q44" i="7"/>
  <c r="R42" i="7"/>
  <c r="N58" i="7"/>
  <c r="N71" i="7"/>
  <c r="O58" i="6"/>
  <c r="O71" i="6"/>
  <c r="O86" i="6" s="1"/>
  <c r="O87" i="6" s="1"/>
  <c r="R44" i="6"/>
  <c r="S42" i="6"/>
  <c r="N59" i="6"/>
  <c r="N68" i="6"/>
  <c r="P74" i="6"/>
  <c r="P51" i="6"/>
  <c r="Q45" i="6"/>
  <c r="Q54" i="6" s="1"/>
  <c r="Q46" i="6"/>
  <c r="Q47" i="6" s="1"/>
  <c r="R35" i="6"/>
  <c r="S32" i="6"/>
  <c r="P45" i="5"/>
  <c r="Q43" i="5"/>
  <c r="R33" i="5"/>
  <c r="Q36" i="5"/>
  <c r="M59" i="5"/>
  <c r="M72" i="5"/>
  <c r="M88" i="5"/>
  <c r="N88" i="5" s="1"/>
  <c r="N75" i="5"/>
  <c r="N87" i="5" s="1"/>
  <c r="N82" i="5"/>
  <c r="N52" i="5"/>
  <c r="M87" i="5"/>
  <c r="O46" i="5"/>
  <c r="O55" i="5" s="1"/>
  <c r="O47" i="5"/>
  <c r="O48" i="5" s="1"/>
  <c r="L60" i="5"/>
  <c r="L69" i="5"/>
  <c r="O45" i="4"/>
  <c r="O54" i="4" s="1"/>
  <c r="O46" i="4"/>
  <c r="O47" i="4" s="1"/>
  <c r="L87" i="4"/>
  <c r="S35" i="4"/>
  <c r="T32" i="4"/>
  <c r="P44" i="4"/>
  <c r="Q42" i="4"/>
  <c r="M86" i="4"/>
  <c r="M71" i="4"/>
  <c r="M58" i="4"/>
  <c r="M68" i="4" s="1"/>
  <c r="N51" i="4"/>
  <c r="N74" i="4"/>
  <c r="N83" i="4"/>
  <c r="M68" i="3"/>
  <c r="M59" i="3"/>
  <c r="P46" i="3"/>
  <c r="P47" i="3" s="1"/>
  <c r="P45" i="3"/>
  <c r="P54" i="3" s="1"/>
  <c r="S32" i="3"/>
  <c r="R35" i="3"/>
  <c r="N58" i="3"/>
  <c r="N71" i="3"/>
  <c r="Q44" i="3"/>
  <c r="R42" i="3"/>
  <c r="O83" i="3"/>
  <c r="O74" i="3"/>
  <c r="O51" i="3"/>
  <c r="N86" i="3"/>
  <c r="N87" i="3" s="1"/>
  <c r="AG18" i="1"/>
  <c r="AK15" i="1"/>
  <c r="AG17" i="1"/>
  <c r="AG13" i="1"/>
  <c r="H199" i="8" l="1"/>
  <c r="P83" i="7"/>
  <c r="P51" i="7"/>
  <c r="P74" i="7"/>
  <c r="R44" i="7"/>
  <c r="S42" i="7"/>
  <c r="U32" i="7"/>
  <c r="T35" i="7"/>
  <c r="O71" i="7"/>
  <c r="O86" i="7" s="1"/>
  <c r="O87" i="7" s="1"/>
  <c r="O58" i="7"/>
  <c r="N59" i="7"/>
  <c r="N68" i="7"/>
  <c r="Q46" i="7"/>
  <c r="Q47" i="7" s="1"/>
  <c r="Q45" i="7"/>
  <c r="Q54" i="7" s="1"/>
  <c r="R45" i="6"/>
  <c r="R54" i="6" s="1"/>
  <c r="R46" i="6"/>
  <c r="R47" i="6" s="1"/>
  <c r="Q74" i="6"/>
  <c r="Q51" i="6"/>
  <c r="S44" i="6"/>
  <c r="T42" i="6"/>
  <c r="O68" i="6"/>
  <c r="O59" i="6"/>
  <c r="T32" i="6"/>
  <c r="S35" i="6"/>
  <c r="P58" i="6"/>
  <c r="P71" i="6"/>
  <c r="P86" i="6" s="1"/>
  <c r="P87" i="6" s="1"/>
  <c r="M69" i="5"/>
  <c r="M60" i="5"/>
  <c r="O82" i="5"/>
  <c r="O52" i="5"/>
  <c r="O75" i="5"/>
  <c r="O87" i="5" s="1"/>
  <c r="O88" i="5" s="1"/>
  <c r="S33" i="5"/>
  <c r="R36" i="5"/>
  <c r="N59" i="5"/>
  <c r="N72" i="5"/>
  <c r="Q45" i="5"/>
  <c r="R43" i="5"/>
  <c r="P47" i="5"/>
  <c r="P48" i="5" s="1"/>
  <c r="P46" i="5"/>
  <c r="P55" i="5" s="1"/>
  <c r="Q44" i="4"/>
  <c r="R42" i="4"/>
  <c r="P45" i="4"/>
  <c r="P54" i="4" s="1"/>
  <c r="P46" i="4"/>
  <c r="P47" i="4" s="1"/>
  <c r="T35" i="4"/>
  <c r="U32" i="4"/>
  <c r="N71" i="4"/>
  <c r="N86" i="4" s="1"/>
  <c r="N58" i="4"/>
  <c r="N68" i="4" s="1"/>
  <c r="M87" i="4"/>
  <c r="O83" i="4"/>
  <c r="O74" i="4"/>
  <c r="O51" i="4"/>
  <c r="N59" i="3"/>
  <c r="N68" i="3"/>
  <c r="O58" i="3"/>
  <c r="O71" i="3"/>
  <c r="O86" i="3" s="1"/>
  <c r="O87" i="3" s="1"/>
  <c r="T32" i="3"/>
  <c r="S35" i="3"/>
  <c r="P51" i="3"/>
  <c r="P74" i="3"/>
  <c r="P83" i="3"/>
  <c r="R44" i="3"/>
  <c r="S42" i="3"/>
  <c r="Q46" i="3"/>
  <c r="Q47" i="3" s="1"/>
  <c r="Q45" i="3"/>
  <c r="Q54" i="3" s="1"/>
  <c r="AG22" i="1"/>
  <c r="AH10" i="1" s="1"/>
  <c r="AG19" i="1"/>
  <c r="AG21" i="1"/>
  <c r="AH15" i="1" s="1"/>
  <c r="H126" i="8" l="1"/>
  <c r="H28" i="8"/>
  <c r="D4" i="12" s="1"/>
  <c r="U35" i="7"/>
  <c r="V32" i="7"/>
  <c r="S44" i="7"/>
  <c r="T42" i="7"/>
  <c r="R46" i="7"/>
  <c r="R47" i="7" s="1"/>
  <c r="R45" i="7"/>
  <c r="R54" i="7" s="1"/>
  <c r="Q83" i="7"/>
  <c r="Q74" i="7"/>
  <c r="Q51" i="7"/>
  <c r="P86" i="7"/>
  <c r="P87" i="7" s="1"/>
  <c r="P71" i="7"/>
  <c r="P58" i="7"/>
  <c r="O59" i="7"/>
  <c r="O68" i="7"/>
  <c r="S45" i="6"/>
  <c r="S54" i="6" s="1"/>
  <c r="S46" i="6"/>
  <c r="S47" i="6" s="1"/>
  <c r="T44" i="6"/>
  <c r="U42" i="6"/>
  <c r="Q58" i="6"/>
  <c r="Q71" i="6"/>
  <c r="Q86" i="6" s="1"/>
  <c r="Q87" i="6" s="1"/>
  <c r="P68" i="6"/>
  <c r="P59" i="6"/>
  <c r="R51" i="6"/>
  <c r="R74" i="6"/>
  <c r="U32" i="6"/>
  <c r="T35" i="6"/>
  <c r="T33" i="5"/>
  <c r="S36" i="5"/>
  <c r="P52" i="5"/>
  <c r="P75" i="5"/>
  <c r="P82" i="5"/>
  <c r="R45" i="5"/>
  <c r="S43" i="5"/>
  <c r="Q47" i="5"/>
  <c r="Q48" i="5" s="1"/>
  <c r="Q46" i="5"/>
  <c r="Q55" i="5" s="1"/>
  <c r="O59" i="5"/>
  <c r="O72" i="5"/>
  <c r="N69" i="5"/>
  <c r="N60" i="5"/>
  <c r="O71" i="4"/>
  <c r="O58" i="4"/>
  <c r="O68" i="4" s="1"/>
  <c r="O86" i="4"/>
  <c r="P83" i="4"/>
  <c r="P74" i="4"/>
  <c r="P51" i="4"/>
  <c r="N87" i="4"/>
  <c r="O87" i="4" s="1"/>
  <c r="R44" i="4"/>
  <c r="S42" i="4"/>
  <c r="V32" i="4"/>
  <c r="U35" i="4"/>
  <c r="Q45" i="4"/>
  <c r="Q54" i="4" s="1"/>
  <c r="Q46" i="4"/>
  <c r="Q47" i="4" s="1"/>
  <c r="P71" i="3"/>
  <c r="P58" i="3"/>
  <c r="S44" i="3"/>
  <c r="T42" i="3"/>
  <c r="Q83" i="3"/>
  <c r="Q51" i="3"/>
  <c r="Q74" i="3"/>
  <c r="R45" i="3"/>
  <c r="R54" i="3" s="1"/>
  <c r="R46" i="3"/>
  <c r="R47" i="3" s="1"/>
  <c r="U32" i="3"/>
  <c r="T35" i="3"/>
  <c r="O68" i="3"/>
  <c r="O59" i="3"/>
  <c r="P86" i="3"/>
  <c r="P87" i="3" s="1"/>
  <c r="AH18" i="1"/>
  <c r="AH12" i="1"/>
  <c r="Q87" i="7" l="1"/>
  <c r="R83" i="7"/>
  <c r="R74" i="7"/>
  <c r="R51" i="7"/>
  <c r="T44" i="7"/>
  <c r="U42" i="7"/>
  <c r="S45" i="7"/>
  <c r="S54" i="7" s="1"/>
  <c r="S46" i="7"/>
  <c r="S47" i="7" s="1"/>
  <c r="V35" i="7"/>
  <c r="W32" i="7"/>
  <c r="P68" i="7"/>
  <c r="P59" i="7"/>
  <c r="Q58" i="7"/>
  <c r="Q71" i="7"/>
  <c r="Q86" i="7"/>
  <c r="Q59" i="6"/>
  <c r="Q68" i="6"/>
  <c r="U35" i="6"/>
  <c r="V32" i="6"/>
  <c r="U44" i="6"/>
  <c r="V42" i="6"/>
  <c r="R86" i="6"/>
  <c r="R87" i="6" s="1"/>
  <c r="T45" i="6"/>
  <c r="T54" i="6" s="1"/>
  <c r="T46" i="6"/>
  <c r="T47" i="6" s="1"/>
  <c r="R58" i="6"/>
  <c r="R71" i="6"/>
  <c r="S51" i="6"/>
  <c r="S74" i="6"/>
  <c r="S45" i="5"/>
  <c r="T43" i="5"/>
  <c r="P87" i="5"/>
  <c r="P88" i="5" s="1"/>
  <c r="P59" i="5"/>
  <c r="P72" i="5"/>
  <c r="O69" i="5"/>
  <c r="O60" i="5"/>
  <c r="T36" i="5"/>
  <c r="U33" i="5"/>
  <c r="R47" i="5"/>
  <c r="R48" i="5" s="1"/>
  <c r="R46" i="5"/>
  <c r="R55" i="5" s="1"/>
  <c r="Q52" i="5"/>
  <c r="Q75" i="5"/>
  <c r="Q82" i="5"/>
  <c r="R46" i="4"/>
  <c r="R47" i="4" s="1"/>
  <c r="R45" i="4"/>
  <c r="R54" i="4" s="1"/>
  <c r="P71" i="4"/>
  <c r="P58" i="4"/>
  <c r="P68" i="4" s="1"/>
  <c r="Q74" i="4"/>
  <c r="Q51" i="4"/>
  <c r="P86" i="4"/>
  <c r="P87" i="4" s="1"/>
  <c r="V35" i="4"/>
  <c r="W32" i="4"/>
  <c r="S44" i="4"/>
  <c r="T42" i="4"/>
  <c r="Q71" i="3"/>
  <c r="Q58" i="3"/>
  <c r="S46" i="3"/>
  <c r="S47" i="3" s="1"/>
  <c r="S45" i="3"/>
  <c r="S54" i="3" s="1"/>
  <c r="T44" i="3"/>
  <c r="U42" i="3"/>
  <c r="U35" i="3"/>
  <c r="V32" i="3"/>
  <c r="P59" i="3"/>
  <c r="P68" i="3"/>
  <c r="R83" i="3"/>
  <c r="R74" i="3"/>
  <c r="R51" i="3"/>
  <c r="Q86" i="3"/>
  <c r="Q87" i="3" s="1"/>
  <c r="AH17" i="1"/>
  <c r="AH13" i="1"/>
  <c r="S74" i="7" l="1"/>
  <c r="S51" i="7"/>
  <c r="S83" i="7"/>
  <c r="U44" i="7"/>
  <c r="V42" i="7"/>
  <c r="R58" i="7"/>
  <c r="R71" i="7"/>
  <c r="R86" i="7"/>
  <c r="R87" i="7" s="1"/>
  <c r="Q68" i="7"/>
  <c r="Q59" i="7"/>
  <c r="W35" i="7"/>
  <c r="X32" i="7"/>
  <c r="T45" i="7"/>
  <c r="T54" i="7" s="1"/>
  <c r="T46" i="7"/>
  <c r="T47" i="7" s="1"/>
  <c r="U46" i="6"/>
  <c r="U47" i="6" s="1"/>
  <c r="U45" i="6"/>
  <c r="U54" i="6" s="1"/>
  <c r="W32" i="6"/>
  <c r="V35" i="6"/>
  <c r="R68" i="6"/>
  <c r="R59" i="6"/>
  <c r="V44" i="6"/>
  <c r="W42" i="6"/>
  <c r="T51" i="6"/>
  <c r="T74" i="6"/>
  <c r="S71" i="6"/>
  <c r="S86" i="6" s="1"/>
  <c r="S87" i="6" s="1"/>
  <c r="S58" i="6"/>
  <c r="Q87" i="5"/>
  <c r="Q72" i="5"/>
  <c r="Q59" i="5"/>
  <c r="P69" i="5"/>
  <c r="P60" i="5"/>
  <c r="Q88" i="5"/>
  <c r="R88" i="5" s="1"/>
  <c r="R52" i="5"/>
  <c r="R75" i="5"/>
  <c r="R87" i="5" s="1"/>
  <c r="R82" i="5"/>
  <c r="T45" i="5"/>
  <c r="U43" i="5"/>
  <c r="U36" i="5"/>
  <c r="V33" i="5"/>
  <c r="S47" i="5"/>
  <c r="S48" i="5" s="1"/>
  <c r="S46" i="5"/>
  <c r="S55" i="5" s="1"/>
  <c r="Q58" i="4"/>
  <c r="Q68" i="4" s="1"/>
  <c r="Q71" i="4"/>
  <c r="Q86" i="4" s="1"/>
  <c r="Q87" i="4" s="1"/>
  <c r="T44" i="4"/>
  <c r="U42" i="4"/>
  <c r="S46" i="4"/>
  <c r="S47" i="4" s="1"/>
  <c r="S45" i="4"/>
  <c r="S54" i="4" s="1"/>
  <c r="W35" i="4"/>
  <c r="X32" i="4"/>
  <c r="R83" i="4"/>
  <c r="R74" i="4"/>
  <c r="R51" i="4"/>
  <c r="U44" i="3"/>
  <c r="V42" i="3"/>
  <c r="R58" i="3"/>
  <c r="R71" i="3"/>
  <c r="T45" i="3"/>
  <c r="T54" i="3" s="1"/>
  <c r="T46" i="3"/>
  <c r="T47" i="3" s="1"/>
  <c r="S74" i="3"/>
  <c r="S83" i="3"/>
  <c r="S51" i="3"/>
  <c r="Q68" i="3"/>
  <c r="Q59" i="3"/>
  <c r="R86" i="3"/>
  <c r="R87" i="3" s="1"/>
  <c r="V35" i="3"/>
  <c r="W32" i="3"/>
  <c r="AH22" i="1"/>
  <c r="AI10" i="1" s="1"/>
  <c r="AH19" i="1"/>
  <c r="S87" i="7" l="1"/>
  <c r="T74" i="7"/>
  <c r="T83" i="7"/>
  <c r="T51" i="7"/>
  <c r="R59" i="7"/>
  <c r="R68" i="7"/>
  <c r="V44" i="7"/>
  <c r="W42" i="7"/>
  <c r="X35" i="7"/>
  <c r="Y32" i="7"/>
  <c r="U45" i="7"/>
  <c r="U54" i="7" s="1"/>
  <c r="U46" i="7"/>
  <c r="U47" i="7" s="1"/>
  <c r="S58" i="7"/>
  <c r="S71" i="7"/>
  <c r="S86" i="7"/>
  <c r="X32" i="6"/>
  <c r="W35" i="6"/>
  <c r="V46" i="6"/>
  <c r="V47" i="6" s="1"/>
  <c r="V45" i="6"/>
  <c r="V54" i="6" s="1"/>
  <c r="S68" i="6"/>
  <c r="S59" i="6"/>
  <c r="T58" i="6"/>
  <c r="T71" i="6"/>
  <c r="T86" i="6" s="1"/>
  <c r="T87" i="6" s="1"/>
  <c r="U74" i="6"/>
  <c r="U51" i="6"/>
  <c r="W44" i="6"/>
  <c r="X42" i="6"/>
  <c r="S75" i="5"/>
  <c r="S82" i="5"/>
  <c r="S52" i="5"/>
  <c r="V36" i="5"/>
  <c r="W33" i="5"/>
  <c r="U45" i="5"/>
  <c r="V43" i="5"/>
  <c r="Q60" i="5"/>
  <c r="Q69" i="5"/>
  <c r="T47" i="5"/>
  <c r="T48" i="5" s="1"/>
  <c r="T46" i="5"/>
  <c r="T55" i="5" s="1"/>
  <c r="R72" i="5"/>
  <c r="R59" i="5"/>
  <c r="R58" i="4"/>
  <c r="R68" i="4" s="1"/>
  <c r="R71" i="4"/>
  <c r="T46" i="4"/>
  <c r="T47" i="4" s="1"/>
  <c r="T45" i="4"/>
  <c r="T54" i="4" s="1"/>
  <c r="R86" i="4"/>
  <c r="R87" i="4" s="1"/>
  <c r="S83" i="4"/>
  <c r="S74" i="4"/>
  <c r="S51" i="4"/>
  <c r="U44" i="4"/>
  <c r="V42" i="4"/>
  <c r="X35" i="4"/>
  <c r="Y32" i="4"/>
  <c r="X32" i="3"/>
  <c r="W35" i="3"/>
  <c r="T83" i="3"/>
  <c r="T51" i="3"/>
  <c r="T74" i="3"/>
  <c r="S86" i="3"/>
  <c r="S87" i="3" s="1"/>
  <c r="R59" i="3"/>
  <c r="R68" i="3"/>
  <c r="V44" i="3"/>
  <c r="W42" i="3"/>
  <c r="S71" i="3"/>
  <c r="S58" i="3"/>
  <c r="U46" i="3"/>
  <c r="U47" i="3" s="1"/>
  <c r="U45" i="3"/>
  <c r="U54" i="3" s="1"/>
  <c r="AI12" i="1"/>
  <c r="AH21" i="1"/>
  <c r="AI15" i="1" s="1"/>
  <c r="V45" i="7" l="1"/>
  <c r="V54" i="7" s="1"/>
  <c r="V46" i="7"/>
  <c r="V47" i="7" s="1"/>
  <c r="W44" i="7"/>
  <c r="X42" i="7"/>
  <c r="T87" i="7"/>
  <c r="S59" i="7"/>
  <c r="S68" i="7"/>
  <c r="U74" i="7"/>
  <c r="U83" i="7"/>
  <c r="U51" i="7"/>
  <c r="T71" i="7"/>
  <c r="T58" i="7"/>
  <c r="Z32" i="7"/>
  <c r="Y35" i="7"/>
  <c r="T86" i="7"/>
  <c r="W46" i="6"/>
  <c r="W47" i="6" s="1"/>
  <c r="W45" i="6"/>
  <c r="W54" i="6" s="1"/>
  <c r="V74" i="6"/>
  <c r="V51" i="6"/>
  <c r="U58" i="6"/>
  <c r="U71" i="6"/>
  <c r="U86" i="6"/>
  <c r="U87" i="6" s="1"/>
  <c r="X35" i="6"/>
  <c r="Y32" i="6"/>
  <c r="X44" i="6"/>
  <c r="Y42" i="6"/>
  <c r="T59" i="6"/>
  <c r="T68" i="6"/>
  <c r="X33" i="5"/>
  <c r="W36" i="5"/>
  <c r="R60" i="5"/>
  <c r="R69" i="5"/>
  <c r="T75" i="5"/>
  <c r="T82" i="5"/>
  <c r="T52" i="5"/>
  <c r="S72" i="5"/>
  <c r="S59" i="5"/>
  <c r="V45" i="5"/>
  <c r="W43" i="5"/>
  <c r="U46" i="5"/>
  <c r="U55" i="5" s="1"/>
  <c r="U47" i="5"/>
  <c r="U48" i="5" s="1"/>
  <c r="S87" i="5"/>
  <c r="S88" i="5" s="1"/>
  <c r="Z32" i="4"/>
  <c r="Y35" i="4"/>
  <c r="T74" i="4"/>
  <c r="T51" i="4"/>
  <c r="T83" i="4"/>
  <c r="S86" i="4"/>
  <c r="S87" i="4" s="1"/>
  <c r="V44" i="4"/>
  <c r="W42" i="4"/>
  <c r="U45" i="4"/>
  <c r="U54" i="4" s="1"/>
  <c r="U46" i="4"/>
  <c r="U47" i="4" s="1"/>
  <c r="S58" i="4"/>
  <c r="S68" i="4" s="1"/>
  <c r="S71" i="4"/>
  <c r="S59" i="3"/>
  <c r="S68" i="3"/>
  <c r="T58" i="3"/>
  <c r="T71" i="3"/>
  <c r="T86" i="3" s="1"/>
  <c r="T87" i="3" s="1"/>
  <c r="U83" i="3"/>
  <c r="U51" i="3"/>
  <c r="U74" i="3"/>
  <c r="W44" i="3"/>
  <c r="X42" i="3"/>
  <c r="V45" i="3"/>
  <c r="V54" i="3" s="1"/>
  <c r="V46" i="3"/>
  <c r="V47" i="3" s="1"/>
  <c r="X35" i="3"/>
  <c r="Y32" i="3"/>
  <c r="AI18" i="1"/>
  <c r="AI17" i="1"/>
  <c r="AI13" i="1"/>
  <c r="X44" i="7" l="1"/>
  <c r="Y42" i="7"/>
  <c r="W45" i="7"/>
  <c r="W54" i="7" s="1"/>
  <c r="W46" i="7"/>
  <c r="W47" i="7" s="1"/>
  <c r="U71" i="7"/>
  <c r="U86" i="7" s="1"/>
  <c r="U87" i="7" s="1"/>
  <c r="U58" i="7"/>
  <c r="V74" i="7"/>
  <c r="V83" i="7"/>
  <c r="V51" i="7"/>
  <c r="AA32" i="7"/>
  <c r="Z35" i="7"/>
  <c r="T59" i="7"/>
  <c r="T68" i="7"/>
  <c r="U59" i="6"/>
  <c r="U68" i="6"/>
  <c r="V71" i="6"/>
  <c r="V58" i="6"/>
  <c r="Y44" i="6"/>
  <c r="Z42" i="6"/>
  <c r="V86" i="6"/>
  <c r="V87" i="6" s="1"/>
  <c r="X46" i="6"/>
  <c r="X47" i="6" s="1"/>
  <c r="X45" i="6"/>
  <c r="X54" i="6" s="1"/>
  <c r="Y35" i="6"/>
  <c r="Z32" i="6"/>
  <c r="W51" i="6"/>
  <c r="W74" i="6"/>
  <c r="U75" i="5"/>
  <c r="U87" i="5" s="1"/>
  <c r="U82" i="5"/>
  <c r="U52" i="5"/>
  <c r="T87" i="5"/>
  <c r="T88" i="5"/>
  <c r="U88" i="5" s="1"/>
  <c r="W45" i="5"/>
  <c r="X43" i="5"/>
  <c r="T59" i="5"/>
  <c r="T72" i="5"/>
  <c r="V46" i="5"/>
  <c r="V55" i="5" s="1"/>
  <c r="V47" i="5"/>
  <c r="V48" i="5" s="1"/>
  <c r="S60" i="5"/>
  <c r="S69" i="5"/>
  <c r="Y33" i="5"/>
  <c r="X36" i="5"/>
  <c r="T71" i="4"/>
  <c r="T58" i="4"/>
  <c r="T68" i="4" s="1"/>
  <c r="T86" i="4"/>
  <c r="T87" i="4" s="1"/>
  <c r="U74" i="4"/>
  <c r="U51" i="4"/>
  <c r="U83" i="4"/>
  <c r="AA32" i="4"/>
  <c r="Z35" i="4"/>
  <c r="V45" i="4"/>
  <c r="V54" i="4" s="1"/>
  <c r="V46" i="4"/>
  <c r="V47" i="4" s="1"/>
  <c r="W44" i="4"/>
  <c r="X42" i="4"/>
  <c r="V74" i="3"/>
  <c r="V51" i="3"/>
  <c r="V83" i="3"/>
  <c r="T68" i="3"/>
  <c r="T59" i="3"/>
  <c r="Z32" i="3"/>
  <c r="Y35" i="3"/>
  <c r="X44" i="3"/>
  <c r="Y42" i="3"/>
  <c r="U71" i="3"/>
  <c r="U58" i="3"/>
  <c r="W46" i="3"/>
  <c r="W47" i="3" s="1"/>
  <c r="W45" i="3"/>
  <c r="W54" i="3" s="1"/>
  <c r="U86" i="3"/>
  <c r="U87" i="3" s="1"/>
  <c r="AI22" i="1"/>
  <c r="AJ10" i="1" s="1"/>
  <c r="AI19" i="1"/>
  <c r="AI21" i="1" s="1"/>
  <c r="AJ15" i="1" s="1"/>
  <c r="U59" i="7" l="1"/>
  <c r="U68" i="7"/>
  <c r="W74" i="7"/>
  <c r="W83" i="7"/>
  <c r="W51" i="7"/>
  <c r="V58" i="7"/>
  <c r="V71" i="7"/>
  <c r="V86" i="7" s="1"/>
  <c r="V87" i="7" s="1"/>
  <c r="Y44" i="7"/>
  <c r="Z42" i="7"/>
  <c r="AB32" i="7"/>
  <c r="AA35" i="7"/>
  <c r="X46" i="7"/>
  <c r="X47" i="7" s="1"/>
  <c r="X45" i="7"/>
  <c r="X54" i="7" s="1"/>
  <c r="V59" i="6"/>
  <c r="V68" i="6"/>
  <c r="Z35" i="6"/>
  <c r="AA32" i="6"/>
  <c r="Y46" i="6"/>
  <c r="Y47" i="6" s="1"/>
  <c r="Y45" i="6"/>
  <c r="Y54" i="6" s="1"/>
  <c r="Z44" i="6"/>
  <c r="AA42" i="6"/>
  <c r="W71" i="6"/>
  <c r="W58" i="6"/>
  <c r="W86" i="6"/>
  <c r="W87" i="6" s="1"/>
  <c r="X74" i="6"/>
  <c r="X51" i="6"/>
  <c r="T60" i="5"/>
  <c r="T69" i="5"/>
  <c r="W46" i="5"/>
  <c r="W55" i="5" s="1"/>
  <c r="W47" i="5"/>
  <c r="W48" i="5" s="1"/>
  <c r="X45" i="5"/>
  <c r="Y43" i="5"/>
  <c r="V75" i="5"/>
  <c r="V87" i="5" s="1"/>
  <c r="V88" i="5" s="1"/>
  <c r="V82" i="5"/>
  <c r="V52" i="5"/>
  <c r="U59" i="5"/>
  <c r="U72" i="5"/>
  <c r="Z33" i="5"/>
  <c r="Y36" i="5"/>
  <c r="AB32" i="4"/>
  <c r="AA35" i="4"/>
  <c r="U71" i="4"/>
  <c r="U58" i="4"/>
  <c r="U68" i="4" s="1"/>
  <c r="X44" i="4"/>
  <c r="Y42" i="4"/>
  <c r="U86" i="4"/>
  <c r="U87" i="4" s="1"/>
  <c r="W45" i="4"/>
  <c r="W54" i="4" s="1"/>
  <c r="W46" i="4"/>
  <c r="W47" i="4" s="1"/>
  <c r="V83" i="4"/>
  <c r="V51" i="4"/>
  <c r="V74" i="4"/>
  <c r="W83" i="3"/>
  <c r="W51" i="3"/>
  <c r="W74" i="3"/>
  <c r="U68" i="3"/>
  <c r="U59" i="3"/>
  <c r="Z35" i="3"/>
  <c r="AA32" i="3"/>
  <c r="V58" i="3"/>
  <c r="V71" i="3"/>
  <c r="Y44" i="3"/>
  <c r="Z42" i="3"/>
  <c r="V86" i="3"/>
  <c r="V87" i="3" s="1"/>
  <c r="X45" i="3"/>
  <c r="X54" i="3" s="1"/>
  <c r="X46" i="3"/>
  <c r="X47" i="3" s="1"/>
  <c r="AJ18" i="1"/>
  <c r="AK18" i="1" s="1"/>
  <c r="AJ12" i="1"/>
  <c r="Y46" i="7" l="1"/>
  <c r="Y47" i="7" s="1"/>
  <c r="Y45" i="7"/>
  <c r="Y54" i="7" s="1"/>
  <c r="V59" i="7"/>
  <c r="V68" i="7"/>
  <c r="W58" i="7"/>
  <c r="W71" i="7"/>
  <c r="W86" i="7" s="1"/>
  <c r="W87" i="7" s="1"/>
  <c r="X83" i="7"/>
  <c r="X51" i="7"/>
  <c r="X74" i="7"/>
  <c r="AC32" i="7"/>
  <c r="AB35" i="7"/>
  <c r="Z44" i="7"/>
  <c r="AA42" i="7"/>
  <c r="Z45" i="6"/>
  <c r="Z54" i="6" s="1"/>
  <c r="Z46" i="6"/>
  <c r="Z47" i="6" s="1"/>
  <c r="Y74" i="6"/>
  <c r="Y51" i="6"/>
  <c r="X86" i="6"/>
  <c r="X87" i="6" s="1"/>
  <c r="AB32" i="6"/>
  <c r="AA35" i="6"/>
  <c r="X58" i="6"/>
  <c r="X71" i="6"/>
  <c r="W68" i="6"/>
  <c r="W59" i="6"/>
  <c r="AA44" i="6"/>
  <c r="AB42" i="6"/>
  <c r="AA33" i="5"/>
  <c r="Z36" i="5"/>
  <c r="U69" i="5"/>
  <c r="U60" i="5"/>
  <c r="V59" i="5"/>
  <c r="V72" i="5"/>
  <c r="Y45" i="5"/>
  <c r="Z43" i="5"/>
  <c r="X47" i="5"/>
  <c r="X48" i="5" s="1"/>
  <c r="X46" i="5"/>
  <c r="X55" i="5" s="1"/>
  <c r="W82" i="5"/>
  <c r="W52" i="5"/>
  <c r="W75" i="5"/>
  <c r="W87" i="5" s="1"/>
  <c r="W88" i="5" s="1"/>
  <c r="Y44" i="4"/>
  <c r="Z42" i="4"/>
  <c r="X45" i="4"/>
  <c r="X54" i="4" s="1"/>
  <c r="X46" i="4"/>
  <c r="X47" i="4" s="1"/>
  <c r="V71" i="4"/>
  <c r="V86" i="4" s="1"/>
  <c r="V87" i="4" s="1"/>
  <c r="V58" i="4"/>
  <c r="V68" i="4" s="1"/>
  <c r="W83" i="4"/>
  <c r="W74" i="4"/>
  <c r="W51" i="4"/>
  <c r="AC32" i="4"/>
  <c r="AB35" i="4"/>
  <c r="AB32" i="3"/>
  <c r="AA35" i="3"/>
  <c r="Z44" i="3"/>
  <c r="AA42" i="3"/>
  <c r="W86" i="3"/>
  <c r="W87" i="3" s="1"/>
  <c r="X51" i="3"/>
  <c r="X74" i="3"/>
  <c r="X83" i="3"/>
  <c r="Y46" i="3"/>
  <c r="Y47" i="3" s="1"/>
  <c r="Y45" i="3"/>
  <c r="Y54" i="3" s="1"/>
  <c r="W58" i="3"/>
  <c r="W71" i="3"/>
  <c r="V59" i="3"/>
  <c r="V68" i="3"/>
  <c r="AJ17" i="1"/>
  <c r="AJ13" i="1"/>
  <c r="AK12" i="1"/>
  <c r="AA44" i="7" l="1"/>
  <c r="AB42" i="7"/>
  <c r="Z46" i="7"/>
  <c r="Z47" i="7" s="1"/>
  <c r="Z45" i="7"/>
  <c r="Z54" i="7" s="1"/>
  <c r="W59" i="7"/>
  <c r="W68" i="7"/>
  <c r="AC35" i="7"/>
  <c r="AD32" i="7"/>
  <c r="Y83" i="7"/>
  <c r="Y74" i="7"/>
  <c r="Y51" i="7"/>
  <c r="X58" i="7"/>
  <c r="X71" i="7"/>
  <c r="X86" i="7" s="1"/>
  <c r="X87" i="7" s="1"/>
  <c r="AA45" i="6"/>
  <c r="AA54" i="6" s="1"/>
  <c r="AA46" i="6"/>
  <c r="AA47" i="6" s="1"/>
  <c r="Y58" i="6"/>
  <c r="Y71" i="6"/>
  <c r="Y86" i="6" s="1"/>
  <c r="Y87" i="6" s="1"/>
  <c r="AB35" i="6"/>
  <c r="AC32" i="6"/>
  <c r="AB44" i="6"/>
  <c r="AC42" i="6"/>
  <c r="Z51" i="6"/>
  <c r="Z74" i="6"/>
  <c r="X68" i="6"/>
  <c r="X59" i="6"/>
  <c r="W59" i="5"/>
  <c r="W72" i="5"/>
  <c r="X52" i="5"/>
  <c r="X82" i="5"/>
  <c r="X75" i="5"/>
  <c r="X87" i="5" s="1"/>
  <c r="X88" i="5" s="1"/>
  <c r="AB33" i="5"/>
  <c r="AA36" i="5"/>
  <c r="Y47" i="5"/>
  <c r="Y48" i="5" s="1"/>
  <c r="Y46" i="5"/>
  <c r="Y55" i="5" s="1"/>
  <c r="V69" i="5"/>
  <c r="V60" i="5"/>
  <c r="Z45" i="5"/>
  <c r="AA43" i="5"/>
  <c r="X83" i="4"/>
  <c r="X74" i="4"/>
  <c r="X51" i="4"/>
  <c r="AD32" i="4"/>
  <c r="AC35" i="4"/>
  <c r="W58" i="4"/>
  <c r="W68" i="4" s="1"/>
  <c r="W71" i="4"/>
  <c r="W86" i="4" s="1"/>
  <c r="W87" i="4" s="1"/>
  <c r="Z44" i="4"/>
  <c r="AA42" i="4"/>
  <c r="Y45" i="4"/>
  <c r="Y54" i="4" s="1"/>
  <c r="Y46" i="4"/>
  <c r="Y47" i="4" s="1"/>
  <c r="AA44" i="3"/>
  <c r="AB42" i="3"/>
  <c r="W59" i="3"/>
  <c r="W68" i="3"/>
  <c r="Z45" i="3"/>
  <c r="Z54" i="3" s="1"/>
  <c r="Z46" i="3"/>
  <c r="Z47" i="3" s="1"/>
  <c r="X71" i="3"/>
  <c r="X86" i="3" s="1"/>
  <c r="X87" i="3" s="1"/>
  <c r="X58" i="3"/>
  <c r="Y83" i="3"/>
  <c r="Y51" i="3"/>
  <c r="Y74" i="3"/>
  <c r="AC32" i="3"/>
  <c r="AB35" i="3"/>
  <c r="AK13" i="1"/>
  <c r="AK39" i="1" s="1"/>
  <c r="AJ22" i="1"/>
  <c r="AJ19" i="1"/>
  <c r="AK19" i="1" s="1"/>
  <c r="AK40" i="1" s="1"/>
  <c r="H19" i="8" s="1"/>
  <c r="AK17" i="1"/>
  <c r="H24" i="8" l="1"/>
  <c r="H26" i="8"/>
  <c r="H20" i="8"/>
  <c r="H25" i="8"/>
  <c r="H178" i="8" s="1"/>
  <c r="H198" i="8"/>
  <c r="H36" i="8"/>
  <c r="H160" i="8" s="1"/>
  <c r="H27" i="8"/>
  <c r="H151" i="8"/>
  <c r="H170" i="8"/>
  <c r="X68" i="7"/>
  <c r="X59" i="7"/>
  <c r="Y58" i="7"/>
  <c r="Y71" i="7"/>
  <c r="Y86" i="7" s="1"/>
  <c r="Y87" i="7" s="1"/>
  <c r="Z83" i="7"/>
  <c r="Z74" i="7"/>
  <c r="Z51" i="7"/>
  <c r="AB44" i="7"/>
  <c r="AC42" i="7"/>
  <c r="AA45" i="7"/>
  <c r="AA54" i="7" s="1"/>
  <c r="AA46" i="7"/>
  <c r="AA47" i="7" s="1"/>
  <c r="AE32" i="7"/>
  <c r="AD35" i="7"/>
  <c r="AC35" i="6"/>
  <c r="AD32" i="6"/>
  <c r="AB46" i="6"/>
  <c r="AB47" i="6" s="1"/>
  <c r="AB45" i="6"/>
  <c r="AB54" i="6" s="1"/>
  <c r="Z86" i="6"/>
  <c r="Z87" i="6" s="1"/>
  <c r="Y59" i="6"/>
  <c r="Y68" i="6"/>
  <c r="Z58" i="6"/>
  <c r="Z71" i="6"/>
  <c r="AA51" i="6"/>
  <c r="AA74" i="6"/>
  <c r="AC44" i="6"/>
  <c r="AD42" i="6"/>
  <c r="X59" i="5"/>
  <c r="X72" i="5"/>
  <c r="AB36" i="5"/>
  <c r="AC33" i="5"/>
  <c r="AA45" i="5"/>
  <c r="AB43" i="5"/>
  <c r="Z47" i="5"/>
  <c r="Z48" i="5" s="1"/>
  <c r="Z46" i="5"/>
  <c r="Z55" i="5" s="1"/>
  <c r="W69" i="5"/>
  <c r="W60" i="5"/>
  <c r="Y52" i="5"/>
  <c r="Y82" i="5"/>
  <c r="Y75" i="5"/>
  <c r="Y87" i="5" s="1"/>
  <c r="Y88" i="5" s="1"/>
  <c r="Y83" i="4"/>
  <c r="Y74" i="4"/>
  <c r="Y51" i="4"/>
  <c r="AD35" i="4"/>
  <c r="AE32" i="4"/>
  <c r="X71" i="4"/>
  <c r="X86" i="4" s="1"/>
  <c r="X87" i="4" s="1"/>
  <c r="X58" i="4"/>
  <c r="X68" i="4" s="1"/>
  <c r="AA44" i="4"/>
  <c r="AB42" i="4"/>
  <c r="Z46" i="4"/>
  <c r="Z47" i="4" s="1"/>
  <c r="Z45" i="4"/>
  <c r="Z54" i="4" s="1"/>
  <c r="AC35" i="3"/>
  <c r="AD32" i="3"/>
  <c r="Y58" i="3"/>
  <c r="Y71" i="3"/>
  <c r="Y86" i="3" s="1"/>
  <c r="Y87" i="3" s="1"/>
  <c r="AB44" i="3"/>
  <c r="AC42" i="3"/>
  <c r="Z83" i="3"/>
  <c r="Z74" i="3"/>
  <c r="Z51" i="3"/>
  <c r="AA46" i="3"/>
  <c r="AA47" i="3" s="1"/>
  <c r="AA45" i="3"/>
  <c r="AA54" i="3" s="1"/>
  <c r="X59" i="3"/>
  <c r="X68" i="3"/>
  <c r="AK22" i="1"/>
  <c r="AK41" i="1" s="1"/>
  <c r="AM10" i="1"/>
  <c r="AJ21" i="1"/>
  <c r="H152" i="8" l="1"/>
  <c r="H52" i="8"/>
  <c r="H161" i="8"/>
  <c r="H56" i="8"/>
  <c r="H83" i="8"/>
  <c r="H179" i="8"/>
  <c r="H29" i="8"/>
  <c r="H130" i="8"/>
  <c r="H131" i="8" s="1"/>
  <c r="D6" i="12"/>
  <c r="H200" i="8"/>
  <c r="H21" i="8"/>
  <c r="H30" i="8" s="1"/>
  <c r="H166" i="8"/>
  <c r="H156" i="8"/>
  <c r="H171" i="8"/>
  <c r="H90" i="8"/>
  <c r="Z58" i="7"/>
  <c r="Z71" i="7"/>
  <c r="Z86" i="7"/>
  <c r="Z87" i="7" s="1"/>
  <c r="AE35" i="7"/>
  <c r="AF32" i="7"/>
  <c r="AA83" i="7"/>
  <c r="AA51" i="7"/>
  <c r="AA74" i="7"/>
  <c r="AC44" i="7"/>
  <c r="AD42" i="7"/>
  <c r="Y68" i="7"/>
  <c r="Y59" i="7"/>
  <c r="AB46" i="7"/>
  <c r="AB47" i="7" s="1"/>
  <c r="AB45" i="7"/>
  <c r="AB54" i="7" s="1"/>
  <c r="AB51" i="6"/>
  <c r="AB74" i="6"/>
  <c r="AC45" i="6"/>
  <c r="AC54" i="6" s="1"/>
  <c r="AC46" i="6"/>
  <c r="AC47" i="6" s="1"/>
  <c r="AA71" i="6"/>
  <c r="AA86" i="6" s="1"/>
  <c r="AA87" i="6" s="1"/>
  <c r="AA58" i="6"/>
  <c r="AE32" i="6"/>
  <c r="AD35" i="6"/>
  <c r="AD44" i="6"/>
  <c r="AE42" i="6"/>
  <c r="Z59" i="6"/>
  <c r="Z68" i="6"/>
  <c r="Z52" i="5"/>
  <c r="Z75" i="5"/>
  <c r="Z82" i="5"/>
  <c r="AA47" i="5"/>
  <c r="AA48" i="5" s="1"/>
  <c r="AA46" i="5"/>
  <c r="AA55" i="5" s="1"/>
  <c r="AC36" i="5"/>
  <c r="AD33" i="5"/>
  <c r="Y72" i="5"/>
  <c r="Y59" i="5"/>
  <c r="X69" i="5"/>
  <c r="X60" i="5"/>
  <c r="AB45" i="5"/>
  <c r="AC43" i="5"/>
  <c r="AE35" i="4"/>
  <c r="AF32" i="4"/>
  <c r="Z83" i="4"/>
  <c r="Z51" i="4"/>
  <c r="Z74" i="4"/>
  <c r="Y71" i="4"/>
  <c r="Y86" i="4" s="1"/>
  <c r="Y87" i="4" s="1"/>
  <c r="Y58" i="4"/>
  <c r="Y68" i="4" s="1"/>
  <c r="AB44" i="4"/>
  <c r="AC42" i="4"/>
  <c r="AA46" i="4"/>
  <c r="AA47" i="4" s="1"/>
  <c r="AA45" i="4"/>
  <c r="AA54" i="4" s="1"/>
  <c r="AC44" i="3"/>
  <c r="AD42" i="3"/>
  <c r="Y68" i="3"/>
  <c r="Y59" i="3"/>
  <c r="AA74" i="3"/>
  <c r="AA83" i="3"/>
  <c r="AA51" i="3"/>
  <c r="AD35" i="3"/>
  <c r="AE32" i="3"/>
  <c r="AB45" i="3"/>
  <c r="AB54" i="3" s="1"/>
  <c r="AB46" i="3"/>
  <c r="AB47" i="3" s="1"/>
  <c r="Z58" i="3"/>
  <c r="Z71" i="3"/>
  <c r="Z86" i="3"/>
  <c r="Z87" i="3" s="1"/>
  <c r="AM15" i="1"/>
  <c r="AK21" i="1"/>
  <c r="AK42" i="1" s="1"/>
  <c r="AQ10" i="1"/>
  <c r="AM12" i="1"/>
  <c r="D3" i="12" l="1"/>
  <c r="H31" i="8"/>
  <c r="I197" i="8"/>
  <c r="H73" i="8"/>
  <c r="H71" i="8" s="1"/>
  <c r="H61" i="8" s="1"/>
  <c r="H157" i="8"/>
  <c r="H53" i="8"/>
  <c r="H167" i="8"/>
  <c r="H81" i="8"/>
  <c r="H149" i="8"/>
  <c r="AA58" i="7"/>
  <c r="AA71" i="7"/>
  <c r="AA86" i="7" s="1"/>
  <c r="AA87" i="7" s="1"/>
  <c r="AB74" i="7"/>
  <c r="AB83" i="7"/>
  <c r="AB51" i="7"/>
  <c r="AF35" i="7"/>
  <c r="AG32" i="7"/>
  <c r="AD44" i="7"/>
  <c r="AE42" i="7"/>
  <c r="AC45" i="7"/>
  <c r="AC54" i="7" s="1"/>
  <c r="AC46" i="7"/>
  <c r="AC47" i="7" s="1"/>
  <c r="Z68" i="7"/>
  <c r="Z59" i="7"/>
  <c r="AE44" i="6"/>
  <c r="AF42" i="6"/>
  <c r="AD46" i="6"/>
  <c r="AD47" i="6" s="1"/>
  <c r="AD45" i="6"/>
  <c r="AD54" i="6" s="1"/>
  <c r="AB71" i="6"/>
  <c r="AB86" i="6" s="1"/>
  <c r="AB87" i="6" s="1"/>
  <c r="AB58" i="6"/>
  <c r="AA68" i="6"/>
  <c r="AA59" i="6"/>
  <c r="AC74" i="6"/>
  <c r="AC51" i="6"/>
  <c r="AF32" i="6"/>
  <c r="AE35" i="6"/>
  <c r="AD36" i="5"/>
  <c r="AE33" i="5"/>
  <c r="AC45" i="5"/>
  <c r="AD43" i="5"/>
  <c r="AB47" i="5"/>
  <c r="AB48" i="5" s="1"/>
  <c r="AB46" i="5"/>
  <c r="AB55" i="5" s="1"/>
  <c r="AA75" i="5"/>
  <c r="AA82" i="5"/>
  <c r="AA52" i="5"/>
  <c r="Z87" i="5"/>
  <c r="Z88" i="5" s="1"/>
  <c r="Y60" i="5"/>
  <c r="Y69" i="5"/>
  <c r="Z72" i="5"/>
  <c r="Z59" i="5"/>
  <c r="Z71" i="4"/>
  <c r="Z86" i="4" s="1"/>
  <c r="Z87" i="4" s="1"/>
  <c r="Z58" i="4"/>
  <c r="Z68" i="4" s="1"/>
  <c r="AA83" i="4"/>
  <c r="AA74" i="4"/>
  <c r="AA51" i="4"/>
  <c r="AF35" i="4"/>
  <c r="AG32" i="4"/>
  <c r="AC44" i="4"/>
  <c r="AD42" i="4"/>
  <c r="AB46" i="4"/>
  <c r="AB47" i="4" s="1"/>
  <c r="AB45" i="4"/>
  <c r="AB54" i="4" s="1"/>
  <c r="Z59" i="3"/>
  <c r="Z68" i="3"/>
  <c r="AA71" i="3"/>
  <c r="AA86" i="3" s="1"/>
  <c r="AA87" i="3" s="1"/>
  <c r="AA58" i="3"/>
  <c r="AB74" i="3"/>
  <c r="AB83" i="3"/>
  <c r="AB51" i="3"/>
  <c r="AD44" i="3"/>
  <c r="AE42" i="3"/>
  <c r="AE35" i="3"/>
  <c r="AF32" i="3"/>
  <c r="AC46" i="3"/>
  <c r="AC47" i="3" s="1"/>
  <c r="AC45" i="3"/>
  <c r="AC54" i="3" s="1"/>
  <c r="AM18" i="1"/>
  <c r="AQ15" i="1"/>
  <c r="AM17" i="1"/>
  <c r="AM13" i="1"/>
  <c r="I199" i="8" l="1"/>
  <c r="AB87" i="7"/>
  <c r="AD45" i="7"/>
  <c r="AD54" i="7" s="1"/>
  <c r="AD46" i="7"/>
  <c r="AD47" i="7" s="1"/>
  <c r="AG35" i="7"/>
  <c r="AH32" i="7"/>
  <c r="AB71" i="7"/>
  <c r="AB58" i="7"/>
  <c r="AC74" i="7"/>
  <c r="AC51" i="7"/>
  <c r="AC83" i="7"/>
  <c r="AB86" i="7"/>
  <c r="AE44" i="7"/>
  <c r="AF42" i="7"/>
  <c r="AA59" i="7"/>
  <c r="AA68" i="7"/>
  <c r="AD74" i="6"/>
  <c r="AD51" i="6"/>
  <c r="AC58" i="6"/>
  <c r="AC71" i="6"/>
  <c r="AF35" i="6"/>
  <c r="AG32" i="6"/>
  <c r="AC86" i="6"/>
  <c r="AC87" i="6" s="1"/>
  <c r="AF44" i="6"/>
  <c r="AG42" i="6"/>
  <c r="AB59" i="6"/>
  <c r="AB68" i="6"/>
  <c r="AE46" i="6"/>
  <c r="AE47" i="6" s="1"/>
  <c r="AE45" i="6"/>
  <c r="AE54" i="6" s="1"/>
  <c r="AA87" i="5"/>
  <c r="Z60" i="5"/>
  <c r="Z69" i="5"/>
  <c r="AB75" i="5"/>
  <c r="AB82" i="5"/>
  <c r="AB52" i="5"/>
  <c r="AD45" i="5"/>
  <c r="AE43" i="5"/>
  <c r="AC46" i="5"/>
  <c r="AC55" i="5" s="1"/>
  <c r="AC47" i="5"/>
  <c r="AC48" i="5" s="1"/>
  <c r="AA88" i="5"/>
  <c r="AE36" i="5"/>
  <c r="AF33" i="5"/>
  <c r="AA72" i="5"/>
  <c r="AA59" i="5"/>
  <c r="AA71" i="4"/>
  <c r="AA58" i="4"/>
  <c r="AA68" i="4" s="1"/>
  <c r="AA86" i="4"/>
  <c r="AA87" i="4" s="1"/>
  <c r="AB51" i="4"/>
  <c r="AB83" i="4"/>
  <c r="AB74" i="4"/>
  <c r="AD44" i="4"/>
  <c r="AE42" i="4"/>
  <c r="AC46" i="4"/>
  <c r="AC47" i="4" s="1"/>
  <c r="AC45" i="4"/>
  <c r="AC54" i="4" s="1"/>
  <c r="AG35" i="4"/>
  <c r="AH32" i="4"/>
  <c r="AC83" i="3"/>
  <c r="AC74" i="3"/>
  <c r="AC51" i="3"/>
  <c r="AF35" i="3"/>
  <c r="AG32" i="3"/>
  <c r="AA59" i="3"/>
  <c r="AA68" i="3"/>
  <c r="AE44" i="3"/>
  <c r="AF42" i="3"/>
  <c r="AD46" i="3"/>
  <c r="AD47" i="3" s="1"/>
  <c r="AD45" i="3"/>
  <c r="AD54" i="3" s="1"/>
  <c r="AB58" i="3"/>
  <c r="AB71" i="3"/>
  <c r="AB86" i="3" s="1"/>
  <c r="AB87" i="3" s="1"/>
  <c r="AM22" i="1"/>
  <c r="AN10" i="1" s="1"/>
  <c r="AM19" i="1"/>
  <c r="AM21" i="1" s="1"/>
  <c r="AN15" i="1" s="1"/>
  <c r="I126" i="8" l="1"/>
  <c r="I28" i="8"/>
  <c r="E4" i="12" s="1"/>
  <c r="AC71" i="7"/>
  <c r="AC86" i="7" s="1"/>
  <c r="AC87" i="7" s="1"/>
  <c r="AC58" i="7"/>
  <c r="AB59" i="7"/>
  <c r="AB68" i="7"/>
  <c r="AI32" i="7"/>
  <c r="AH35" i="7"/>
  <c r="AD74" i="7"/>
  <c r="AD51" i="7"/>
  <c r="AD83" i="7"/>
  <c r="AF44" i="7"/>
  <c r="AG42" i="7"/>
  <c r="AE45" i="7"/>
  <c r="AE54" i="7" s="1"/>
  <c r="AE46" i="7"/>
  <c r="AE47" i="7" s="1"/>
  <c r="AG35" i="6"/>
  <c r="AH32" i="6"/>
  <c r="AC59" i="6"/>
  <c r="AC68" i="6"/>
  <c r="AE51" i="6"/>
  <c r="AE74" i="6"/>
  <c r="AD71" i="6"/>
  <c r="AD86" i="6" s="1"/>
  <c r="AD87" i="6" s="1"/>
  <c r="AD58" i="6"/>
  <c r="AG44" i="6"/>
  <c r="AH42" i="6"/>
  <c r="AF46" i="6"/>
  <c r="AF47" i="6" s="1"/>
  <c r="AF45" i="6"/>
  <c r="AF54" i="6" s="1"/>
  <c r="AE45" i="5"/>
  <c r="AF43" i="5"/>
  <c r="AA60" i="5"/>
  <c r="AA69" i="5"/>
  <c r="AD46" i="5"/>
  <c r="AD55" i="5" s="1"/>
  <c r="AD47" i="5"/>
  <c r="AD48" i="5" s="1"/>
  <c r="AB59" i="5"/>
  <c r="AB72" i="5"/>
  <c r="AF36" i="5"/>
  <c r="AG33" i="5"/>
  <c r="AB87" i="5"/>
  <c r="AB88" i="5" s="1"/>
  <c r="AC88" i="5" s="1"/>
  <c r="AC75" i="5"/>
  <c r="AC87" i="5" s="1"/>
  <c r="AC82" i="5"/>
  <c r="AC52" i="5"/>
  <c r="AD45" i="4"/>
  <c r="AD54" i="4" s="1"/>
  <c r="AD46" i="4"/>
  <c r="AD47" i="4" s="1"/>
  <c r="AB71" i="4"/>
  <c r="AB86" i="4" s="1"/>
  <c r="AB87" i="4" s="1"/>
  <c r="AB58" i="4"/>
  <c r="AB68" i="4" s="1"/>
  <c r="AH35" i="4"/>
  <c r="AI32" i="4"/>
  <c r="AC83" i="4"/>
  <c r="AC74" i="4"/>
  <c r="AC51" i="4"/>
  <c r="AE44" i="4"/>
  <c r="AF42" i="4"/>
  <c r="AG35" i="3"/>
  <c r="AH32" i="3"/>
  <c r="AB68" i="3"/>
  <c r="AB59" i="3"/>
  <c r="AD74" i="3"/>
  <c r="AD83" i="3"/>
  <c r="AD51" i="3"/>
  <c r="AC71" i="3"/>
  <c r="AC58" i="3"/>
  <c r="AF44" i="3"/>
  <c r="AG42" i="3"/>
  <c r="AC86" i="3"/>
  <c r="AC87" i="3" s="1"/>
  <c r="AE46" i="3"/>
  <c r="AE47" i="3" s="1"/>
  <c r="AE45" i="3"/>
  <c r="AE54" i="3" s="1"/>
  <c r="AN18" i="1"/>
  <c r="AN12" i="1"/>
  <c r="AE74" i="7" l="1"/>
  <c r="AE83" i="7"/>
  <c r="AE51" i="7"/>
  <c r="AJ32" i="7"/>
  <c r="AI35" i="7"/>
  <c r="AG44" i="7"/>
  <c r="AH42" i="7"/>
  <c r="AF46" i="7"/>
  <c r="AF47" i="7" s="1"/>
  <c r="AF45" i="7"/>
  <c r="AF54" i="7" s="1"/>
  <c r="AD71" i="7"/>
  <c r="AD86" i="7" s="1"/>
  <c r="AD87" i="7" s="1"/>
  <c r="AD58" i="7"/>
  <c r="AC59" i="7"/>
  <c r="AC68" i="7"/>
  <c r="AF74" i="6"/>
  <c r="AF51" i="6"/>
  <c r="AH44" i="6"/>
  <c r="AI42" i="6"/>
  <c r="AH35" i="6"/>
  <c r="AI32" i="6"/>
  <c r="AE86" i="6"/>
  <c r="AE87" i="6" s="1"/>
  <c r="AG46" i="6"/>
  <c r="AG47" i="6" s="1"/>
  <c r="AG45" i="6"/>
  <c r="AG54" i="6" s="1"/>
  <c r="AE58" i="6"/>
  <c r="AE71" i="6"/>
  <c r="AD59" i="6"/>
  <c r="AD68" i="6"/>
  <c r="AC59" i="5"/>
  <c r="AC72" i="5"/>
  <c r="AB60" i="5"/>
  <c r="AB69" i="5"/>
  <c r="AD75" i="5"/>
  <c r="AD82" i="5"/>
  <c r="AD52" i="5"/>
  <c r="AG36" i="5"/>
  <c r="AH33" i="5"/>
  <c r="AF45" i="5"/>
  <c r="AG43" i="5"/>
  <c r="AE46" i="5"/>
  <c r="AE55" i="5" s="1"/>
  <c r="AE47" i="5"/>
  <c r="AE48" i="5" s="1"/>
  <c r="AF44" i="4"/>
  <c r="AG42" i="4"/>
  <c r="AE45" i="4"/>
  <c r="AE54" i="4" s="1"/>
  <c r="AE46" i="4"/>
  <c r="AE47" i="4" s="1"/>
  <c r="AC71" i="4"/>
  <c r="AC86" i="4" s="1"/>
  <c r="AC87" i="4" s="1"/>
  <c r="AC58" i="4"/>
  <c r="AC68" i="4" s="1"/>
  <c r="AD83" i="4"/>
  <c r="AD74" i="4"/>
  <c r="AD51" i="4"/>
  <c r="AJ32" i="4"/>
  <c r="AI35" i="4"/>
  <c r="AD58" i="3"/>
  <c r="AD71" i="3"/>
  <c r="AD86" i="3" s="1"/>
  <c r="AD87" i="3" s="1"/>
  <c r="AE83" i="3"/>
  <c r="AE74" i="3"/>
  <c r="AE51" i="3"/>
  <c r="AG44" i="3"/>
  <c r="AH42" i="3"/>
  <c r="AF45" i="3"/>
  <c r="AF54" i="3" s="1"/>
  <c r="AF46" i="3"/>
  <c r="AF47" i="3" s="1"/>
  <c r="AH35" i="3"/>
  <c r="AI32" i="3"/>
  <c r="AC68" i="3"/>
  <c r="AC59" i="3"/>
  <c r="AN17" i="1"/>
  <c r="AN13" i="1"/>
  <c r="AE87" i="7" l="1"/>
  <c r="AK32" i="7"/>
  <c r="AJ35" i="7"/>
  <c r="AH44" i="7"/>
  <c r="AI42" i="7"/>
  <c r="AG46" i="7"/>
  <c r="AG47" i="7" s="1"/>
  <c r="AG45" i="7"/>
  <c r="AG54" i="7" s="1"/>
  <c r="AD59" i="7"/>
  <c r="AD68" i="7"/>
  <c r="AE71" i="7"/>
  <c r="AE58" i="7"/>
  <c r="AF83" i="7"/>
  <c r="AF51" i="7"/>
  <c r="AF74" i="7"/>
  <c r="AE86" i="7"/>
  <c r="AI44" i="6"/>
  <c r="AJ42" i="6"/>
  <c r="AH45" i="6"/>
  <c r="AH54" i="6" s="1"/>
  <c r="AH46" i="6"/>
  <c r="AH47" i="6" s="1"/>
  <c r="AE68" i="6"/>
  <c r="AE59" i="6"/>
  <c r="AF58" i="6"/>
  <c r="AF71" i="6"/>
  <c r="AJ32" i="6"/>
  <c r="AI35" i="6"/>
  <c r="AF86" i="6"/>
  <c r="AF87" i="6" s="1"/>
  <c r="AG74" i="6"/>
  <c r="AG51" i="6"/>
  <c r="AD59" i="5"/>
  <c r="AD72" i="5"/>
  <c r="AE82" i="5"/>
  <c r="AE52" i="5"/>
  <c r="AE75" i="5"/>
  <c r="AE87" i="5" s="1"/>
  <c r="AD87" i="5"/>
  <c r="AD88" i="5" s="1"/>
  <c r="AF46" i="5"/>
  <c r="AF55" i="5" s="1"/>
  <c r="AF47" i="5"/>
  <c r="AF48" i="5" s="1"/>
  <c r="AI33" i="5"/>
  <c r="AH36" i="5"/>
  <c r="AC69" i="5"/>
  <c r="AC60" i="5"/>
  <c r="AG45" i="5"/>
  <c r="AH43" i="5"/>
  <c r="AE83" i="4"/>
  <c r="AE74" i="4"/>
  <c r="AE51" i="4"/>
  <c r="AK32" i="4"/>
  <c r="AJ35" i="4"/>
  <c r="AG44" i="4"/>
  <c r="AH42" i="4"/>
  <c r="AD71" i="4"/>
  <c r="AD58" i="4"/>
  <c r="AD68" i="4" s="1"/>
  <c r="AF45" i="4"/>
  <c r="AF54" i="4" s="1"/>
  <c r="AF46" i="4"/>
  <c r="AF47" i="4" s="1"/>
  <c r="AD86" i="4"/>
  <c r="AD87" i="4" s="1"/>
  <c r="AJ32" i="3"/>
  <c r="AI35" i="3"/>
  <c r="AE58" i="3"/>
  <c r="AE71" i="3"/>
  <c r="AE86" i="3" s="1"/>
  <c r="AE87" i="3" s="1"/>
  <c r="AG45" i="3"/>
  <c r="AG54" i="3" s="1"/>
  <c r="AG46" i="3"/>
  <c r="AG47" i="3" s="1"/>
  <c r="AF51" i="3"/>
  <c r="AF74" i="3"/>
  <c r="AF83" i="3"/>
  <c r="AD68" i="3"/>
  <c r="AD59" i="3"/>
  <c r="AH44" i="3"/>
  <c r="AI42" i="3"/>
  <c r="AN22" i="1"/>
  <c r="AO10" i="1" s="1"/>
  <c r="AN19" i="1"/>
  <c r="AG83" i="7" l="1"/>
  <c r="AG74" i="7"/>
  <c r="AG51" i="7"/>
  <c r="AF58" i="7"/>
  <c r="AF71" i="7"/>
  <c r="AF86" i="7" s="1"/>
  <c r="AF87" i="7" s="1"/>
  <c r="AH46" i="7"/>
  <c r="AH47" i="7" s="1"/>
  <c r="AH45" i="7"/>
  <c r="AH54" i="7" s="1"/>
  <c r="AE59" i="7"/>
  <c r="AE68" i="7"/>
  <c r="AI44" i="7"/>
  <c r="AJ42" i="7"/>
  <c r="AK35" i="7"/>
  <c r="AL32" i="7"/>
  <c r="AG58" i="6"/>
  <c r="AG71" i="6"/>
  <c r="AH51" i="6"/>
  <c r="AH74" i="6"/>
  <c r="AF68" i="6"/>
  <c r="AF59" i="6"/>
  <c r="AJ44" i="6"/>
  <c r="AK42" i="6"/>
  <c r="AJ35" i="6"/>
  <c r="AK32" i="6"/>
  <c r="AI45" i="6"/>
  <c r="AI54" i="6" s="1"/>
  <c r="AI46" i="6"/>
  <c r="AI47" i="6" s="1"/>
  <c r="AG86" i="6"/>
  <c r="AG87" i="6" s="1"/>
  <c r="AF52" i="5"/>
  <c r="AF75" i="5"/>
  <c r="AF87" i="5" s="1"/>
  <c r="AF82" i="5"/>
  <c r="AH45" i="5"/>
  <c r="AI43" i="5"/>
  <c r="AE88" i="5"/>
  <c r="AF88" i="5" s="1"/>
  <c r="AG47" i="5"/>
  <c r="AG48" i="5" s="1"/>
  <c r="AG46" i="5"/>
  <c r="AG55" i="5" s="1"/>
  <c r="AE59" i="5"/>
  <c r="AE72" i="5"/>
  <c r="AJ33" i="5"/>
  <c r="AI36" i="5"/>
  <c r="AD69" i="5"/>
  <c r="AD60" i="5"/>
  <c r="AG45" i="4"/>
  <c r="AG54" i="4" s="1"/>
  <c r="AG46" i="4"/>
  <c r="AG47" i="4" s="1"/>
  <c r="AL32" i="4"/>
  <c r="AK35" i="4"/>
  <c r="AF83" i="4"/>
  <c r="AF74" i="4"/>
  <c r="AF51" i="4"/>
  <c r="AE71" i="4"/>
  <c r="AE58" i="4"/>
  <c r="AE68" i="4" s="1"/>
  <c r="AE86" i="4"/>
  <c r="AE87" i="4" s="1"/>
  <c r="AH44" i="4"/>
  <c r="AI42" i="4"/>
  <c r="AE68" i="3"/>
  <c r="AE59" i="3"/>
  <c r="AI44" i="3"/>
  <c r="AJ42" i="3"/>
  <c r="AK32" i="3"/>
  <c r="AJ35" i="3"/>
  <c r="AG83" i="3"/>
  <c r="AG51" i="3"/>
  <c r="AG74" i="3"/>
  <c r="AH45" i="3"/>
  <c r="AH54" i="3" s="1"/>
  <c r="AH46" i="3"/>
  <c r="AH47" i="3" s="1"/>
  <c r="AF71" i="3"/>
  <c r="AF86" i="3" s="1"/>
  <c r="AF87" i="3" s="1"/>
  <c r="AF58" i="3"/>
  <c r="AO12" i="1"/>
  <c r="AN21" i="1"/>
  <c r="AO15" i="1" s="1"/>
  <c r="AH83" i="7" l="1"/>
  <c r="AH74" i="7"/>
  <c r="AH51" i="7"/>
  <c r="AM32" i="7"/>
  <c r="AL35" i="7"/>
  <c r="AF68" i="7"/>
  <c r="AF59" i="7"/>
  <c r="AJ44" i="7"/>
  <c r="AK42" i="7"/>
  <c r="AG58" i="7"/>
  <c r="AG71" i="7"/>
  <c r="AG86" i="7" s="1"/>
  <c r="AG87" i="7" s="1"/>
  <c r="AI45" i="7"/>
  <c r="AI54" i="7" s="1"/>
  <c r="AI46" i="7"/>
  <c r="AI47" i="7" s="1"/>
  <c r="AI51" i="6"/>
  <c r="AI74" i="6"/>
  <c r="AH58" i="6"/>
  <c r="AH71" i="6"/>
  <c r="AH86" i="6" s="1"/>
  <c r="AH87" i="6" s="1"/>
  <c r="AJ46" i="6"/>
  <c r="AJ47" i="6" s="1"/>
  <c r="AJ45" i="6"/>
  <c r="AJ54" i="6" s="1"/>
  <c r="AG59" i="6"/>
  <c r="AG68" i="6"/>
  <c r="AK35" i="6"/>
  <c r="AL32" i="6"/>
  <c r="AK44" i="6"/>
  <c r="AL42" i="6"/>
  <c r="AG52" i="5"/>
  <c r="AG75" i="5"/>
  <c r="AG82" i="5"/>
  <c r="AI45" i="5"/>
  <c r="AJ43" i="5"/>
  <c r="AH47" i="5"/>
  <c r="AH48" i="5" s="1"/>
  <c r="AH46" i="5"/>
  <c r="AH55" i="5" s="1"/>
  <c r="AJ36" i="5"/>
  <c r="AK33" i="5"/>
  <c r="AE69" i="5"/>
  <c r="AE60" i="5"/>
  <c r="AF59" i="5"/>
  <c r="AF72" i="5"/>
  <c r="AF71" i="4"/>
  <c r="AF58" i="4"/>
  <c r="AF68" i="4" s="1"/>
  <c r="AI44" i="4"/>
  <c r="AJ42" i="4"/>
  <c r="AH46" i="4"/>
  <c r="AH47" i="4" s="1"/>
  <c r="AH45" i="4"/>
  <c r="AH54" i="4" s="1"/>
  <c r="AL35" i="4"/>
  <c r="AM32" i="4"/>
  <c r="AF86" i="4"/>
  <c r="AF87" i="4" s="1"/>
  <c r="AG83" i="4"/>
  <c r="AG74" i="4"/>
  <c r="AG51" i="4"/>
  <c r="AK35" i="3"/>
  <c r="AL32" i="3"/>
  <c r="AH83" i="3"/>
  <c r="AH74" i="3"/>
  <c r="AH51" i="3"/>
  <c r="AJ44" i="3"/>
  <c r="AK42" i="3"/>
  <c r="AI45" i="3"/>
  <c r="AI54" i="3" s="1"/>
  <c r="AI46" i="3"/>
  <c r="AI47" i="3" s="1"/>
  <c r="AF59" i="3"/>
  <c r="AF68" i="3"/>
  <c r="AG71" i="3"/>
  <c r="AG86" i="3" s="1"/>
  <c r="AG87" i="3" s="1"/>
  <c r="AG58" i="3"/>
  <c r="AO18" i="1"/>
  <c r="AO17" i="1"/>
  <c r="AO13" i="1"/>
  <c r="AH87" i="7" l="1"/>
  <c r="AJ45" i="7"/>
  <c r="AJ54" i="7" s="1"/>
  <c r="AJ46" i="7"/>
  <c r="AJ47" i="7" s="1"/>
  <c r="AI74" i="7"/>
  <c r="AI51" i="7"/>
  <c r="AI83" i="7"/>
  <c r="AN32" i="7"/>
  <c r="AN35" i="7" s="1"/>
  <c r="AM35" i="7"/>
  <c r="AH58" i="7"/>
  <c r="AH71" i="7"/>
  <c r="AH86" i="7"/>
  <c r="AG68" i="7"/>
  <c r="AG59" i="7"/>
  <c r="AK44" i="7"/>
  <c r="AL42" i="7"/>
  <c r="AJ51" i="6"/>
  <c r="AJ74" i="6"/>
  <c r="AL44" i="6"/>
  <c r="AM42" i="6"/>
  <c r="AK45" i="6"/>
  <c r="AK54" i="6" s="1"/>
  <c r="AK46" i="6"/>
  <c r="AK47" i="6" s="1"/>
  <c r="AH68" i="6"/>
  <c r="AH59" i="6"/>
  <c r="AM32" i="6"/>
  <c r="AL35" i="6"/>
  <c r="AI71" i="6"/>
  <c r="AI86" i="6" s="1"/>
  <c r="AI87" i="6" s="1"/>
  <c r="AI58" i="6"/>
  <c r="AH52" i="5"/>
  <c r="AH75" i="5"/>
  <c r="AH87" i="5" s="1"/>
  <c r="AH82" i="5"/>
  <c r="AJ45" i="5"/>
  <c r="AK43" i="5"/>
  <c r="AF69" i="5"/>
  <c r="AF60" i="5"/>
  <c r="AI47" i="5"/>
  <c r="AI48" i="5" s="1"/>
  <c r="AI46" i="5"/>
  <c r="AI55" i="5" s="1"/>
  <c r="AK36" i="5"/>
  <c r="AL33" i="5"/>
  <c r="AG87" i="5"/>
  <c r="AG88" i="5" s="1"/>
  <c r="AH88" i="5" s="1"/>
  <c r="AG72" i="5"/>
  <c r="AG59" i="5"/>
  <c r="AH83" i="4"/>
  <c r="AH74" i="4"/>
  <c r="AH51" i="4"/>
  <c r="AG71" i="4"/>
  <c r="AG86" i="4" s="1"/>
  <c r="AG87" i="4" s="1"/>
  <c r="AG58" i="4"/>
  <c r="AG68" i="4" s="1"/>
  <c r="AI46" i="4"/>
  <c r="AI47" i="4" s="1"/>
  <c r="AI45" i="4"/>
  <c r="AI54" i="4" s="1"/>
  <c r="AJ44" i="4"/>
  <c r="AK42" i="4"/>
  <c r="AM35" i="4"/>
  <c r="AN32" i="4"/>
  <c r="AN35" i="4" s="1"/>
  <c r="AG68" i="3"/>
  <c r="AG59" i="3"/>
  <c r="AH58" i="3"/>
  <c r="AH71" i="3"/>
  <c r="AH86" i="3"/>
  <c r="AH87" i="3" s="1"/>
  <c r="AK44" i="3"/>
  <c r="AL42" i="3"/>
  <c r="AL35" i="3"/>
  <c r="AM32" i="3"/>
  <c r="AI74" i="3"/>
  <c r="AI51" i="3"/>
  <c r="AI83" i="3"/>
  <c r="AJ45" i="3"/>
  <c r="AJ54" i="3" s="1"/>
  <c r="AJ46" i="3"/>
  <c r="AJ47" i="3" s="1"/>
  <c r="AO22" i="1"/>
  <c r="AP10" i="1" s="1"/>
  <c r="AO19" i="1"/>
  <c r="AO21" i="1" s="1"/>
  <c r="AP15" i="1" s="1"/>
  <c r="AL44" i="7" l="1"/>
  <c r="AM42" i="7"/>
  <c r="AH59" i="7"/>
  <c r="AH68" i="7"/>
  <c r="AK45" i="7"/>
  <c r="AK54" i="7" s="1"/>
  <c r="AK46" i="7"/>
  <c r="AK47" i="7" s="1"/>
  <c r="AI58" i="7"/>
  <c r="AI71" i="7"/>
  <c r="AI86" i="7" s="1"/>
  <c r="AI87" i="7" s="1"/>
  <c r="AJ74" i="7"/>
  <c r="AJ51" i="7"/>
  <c r="AJ83" i="7"/>
  <c r="AK74" i="6"/>
  <c r="AK51" i="6"/>
  <c r="AI68" i="6"/>
  <c r="AI59" i="6"/>
  <c r="AM44" i="6"/>
  <c r="AN42" i="6"/>
  <c r="AN44" i="6" s="1"/>
  <c r="AL46" i="6"/>
  <c r="AL47" i="6" s="1"/>
  <c r="AL45" i="6"/>
  <c r="AL54" i="6" s="1"/>
  <c r="AM35" i="6"/>
  <c r="AN32" i="6"/>
  <c r="AN35" i="6" s="1"/>
  <c r="AJ58" i="6"/>
  <c r="AJ71" i="6"/>
  <c r="AJ86" i="6" s="1"/>
  <c r="AJ87" i="6" s="1"/>
  <c r="AI75" i="5"/>
  <c r="AI87" i="5" s="1"/>
  <c r="AI82" i="5"/>
  <c r="AI52" i="5"/>
  <c r="AG60" i="5"/>
  <c r="AG69" i="5"/>
  <c r="AK45" i="5"/>
  <c r="AL43" i="5"/>
  <c r="AI88" i="5"/>
  <c r="AJ47" i="5"/>
  <c r="AJ48" i="5" s="1"/>
  <c r="AJ46" i="5"/>
  <c r="AJ55" i="5" s="1"/>
  <c r="AL36" i="5"/>
  <c r="AM33" i="5"/>
  <c r="AH72" i="5"/>
  <c r="AH59" i="5"/>
  <c r="AI83" i="4"/>
  <c r="AI74" i="4"/>
  <c r="AI51" i="4"/>
  <c r="AH71" i="4"/>
  <c r="AH86" i="4" s="1"/>
  <c r="AH87" i="4" s="1"/>
  <c r="AH58" i="4"/>
  <c r="AH68" i="4" s="1"/>
  <c r="AK44" i="4"/>
  <c r="AL42" i="4"/>
  <c r="AJ46" i="4"/>
  <c r="AJ47" i="4" s="1"/>
  <c r="AJ45" i="4"/>
  <c r="AJ54" i="4" s="1"/>
  <c r="AK46" i="3"/>
  <c r="AK47" i="3" s="1"/>
  <c r="AK45" i="3"/>
  <c r="AK54" i="3" s="1"/>
  <c r="AI71" i="3"/>
  <c r="AI58" i="3"/>
  <c r="AH59" i="3"/>
  <c r="AH68" i="3"/>
  <c r="AJ83" i="3"/>
  <c r="AJ51" i="3"/>
  <c r="AJ74" i="3"/>
  <c r="AM35" i="3"/>
  <c r="AN32" i="3"/>
  <c r="AN35" i="3" s="1"/>
  <c r="AL44" i="3"/>
  <c r="AM42" i="3"/>
  <c r="AI86" i="3"/>
  <c r="AI87" i="3" s="1"/>
  <c r="AP18" i="1"/>
  <c r="AQ18" i="1" s="1"/>
  <c r="AP12" i="1"/>
  <c r="AI59" i="7" l="1"/>
  <c r="AI68" i="7"/>
  <c r="AK74" i="7"/>
  <c r="AK83" i="7"/>
  <c r="AK51" i="7"/>
  <c r="AJ86" i="7"/>
  <c r="AJ87" i="7" s="1"/>
  <c r="AM44" i="7"/>
  <c r="AN42" i="7"/>
  <c r="AN44" i="7" s="1"/>
  <c r="AJ71" i="7"/>
  <c r="AJ58" i="7"/>
  <c r="AL45" i="7"/>
  <c r="AL54" i="7" s="1"/>
  <c r="AL46" i="7"/>
  <c r="AL47" i="7" s="1"/>
  <c r="AN46" i="6"/>
  <c r="AN45" i="6"/>
  <c r="AN54" i="6" s="1"/>
  <c r="AJ59" i="6"/>
  <c r="AJ68" i="6"/>
  <c r="AK86" i="6"/>
  <c r="AK87" i="6" s="1"/>
  <c r="AL74" i="6"/>
  <c r="AL51" i="6"/>
  <c r="AM45" i="6"/>
  <c r="AM54" i="6" s="1"/>
  <c r="AM46" i="6"/>
  <c r="AM47" i="6" s="1"/>
  <c r="AK58" i="6"/>
  <c r="AK71" i="6"/>
  <c r="AL45" i="5"/>
  <c r="AM43" i="5"/>
  <c r="AH60" i="5"/>
  <c r="AH69" i="5"/>
  <c r="AK46" i="5"/>
  <c r="AK55" i="5" s="1"/>
  <c r="AK47" i="5"/>
  <c r="AK48" i="5" s="1"/>
  <c r="AN33" i="5"/>
  <c r="AN36" i="5" s="1"/>
  <c r="AM36" i="5"/>
  <c r="AI72" i="5"/>
  <c r="AI59" i="5"/>
  <c r="AJ75" i="5"/>
  <c r="AJ82" i="5"/>
  <c r="AJ52" i="5"/>
  <c r="AK45" i="4"/>
  <c r="AK54" i="4" s="1"/>
  <c r="AK46" i="4"/>
  <c r="AK47" i="4" s="1"/>
  <c r="AL44" i="4"/>
  <c r="AM42" i="4"/>
  <c r="AI58" i="4"/>
  <c r="AI68" i="4" s="1"/>
  <c r="AI71" i="4"/>
  <c r="AI86" i="4" s="1"/>
  <c r="AI87" i="4" s="1"/>
  <c r="AJ83" i="4"/>
  <c r="AJ74" i="4"/>
  <c r="AJ51" i="4"/>
  <c r="AL46" i="3"/>
  <c r="AL47" i="3" s="1"/>
  <c r="AL45" i="3"/>
  <c r="AL54" i="3" s="1"/>
  <c r="AI59" i="3"/>
  <c r="AI68" i="3"/>
  <c r="AJ86" i="3"/>
  <c r="AJ87" i="3" s="1"/>
  <c r="AK83" i="3"/>
  <c r="AK51" i="3"/>
  <c r="AK74" i="3"/>
  <c r="AM44" i="3"/>
  <c r="AN42" i="3"/>
  <c r="AN44" i="3" s="1"/>
  <c r="AJ58" i="3"/>
  <c r="AJ71" i="3"/>
  <c r="AP17" i="1"/>
  <c r="AP13" i="1"/>
  <c r="AQ12" i="1"/>
  <c r="AM45" i="7" l="1"/>
  <c r="AM54" i="7" s="1"/>
  <c r="AM46" i="7"/>
  <c r="AM47" i="7" s="1"/>
  <c r="AK71" i="7"/>
  <c r="AK58" i="7"/>
  <c r="AL74" i="7"/>
  <c r="AL83" i="7"/>
  <c r="AL51" i="7"/>
  <c r="AK86" i="7"/>
  <c r="AK87" i="7" s="1"/>
  <c r="AJ59" i="7"/>
  <c r="AJ68" i="7"/>
  <c r="AN46" i="7"/>
  <c r="AN47" i="7" s="1"/>
  <c r="AN45" i="7"/>
  <c r="AN54" i="7" s="1"/>
  <c r="AM51" i="6"/>
  <c r="AM74" i="6"/>
  <c r="AN47" i="6"/>
  <c r="AL71" i="6"/>
  <c r="AL86" i="6" s="1"/>
  <c r="AL87" i="6" s="1"/>
  <c r="AL58" i="6"/>
  <c r="AL68" i="6" s="1"/>
  <c r="AK59" i="6"/>
  <c r="AK68" i="6"/>
  <c r="AK75" i="5"/>
  <c r="AK82" i="5"/>
  <c r="AK52" i="5"/>
  <c r="AJ59" i="5"/>
  <c r="AJ72" i="5"/>
  <c r="AJ87" i="5"/>
  <c r="AJ88" i="5" s="1"/>
  <c r="AI60" i="5"/>
  <c r="AI69" i="5"/>
  <c r="AM45" i="5"/>
  <c r="AN43" i="5"/>
  <c r="AN45" i="5" s="1"/>
  <c r="AL46" i="5"/>
  <c r="AL55" i="5" s="1"/>
  <c r="AL47" i="5"/>
  <c r="AL48" i="5" s="1"/>
  <c r="AM44" i="4"/>
  <c r="AN42" i="4"/>
  <c r="AN44" i="4" s="1"/>
  <c r="AL46" i="4"/>
  <c r="AL47" i="4" s="1"/>
  <c r="AL45" i="4"/>
  <c r="AL54" i="4" s="1"/>
  <c r="AJ71" i="4"/>
  <c r="AJ86" i="4" s="1"/>
  <c r="AJ87" i="4" s="1"/>
  <c r="AJ58" i="4"/>
  <c r="AJ68" i="4" s="1"/>
  <c r="AK51" i="4"/>
  <c r="AK83" i="4"/>
  <c r="AK74" i="4"/>
  <c r="AJ68" i="3"/>
  <c r="AJ59" i="3"/>
  <c r="AN46" i="3"/>
  <c r="AN45" i="3"/>
  <c r="AN54" i="3" s="1"/>
  <c r="AK71" i="3"/>
  <c r="AK86" i="3" s="1"/>
  <c r="AK87" i="3" s="1"/>
  <c r="AK58" i="3"/>
  <c r="AM46" i="3"/>
  <c r="AM47" i="3" s="1"/>
  <c r="AM45" i="3"/>
  <c r="AM54" i="3" s="1"/>
  <c r="AL51" i="3"/>
  <c r="AL74" i="3"/>
  <c r="AL83" i="3"/>
  <c r="AQ13" i="1"/>
  <c r="AQ39" i="1" s="1"/>
  <c r="AP22" i="1"/>
  <c r="AP19" i="1"/>
  <c r="AQ19" i="1" s="1"/>
  <c r="AQ40" i="1" s="1"/>
  <c r="I19" i="8" s="1"/>
  <c r="AQ17" i="1"/>
  <c r="I25" i="8" l="1"/>
  <c r="I178" i="8" s="1"/>
  <c r="I24" i="8"/>
  <c r="I26" i="8"/>
  <c r="I20" i="8"/>
  <c r="I27" i="8"/>
  <c r="I198" i="8"/>
  <c r="I36" i="8"/>
  <c r="I160" i="8" s="1"/>
  <c r="I170" i="8"/>
  <c r="I151" i="8"/>
  <c r="AL58" i="7"/>
  <c r="AL68" i="7" s="1"/>
  <c r="AL71" i="7"/>
  <c r="AL86" i="7"/>
  <c r="AL87" i="7" s="1"/>
  <c r="AK59" i="7"/>
  <c r="AK68" i="7"/>
  <c r="AN83" i="7"/>
  <c r="AN51" i="7"/>
  <c r="AN74" i="7"/>
  <c r="AM74" i="7"/>
  <c r="AM83" i="7"/>
  <c r="AM51" i="7"/>
  <c r="AN74" i="6"/>
  <c r="AN51" i="6"/>
  <c r="AM71" i="6"/>
  <c r="AM86" i="6" s="1"/>
  <c r="AM87" i="6" s="1"/>
  <c r="AM58" i="6"/>
  <c r="AM68" i="6" s="1"/>
  <c r="AL75" i="5"/>
  <c r="AL82" i="5"/>
  <c r="AL52" i="5"/>
  <c r="AJ60" i="5"/>
  <c r="AJ69" i="5"/>
  <c r="AK59" i="5"/>
  <c r="AK72" i="5"/>
  <c r="AN46" i="5"/>
  <c r="AN55" i="5" s="1"/>
  <c r="AN47" i="5"/>
  <c r="AM46" i="5"/>
  <c r="AM55" i="5" s="1"/>
  <c r="AM47" i="5"/>
  <c r="AM48" i="5" s="1"/>
  <c r="AK87" i="5"/>
  <c r="AK88" i="5" s="1"/>
  <c r="AK71" i="4"/>
  <c r="AK58" i="4"/>
  <c r="AK68" i="4" s="1"/>
  <c r="AO51" i="4"/>
  <c r="AL51" i="4"/>
  <c r="AL83" i="4"/>
  <c r="AL74" i="4"/>
  <c r="AN45" i="4"/>
  <c r="AN54" i="4" s="1"/>
  <c r="AN46" i="4"/>
  <c r="AK86" i="4"/>
  <c r="AK87" i="4" s="1"/>
  <c r="AM45" i="4"/>
  <c r="AM54" i="4" s="1"/>
  <c r="AM46" i="4"/>
  <c r="AM47" i="4" s="1"/>
  <c r="AN47" i="3"/>
  <c r="AK68" i="3"/>
  <c r="AK59" i="3"/>
  <c r="AL58" i="3"/>
  <c r="AL68" i="3" s="1"/>
  <c r="AL71" i="3"/>
  <c r="AL86" i="3" s="1"/>
  <c r="AL87" i="3" s="1"/>
  <c r="AM83" i="3"/>
  <c r="AM74" i="3"/>
  <c r="AM51" i="3"/>
  <c r="AS10" i="1"/>
  <c r="AQ22" i="1"/>
  <c r="AQ41" i="1" s="1"/>
  <c r="AP21" i="1"/>
  <c r="I90" i="8" l="1"/>
  <c r="I171" i="8"/>
  <c r="I21" i="8"/>
  <c r="I30" i="8" s="1"/>
  <c r="I166" i="8"/>
  <c r="I156" i="8"/>
  <c r="I56" i="8"/>
  <c r="I161" i="8"/>
  <c r="I130" i="8"/>
  <c r="I131" i="8" s="1"/>
  <c r="E6" i="12"/>
  <c r="I200" i="8"/>
  <c r="I29" i="8"/>
  <c r="I52" i="8"/>
  <c r="I152" i="8"/>
  <c r="I83" i="8"/>
  <c r="I179" i="8"/>
  <c r="AN58" i="7"/>
  <c r="AN68" i="7" s="1"/>
  <c r="AN71" i="7"/>
  <c r="AM58" i="7"/>
  <c r="AM68" i="7" s="1"/>
  <c r="AM71" i="7"/>
  <c r="AM86" i="7" s="1"/>
  <c r="AM87" i="7" s="1"/>
  <c r="AN86" i="7"/>
  <c r="D93" i="6"/>
  <c r="D94" i="6" s="1"/>
  <c r="AN86" i="6"/>
  <c r="AN58" i="6"/>
  <c r="AN68" i="6" s="1"/>
  <c r="AN71" i="6"/>
  <c r="AK69" i="5"/>
  <c r="AK60" i="5"/>
  <c r="AM82" i="5"/>
  <c r="AM52" i="5"/>
  <c r="AM75" i="5"/>
  <c r="AM87" i="5" s="1"/>
  <c r="AL59" i="5"/>
  <c r="AL69" i="5" s="1"/>
  <c r="AL72" i="5"/>
  <c r="AN48" i="5"/>
  <c r="AL87" i="5"/>
  <c r="AL88" i="5" s="1"/>
  <c r="AM88" i="5" s="1"/>
  <c r="AL71" i="4"/>
  <c r="AL58" i="4"/>
  <c r="AL68" i="4" s="1"/>
  <c r="AM83" i="4"/>
  <c r="AM74" i="4"/>
  <c r="AM51" i="4"/>
  <c r="AL86" i="4"/>
  <c r="AL87" i="4" s="1"/>
  <c r="AN47" i="4"/>
  <c r="AM58" i="3"/>
  <c r="AM68" i="3" s="1"/>
  <c r="AM71" i="3"/>
  <c r="AN51" i="3"/>
  <c r="AN74" i="3"/>
  <c r="AN83" i="3"/>
  <c r="AM86" i="3"/>
  <c r="AM87" i="3" s="1"/>
  <c r="AQ21" i="1"/>
  <c r="AQ42" i="1" s="1"/>
  <c r="AS15" i="1"/>
  <c r="AW10" i="1"/>
  <c r="AS12" i="1"/>
  <c r="I157" i="8" l="1"/>
  <c r="I53" i="8"/>
  <c r="E3" i="12"/>
  <c r="I31" i="8"/>
  <c r="I149" i="8"/>
  <c r="J197" i="8"/>
  <c r="I73" i="8"/>
  <c r="I71" i="8" s="1"/>
  <c r="I61" i="8" s="1"/>
  <c r="I81" i="8"/>
  <c r="I167" i="8"/>
  <c r="AN87" i="7"/>
  <c r="D92" i="7" s="1"/>
  <c r="D95" i="7" s="1"/>
  <c r="D93" i="7"/>
  <c r="D94" i="7" s="1"/>
  <c r="D98" i="7"/>
  <c r="D89" i="7"/>
  <c r="D98" i="6"/>
  <c r="D89" i="6"/>
  <c r="AN87" i="6"/>
  <c r="D92" i="6" s="1"/>
  <c r="D95" i="6" s="1"/>
  <c r="D94" i="5"/>
  <c r="D95" i="5" s="1"/>
  <c r="AM59" i="5"/>
  <c r="AM69" i="5" s="1"/>
  <c r="AM72" i="5"/>
  <c r="AN52" i="5"/>
  <c r="AN75" i="5"/>
  <c r="AN87" i="5" s="1"/>
  <c r="AN82" i="5"/>
  <c r="AN83" i="4"/>
  <c r="AN74" i="4"/>
  <c r="AN51" i="4"/>
  <c r="AM58" i="4"/>
  <c r="AM68" i="4" s="1"/>
  <c r="AM71" i="4"/>
  <c r="AM86" i="4"/>
  <c r="AM87" i="4" s="1"/>
  <c r="D93" i="3"/>
  <c r="D94" i="3" s="1"/>
  <c r="AN71" i="3"/>
  <c r="AN58" i="3"/>
  <c r="AN68" i="3" s="1"/>
  <c r="AN86" i="3"/>
  <c r="AS17" i="1"/>
  <c r="AS13" i="1"/>
  <c r="AS18" i="1"/>
  <c r="AW15" i="1"/>
  <c r="J199" i="8" l="1"/>
  <c r="D90" i="7"/>
  <c r="F107" i="7"/>
  <c r="D90" i="6"/>
  <c r="F107" i="6"/>
  <c r="D99" i="5"/>
  <c r="D90" i="5"/>
  <c r="D91" i="5" s="1"/>
  <c r="AN59" i="5"/>
  <c r="AN69" i="5" s="1"/>
  <c r="AN72" i="5"/>
  <c r="AN88" i="5"/>
  <c r="D93" i="5" s="1"/>
  <c r="D96" i="5" s="1"/>
  <c r="D93" i="4"/>
  <c r="D94" i="4" s="1"/>
  <c r="AN71" i="4"/>
  <c r="AN58" i="4"/>
  <c r="AN68" i="4" s="1"/>
  <c r="AN86" i="4"/>
  <c r="D98" i="3"/>
  <c r="D89" i="3"/>
  <c r="AN87" i="3"/>
  <c r="D92" i="3" s="1"/>
  <c r="D95" i="3" s="1"/>
  <c r="AS22" i="1"/>
  <c r="AT10" i="1" s="1"/>
  <c r="AS19" i="1"/>
  <c r="J28" i="8" l="1"/>
  <c r="F4" i="12" s="1"/>
  <c r="J126" i="8"/>
  <c r="D98" i="4"/>
  <c r="D99" i="4" s="1"/>
  <c r="D89" i="4"/>
  <c r="AN87" i="4"/>
  <c r="D92" i="4" s="1"/>
  <c r="D95" i="4" s="1"/>
  <c r="D90" i="3"/>
  <c r="F107" i="3"/>
  <c r="AS21" i="1"/>
  <c r="AT15" i="1" s="1"/>
  <c r="AT12" i="1"/>
  <c r="D90" i="4" l="1"/>
  <c r="H12" i="4"/>
  <c r="AT17" i="1"/>
  <c r="AT13" i="1"/>
  <c r="AT18" i="1"/>
  <c r="AT22" i="1" l="1"/>
  <c r="AU10" i="1" s="1"/>
  <c r="AT19" i="1"/>
  <c r="AT21" i="1" l="1"/>
  <c r="AU15" i="1" s="1"/>
  <c r="AU12" i="1"/>
  <c r="AU17" i="1" l="1"/>
  <c r="AU13" i="1"/>
  <c r="AU18" i="1"/>
  <c r="AU22" i="1" l="1"/>
  <c r="AV10" i="1" s="1"/>
  <c r="AU19" i="1"/>
  <c r="AU21" i="1" l="1"/>
  <c r="AV15" i="1" s="1"/>
  <c r="AV12" i="1"/>
  <c r="AV17" i="1" l="1"/>
  <c r="AV13" i="1"/>
  <c r="AW12" i="1"/>
  <c r="AV18" i="1"/>
  <c r="AW18" i="1" s="1"/>
  <c r="AW13" i="1" l="1"/>
  <c r="AW39" i="1" s="1"/>
  <c r="AV22" i="1"/>
  <c r="AW22" i="1" s="1"/>
  <c r="AW41" i="1" s="1"/>
  <c r="AV19" i="1"/>
  <c r="AW17" i="1"/>
  <c r="AW19" i="1" l="1"/>
  <c r="AW40" i="1" s="1"/>
  <c r="J19" i="8" s="1"/>
  <c r="AV21" i="1"/>
  <c r="AW21" i="1" s="1"/>
  <c r="AW42" i="1" s="1"/>
  <c r="J24" i="8" l="1"/>
  <c r="J25" i="8"/>
  <c r="J178" i="8" s="1"/>
  <c r="J26" i="8"/>
  <c r="J20" i="8"/>
  <c r="J198" i="8"/>
  <c r="J27" i="8"/>
  <c r="J36" i="8"/>
  <c r="J160" i="8" s="1"/>
  <c r="J151" i="8"/>
  <c r="J170" i="8"/>
  <c r="G61" i="8"/>
  <c r="G35" i="8"/>
  <c r="G37" i="8" s="1"/>
  <c r="J161" i="8" l="1"/>
  <c r="J56" i="8"/>
  <c r="J21" i="8"/>
  <c r="J30" i="8" s="1"/>
  <c r="J166" i="8"/>
  <c r="J156" i="8"/>
  <c r="J149" i="8" s="1"/>
  <c r="J152" i="8"/>
  <c r="J52" i="8"/>
  <c r="J130" i="8"/>
  <c r="J131" i="8" s="1"/>
  <c r="F6" i="12"/>
  <c r="J200" i="8"/>
  <c r="J73" i="8" s="1"/>
  <c r="J71" i="8" s="1"/>
  <c r="J61" i="8" s="1"/>
  <c r="J83" i="8"/>
  <c r="J179" i="8"/>
  <c r="J90" i="8"/>
  <c r="J171" i="8"/>
  <c r="G38" i="8"/>
  <c r="G39" i="8" s="1"/>
  <c r="C4" i="13" s="1"/>
  <c r="G125" i="8"/>
  <c r="J157" i="8" l="1"/>
  <c r="J53" i="8"/>
  <c r="J81" i="8"/>
  <c r="J167" i="8"/>
  <c r="F3" i="12"/>
  <c r="J31" i="8"/>
  <c r="J29" i="8"/>
  <c r="G40" i="8"/>
  <c r="G133" i="8"/>
  <c r="C8" i="13" s="1"/>
  <c r="C11" i="13" s="1"/>
  <c r="G135" i="8" l="1"/>
  <c r="G117" i="8"/>
  <c r="G110" i="8" l="1"/>
  <c r="G187" i="8" l="1"/>
  <c r="H176" i="8"/>
  <c r="I176" i="8" s="1"/>
  <c r="G174" i="8"/>
  <c r="G175" i="8" s="1"/>
  <c r="G164" i="8" l="1"/>
  <c r="G144" i="8" s="1"/>
  <c r="G145" i="8" s="1"/>
  <c r="C5" i="12" s="1"/>
  <c r="C7" i="12" s="1"/>
  <c r="C9" i="12" s="1"/>
  <c r="J176" i="8"/>
  <c r="J174" i="8" s="1"/>
  <c r="I174" i="8"/>
  <c r="H174" i="8"/>
  <c r="G89" i="8"/>
  <c r="G78" i="8" s="1"/>
  <c r="G121" i="8" s="1"/>
  <c r="G127" i="8" l="1"/>
  <c r="G128" i="8" s="1"/>
  <c r="G138" i="8" s="1"/>
  <c r="G139" i="8" s="1"/>
  <c r="H137" i="8" s="1"/>
  <c r="I89" i="8"/>
  <c r="I78" i="8" s="1"/>
  <c r="I164" i="8"/>
  <c r="I144" i="8" s="1"/>
  <c r="I175" i="8"/>
  <c r="H89" i="8"/>
  <c r="H78" i="8" s="1"/>
  <c r="H164" i="8"/>
  <c r="H144" i="8" s="1"/>
  <c r="H145" i="8" s="1"/>
  <c r="H175" i="8"/>
  <c r="J164" i="8"/>
  <c r="J144" i="8" s="1"/>
  <c r="J175" i="8"/>
  <c r="J89" i="8"/>
  <c r="J78" i="8" s="1"/>
  <c r="J145" i="8" l="1"/>
  <c r="J127" i="8" s="1"/>
  <c r="G50" i="8"/>
  <c r="F5" i="12"/>
  <c r="F7" i="12" s="1"/>
  <c r="H127" i="8"/>
  <c r="D5" i="12"/>
  <c r="D7" i="12" s="1"/>
  <c r="D9" i="12" s="1"/>
  <c r="I145" i="8"/>
  <c r="G49" i="8" l="1"/>
  <c r="G76" i="8" s="1"/>
  <c r="G122" i="8" s="1"/>
  <c r="H206" i="8"/>
  <c r="H33" i="8" s="1"/>
  <c r="H35" i="8" s="1"/>
  <c r="H37" i="8" s="1"/>
  <c r="H38" i="8" s="1"/>
  <c r="H39" i="8" s="1"/>
  <c r="F9" i="12"/>
  <c r="G7" i="12"/>
  <c r="G9" i="12" s="1"/>
  <c r="C14" i="12" s="1"/>
  <c r="E5" i="12"/>
  <c r="E7" i="12" s="1"/>
  <c r="E9" i="12" s="1"/>
  <c r="I127" i="8"/>
  <c r="H125" i="8" l="1"/>
  <c r="H128" i="8" s="1"/>
  <c r="C13" i="12"/>
  <c r="C15" i="12" s="1"/>
  <c r="C17" i="12" s="1"/>
  <c r="C19" i="12" s="1"/>
  <c r="C21" i="12" s="1"/>
  <c r="G22" i="12" s="1"/>
  <c r="D4" i="13"/>
  <c r="C16" i="13" s="1"/>
  <c r="H133" i="8"/>
  <c r="H40" i="8"/>
  <c r="H135" i="8" l="1"/>
  <c r="H138" i="8" s="1"/>
  <c r="H139" i="8" s="1"/>
  <c r="D8" i="13"/>
  <c r="H117" i="8"/>
  <c r="D11" i="13" l="1"/>
  <c r="H110" i="8"/>
  <c r="I137" i="8"/>
  <c r="H50" i="8"/>
  <c r="H187" i="8" l="1"/>
  <c r="H121" i="8"/>
  <c r="H49" i="8"/>
  <c r="H76" i="8" s="1"/>
  <c r="H122" i="8" s="1"/>
  <c r="I206" i="8"/>
  <c r="I33" i="8" s="1"/>
  <c r="I35" i="8" s="1"/>
  <c r="I37" i="8" s="1"/>
  <c r="I38" i="8" l="1"/>
  <c r="I39" i="8" s="1"/>
  <c r="I125" i="8"/>
  <c r="I128" i="8" s="1"/>
  <c r="I133" i="8" l="1"/>
  <c r="I40" i="8"/>
  <c r="E4" i="13"/>
  <c r="I135" i="8" l="1"/>
  <c r="I138" i="8" s="1"/>
  <c r="I139" i="8" s="1"/>
  <c r="E8" i="13"/>
  <c r="I117" i="8"/>
  <c r="I110" i="8" l="1"/>
  <c r="E11" i="13"/>
  <c r="J137" i="8"/>
  <c r="I50" i="8"/>
  <c r="I49" i="8" l="1"/>
  <c r="I76" i="8" s="1"/>
  <c r="J206" i="8"/>
  <c r="J33" i="8" s="1"/>
  <c r="J35" i="8" s="1"/>
  <c r="J37" i="8" s="1"/>
  <c r="I121" i="8"/>
  <c r="I187" i="8"/>
  <c r="I122" i="8" l="1"/>
  <c r="J125" i="8"/>
  <c r="J128" i="8" s="1"/>
  <c r="J38" i="8"/>
  <c r="J39" i="8" s="1"/>
  <c r="J133" i="8" l="1"/>
  <c r="F4" i="13"/>
  <c r="F9" i="13" s="1"/>
  <c r="J40" i="8"/>
  <c r="F8" i="13" l="1"/>
  <c r="J135" i="8"/>
  <c r="J138" i="8" s="1"/>
  <c r="J139" i="8" s="1"/>
  <c r="J50" i="8" s="1"/>
  <c r="J117" i="8"/>
  <c r="J110" i="8" s="1"/>
  <c r="J121" i="8" l="1"/>
  <c r="J187" i="8"/>
  <c r="J49" i="8"/>
  <c r="J76" i="8" s="1"/>
  <c r="F11" i="13"/>
  <c r="C20" i="13" s="1"/>
  <c r="I35" i="13" s="1"/>
  <c r="C22" i="13"/>
  <c r="J122" i="8" l="1"/>
  <c r="I26" i="13"/>
  <c r="I17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tc={D8ACA24E-3209-4952-A2CD-7617F0768B6C}</author>
    <author>Unknown Author</author>
    <author>tc={A698EC91-EAE6-42F7-862E-0C934F20BEF7}</author>
    <author>tc={B1081315-9D0F-4A14-9758-4DC8773DDB2A}</author>
  </authors>
  <commentList>
    <comment ref="G11" authorId="0" shapeId="0" xr:uid="{D8ACA24E-3209-4952-A2CD-7617F0768B6C}">
      <text>
        <t>[Threaded comment]
Your version of Excel allows you to read this threaded comment; however, any edits to it will get removed if the file is opened in a newer version of Excel. Learn more: https://go.microsoft.com/fwlink/?linkid=870924
Comment:
    Média historica da %</t>
      </text>
    </comment>
    <comment ref="C42" authorId="1" shapeId="0" xr:uid="{A32C0719-3447-49B9-AA9A-DCDC8D152EE4}">
      <text>
        <r>
          <rPr>
            <sz val="10"/>
            <rFont val="Arial"/>
            <family val="2"/>
          </rPr>
          <t>Source: Fato Relevante Direcional - Dividendos Intermediários (Dez/2025): 518.961.672 ações em circulação, excluídas as em tesouraria. Histórico restated para comparabilidade pós-desdobramento.</t>
        </r>
      </text>
    </comment>
    <comment ref="G184" authorId="1" shapeId="0" xr:uid="{711024BC-692C-412A-A3F1-30D07984D7CD}">
      <text>
        <r>
          <rPr>
            <sz val="10"/>
            <rFont val="Arial"/>
            <family val="2"/>
          </rPr>
          <t>Premissa: Captação = Amortização + 7.5% × Dívida Bruta(t-1). Reflete ciclo recente de captação acelerada via CRI (12ª e 13ª emissões de debêntures em 2025, R$ 975 mn em 2 operações). 7.5% mantém Dívida/Receita em ~50% e ND/EBITDA &lt;0.5x.</t>
        </r>
      </text>
    </comment>
    <comment ref="G190" authorId="2" shapeId="0" xr:uid="{A698EC91-EAE6-42F7-862E-0C934F20BE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Adicionamos um prêmio de +2%, dado que em 2025 eles se alavancaram muito por conta do pagamento extraordinário de dividendos. Que vai diminuindo ao tempo que a alavancagem diminui
</t>
      </text>
    </comment>
    <comment ref="C191" authorId="3" shapeId="0" xr:uid="{B1081315-9D0F-4A14-9758-4DC8773DDB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Kd de 14% reflete o custo médio ponderado da estrutura de capital atual, combinando SFH a TR + 8-9%, CRIs recentes a ~100% CDI (~13%) e debêntures legadas a CDI + 1,0-1,5%, em linha com o patamar de juros do ciclo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tc={253A2570-B038-4878-A18F-EF4D1E4C5CDC}</author>
    <author>tc={D1DA2658-4F89-41BA-9416-A70EDBEAE383}</author>
  </authors>
  <commentList>
    <comment ref="C18" authorId="0" shapeId="0" xr:uid="{319D9005-92BB-4E15-A137-BE8B53808A3B}">
      <text>
        <r>
          <rPr>
            <sz val="10"/>
            <rFont val="Arial"/>
            <family val="2"/>
          </rPr>
          <t>Source: Fato Relevante Direcional - Dividendos Intermediários (Dez/2025): 518.961.672 ações em circulação, excluídas as em tesouraria.</t>
        </r>
      </text>
    </comment>
    <comment ref="C29" authorId="1" shapeId="0" xr:uid="{253A2570-B038-4878-A18F-EF4D1E4C5CDC}">
      <text>
        <t>[Threaded comment]
Your version of Excel allows you to read this threaded comment; however, any edits to it will get removed if the file is opened in a newer version of Excel. Learn more: https://go.microsoft.com/fwlink/?linkid=870924
Comment:
    Em conversa com gerentes, decidimos aumentar +2% no Ke</t>
      </text>
    </comment>
    <comment ref="C32" authorId="2" shapeId="0" xr:uid="{D1DA2658-4F89-41BA-9416-A70EDBEAE383}">
      <text>
        <t>[Threaded comment]
Your version of Excel allows you to read this threaded comment; however, any edits to it will get removed if the file is opened in a newer version of Excel. Learn more: https://go.microsoft.com/fwlink/?linkid=870924
Comment:
    Pegamos a ultima emissão de dívida da Direcional que foi 100% do CDI e adicionamos um premio de + 1% pois hoje ela já se encontra muito mais alavancada do que na época em que emitiu a dívida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A6" authorId="0" shapeId="0" xr:uid="{4B52969E-D897-40EC-9638-050E0A59907A}">
      <text>
        <r>
          <rPr>
            <sz val="10"/>
            <rFont val="Arial"/>
            <family val="2"/>
          </rPr>
          <t>Q1-Q3 2026E agora dirigidos por premissas (linhas 25-33), consistente com 2027E-2029E. Antes estavam hardcoded.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9" authorId="0" shapeId="0" xr:uid="{A7CA27F1-0123-4CB3-97D6-15DC3A12DB49}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Pegamos a viabilidade um Empreendimento real de MCMV e concluimos que a corretagem é 4%
 </t>
        </r>
      </text>
    </comment>
    <comment ref="C20" authorId="0" shapeId="0" xr:uid="{5DF7B9F8-D70A-4C38-8046-1FB7D8FB1CF5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untamos 2,5% de Gastos Administrativos do projeto ( Administração e gestão do projeto, contabilidade e legalização da SPE, despesas bancárias, SAC e cobrança) Tudo isso provado e com base em um projeto real. E somamos 0,5% de Marketing (divulgação, estande de vendas)</t>
        </r>
      </text>
    </comment>
    <comment ref="D30" authorId="0" shapeId="0" xr:uid="{8F27A6D7-5FBF-4D12-8204-E459B4F982C9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Conversamos com o analista Matheus Meloni e concluimos que o VSO se comporta da seguinte maneira: Nos e primeiros trimestres ele é mais elevado e depois vai diminuindo, sem um padrão definido</t>
        </r>
      </text>
    </comment>
    <comment ref="F71" authorId="0" shapeId="0" xr:uid="{275EB62A-1CD0-425B-85E9-E184BF3F6B7A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 RET incide sobre a Receita e não sobre o EBIT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9" authorId="0" shapeId="0" xr:uid="{C9BEB43D-A379-455F-889C-E7CE5E53E975}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Pegamos a viabilidade um Empreendimento real de MCMV e concluimos que a corretagem é 4%
 </t>
        </r>
      </text>
    </comment>
    <comment ref="C20" authorId="0" shapeId="0" xr:uid="{5BB1AF15-F2E1-4271-962F-7042302F948D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untamos 2,5% de Gastos Administrativos do projeto ( Administração e gestão do projeto, contabilidade e legalização da SPE, despesas bancárias, SAC e cobrança) Tudo isso provado e com base em um projeto real. E somamos 0,5% de Marketing (divulgação, estande de vendas)</t>
        </r>
      </text>
    </comment>
    <comment ref="D30" authorId="0" shapeId="0" xr:uid="{AE40E9B2-FF02-43C0-9339-FA9B9C2735E5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Conversamos com o analista Matheus Meloni e concluimos que o VSO se comporta da seguinte maneira: Nos e primeiros trimestres ele é mais elevado e depois vai diminuindo, sem um padrão definido</t>
        </r>
      </text>
    </comment>
    <comment ref="F71" authorId="0" shapeId="0" xr:uid="{77506A06-B157-4F40-B8D7-62E22DA36BBC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 RET incide sobre a Receita e não sobre o EBIT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0" authorId="0" shapeId="0" xr:uid="{C73FC8E7-B40B-436E-BE29-B2538DC58206}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Pegamos a viabilidade um Empreendimento real de MCMV e concluimos que a corretagem é 4%
 </t>
        </r>
      </text>
    </comment>
    <comment ref="C21" authorId="0" shapeId="0" xr:uid="{00F8C6D3-E582-4995-960F-426FA5769DD7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untamos 2,5% de Gastos Administrativos do projeto ( Administração e gestão do projeto, contabilidade e legalização da SPE, despesas bancárias, SAC e cobrança) Tudo isso provado e com base em um projeto real. E somamos 0,5% de Marketing (divulgação, estande de vendas)</t>
        </r>
      </text>
    </comment>
    <comment ref="D31" authorId="0" shapeId="0" xr:uid="{C57EA87E-E937-434A-B6A0-FBD8DBBF4CC7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Conversamos com o analista Matheus Meloni e concluimos que o VSO se comporta da seguinte maneira: Nos e primeiros trimestres ele é mais elevado e depois vai diminuindo, sem um padrão definido</t>
        </r>
      </text>
    </comment>
    <comment ref="F72" authorId="0" shapeId="0" xr:uid="{71071135-1CF5-4A08-AF36-83E75A30C9B3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 RET incide sobre a Receita e não sobre o EBIT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9" authorId="0" shapeId="0" xr:uid="{73F248DB-7A6B-497B-8083-90DD5F526F47}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Pegamos a viabilidade um Empreendimento real de MCMV e concluimos que a corretagem é 4%
 </t>
        </r>
      </text>
    </comment>
    <comment ref="C20" authorId="0" shapeId="0" xr:uid="{8379F021-C418-4452-A43E-8B9101991AEF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untamos 2,5% de Gastos Administrativos do projeto ( Administração e gestão do projeto, contabilidade e legalização da SPE, despesas bancárias, SAC e cobrança) Tudo isso provado e com base em um projeto real. E somamos 0,5% de Marketing (divulgação, estande de vendas)</t>
        </r>
      </text>
    </comment>
    <comment ref="D30" authorId="0" shapeId="0" xr:uid="{C967C785-C04A-4413-9E6D-0C9C4B12D07D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Conversamos com o analista Matheus Meloni e concluimos que o VSO se comporta da seguinte maneira: Nos e primeiros trimestres ele é mais elevado e depois vai diminuindo, sem um padrão definido</t>
        </r>
      </text>
    </comment>
    <comment ref="F71" authorId="0" shapeId="0" xr:uid="{DB01A3E9-D0AB-4028-99E9-F6411978FA2B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 RET incide sobre a Receita e não sobre o EBIT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9" authorId="0" shapeId="0" xr:uid="{D54F5925-FA12-4C8B-91FE-42B736037C81}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Pegamos a viabilidade um Empreendimento real de MCMV e concluimos que a corretagem é 4%
 </t>
        </r>
      </text>
    </comment>
    <comment ref="C20" authorId="0" shapeId="0" xr:uid="{2F1B4F74-7B72-4B9F-9775-F72573C2EC6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untamos 2,5% de Gastos Administrativos do projeto ( Administração e gestão do projeto, contabilidade e legalização da SPE, despesas bancárias, SAC e cobrança) Tudo isso provado e com base em um projeto real. E somamos 0,5% de Marketing (divulgação, estande de vendas)</t>
        </r>
      </text>
    </comment>
    <comment ref="D30" authorId="0" shapeId="0" xr:uid="{52E7862B-A864-432C-9A83-8402D63F3BED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Conversamos com o analista Matheus Meloni e concluimos que o VSO se comporta da seguinte maneira: Nos e primeiros trimestres ele é mais elevado e depois vai diminuindo, sem um padrão definido</t>
        </r>
      </text>
    </comment>
    <comment ref="F71" authorId="0" shapeId="0" xr:uid="{D3E33EBE-C719-4AD2-BFE8-270BEBA57AC1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 RET incide sobre a Receita e não sobre o EBIT</t>
        </r>
      </text>
    </comment>
  </commentList>
</comments>
</file>

<file path=xl/sharedStrings.xml><?xml version="1.0" encoding="utf-8"?>
<sst xmlns="http://schemas.openxmlformats.org/spreadsheetml/2006/main" count="1052" uniqueCount="460">
  <si>
    <t>[R$ milhões]</t>
  </si>
  <si>
    <t>2022A</t>
  </si>
  <si>
    <t>2023A</t>
  </si>
  <si>
    <t>2024A</t>
  </si>
  <si>
    <t>2025A</t>
  </si>
  <si>
    <t>2026E</t>
  </si>
  <si>
    <t>2027E</t>
  </si>
  <si>
    <t>2028E</t>
  </si>
  <si>
    <t>2029E</t>
  </si>
  <si>
    <t>1T22</t>
  </si>
  <si>
    <t>2T22</t>
  </si>
  <si>
    <t>3T22</t>
  </si>
  <si>
    <t>4T22</t>
  </si>
  <si>
    <t>Total 2022</t>
  </si>
  <si>
    <t>1T23</t>
  </si>
  <si>
    <t>2T23</t>
  </si>
  <si>
    <t>3T23</t>
  </si>
  <si>
    <t>4T23</t>
  </si>
  <si>
    <t>Total 2023</t>
  </si>
  <si>
    <t>1T24</t>
  </si>
  <si>
    <t>2T24</t>
  </si>
  <si>
    <t>3T24</t>
  </si>
  <si>
    <t>4T24</t>
  </si>
  <si>
    <t>Total 2024</t>
  </si>
  <si>
    <t>1T25</t>
  </si>
  <si>
    <t>2T25</t>
  </si>
  <si>
    <t>3T25</t>
  </si>
  <si>
    <t>4T25</t>
  </si>
  <si>
    <t>Total 2025</t>
  </si>
  <si>
    <t>1T26</t>
  </si>
  <si>
    <t>2T26</t>
  </si>
  <si>
    <t>3T26</t>
  </si>
  <si>
    <t>4T26</t>
  </si>
  <si>
    <t>Total 2026</t>
  </si>
  <si>
    <t>1T27</t>
  </si>
  <si>
    <t>2T27</t>
  </si>
  <si>
    <t>3T27</t>
  </si>
  <si>
    <t>4T27</t>
  </si>
  <si>
    <t>Total 2027</t>
  </si>
  <si>
    <t>1T28</t>
  </si>
  <si>
    <t>2T28</t>
  </si>
  <si>
    <t>3T28</t>
  </si>
  <si>
    <t>4T28</t>
  </si>
  <si>
    <t>Total 2028</t>
  </si>
  <si>
    <t>1T29</t>
  </si>
  <si>
    <t>2T29</t>
  </si>
  <si>
    <t>3T29</t>
  </si>
  <si>
    <t>4T29</t>
  </si>
  <si>
    <t>Total 2029</t>
  </si>
  <si>
    <t>BLOCO TRIMESTRAL</t>
  </si>
  <si>
    <t xml:space="preserve">   Lançamentos</t>
  </si>
  <si>
    <t xml:space="preserve">   VSO Lançamento</t>
  </si>
  <si>
    <t xml:space="preserve">   Venda de Lançamento</t>
  </si>
  <si>
    <t xml:space="preserve">   Estoque Inicial</t>
  </si>
  <si>
    <t xml:space="preserve">   VSO Estoque</t>
  </si>
  <si>
    <t xml:space="preserve">   Venda de Estoque</t>
  </si>
  <si>
    <t xml:space="preserve">   Vendas Líquidas</t>
  </si>
  <si>
    <t xml:space="preserve">   REF Inicial</t>
  </si>
  <si>
    <t xml:space="preserve">   Receita de Lançamento</t>
  </si>
  <si>
    <t xml:space="preserve">   Receita de Estoque</t>
  </si>
  <si>
    <t xml:space="preserve">   Receita Evolução REF</t>
  </si>
  <si>
    <t xml:space="preserve">   Receita Total</t>
  </si>
  <si>
    <t xml:space="preserve">   REF Final</t>
  </si>
  <si>
    <t xml:space="preserve">   Estoque Final</t>
  </si>
  <si>
    <t>PREMISSAS</t>
  </si>
  <si>
    <t xml:space="preserve">   VSO Lançamento (% Lançamentos)</t>
  </si>
  <si>
    <t xml:space="preserve">   VSO Estoque (% Estoque Inicial)</t>
  </si>
  <si>
    <t xml:space="preserve">   PoC Lançamento (% Vendas Lanç.)</t>
  </si>
  <si>
    <t xml:space="preserve">   PoC Estoque (% Vendas Est.)</t>
  </si>
  <si>
    <t xml:space="preserve">   Drenagem REF (% REF Inicial)</t>
  </si>
  <si>
    <t xml:space="preserve">   % VGV no 1T</t>
  </si>
  <si>
    <t xml:space="preserve">   % VGV no 2T</t>
  </si>
  <si>
    <t xml:space="preserve">   % VGV no 3T</t>
  </si>
  <si>
    <t xml:space="preserve">   % VGV no 4T</t>
  </si>
  <si>
    <t xml:space="preserve">   VGV Anual Lançado</t>
  </si>
  <si>
    <t xml:space="preserve">   Check Sazonalidade (= 100%)</t>
  </si>
  <si>
    <t>RESUMO ANUAL</t>
  </si>
  <si>
    <t>VGV Lançado</t>
  </si>
  <si>
    <t>Vendas Líquidas</t>
  </si>
  <si>
    <t>Receita Reconhecida</t>
  </si>
  <si>
    <t>Estoque Final</t>
  </si>
  <si>
    <t>REF Final</t>
  </si>
  <si>
    <t>Indicador</t>
  </si>
  <si>
    <t>2022</t>
  </si>
  <si>
    <t>2023</t>
  </si>
  <si>
    <t>2024</t>
  </si>
  <si>
    <t>2025</t>
  </si>
  <si>
    <t>Selic (% a.a.)</t>
  </si>
  <si>
    <t>CDI (% a.a.)</t>
  </si>
  <si>
    <t>IPCA (% a.a.)</t>
  </si>
  <si>
    <t>INCC (% a.a.)</t>
  </si>
  <si>
    <t>TR — Taxa Referencial (% a.a.)</t>
  </si>
  <si>
    <t>Câmbio USD/BRL (Year-End)</t>
  </si>
  <si>
    <t>Fontes: Projeções BTG Pactual</t>
  </si>
  <si>
    <t>Premissas do Empreendimento</t>
  </si>
  <si>
    <t>VGV Total</t>
  </si>
  <si>
    <t>VGV Liquido = VGV Total - Corretagem</t>
  </si>
  <si>
    <t>Unidades</t>
  </si>
  <si>
    <t>Repasse é pelo VGV Líquido</t>
  </si>
  <si>
    <t>Ticket Médio</t>
  </si>
  <si>
    <t>VGV Líquido</t>
  </si>
  <si>
    <t>CMV (% VGV)</t>
  </si>
  <si>
    <t xml:space="preserve">  Sinal / Terreno</t>
  </si>
  <si>
    <t>Custo de Obra (R$/unid)</t>
  </si>
  <si>
    <t xml:space="preserve">  Permuta</t>
  </si>
  <si>
    <t>Corretagem</t>
  </si>
  <si>
    <t>G&amp;A</t>
  </si>
  <si>
    <t>Juros de Obra</t>
  </si>
  <si>
    <t>RET</t>
  </si>
  <si>
    <t>Desp. Comercial Extra</t>
  </si>
  <si>
    <t>.</t>
  </si>
  <si>
    <t>VSO Mensal</t>
  </si>
  <si>
    <t>VSO Acumulado</t>
  </si>
  <si>
    <t>Un. Vendidas no mês</t>
  </si>
  <si>
    <t>Un. Vendidas Acumulado</t>
  </si>
  <si>
    <t>VGV Vendido Acumulado</t>
  </si>
  <si>
    <t>Avanço de Obra no Trimestre</t>
  </si>
  <si>
    <t>Obra Acumulada</t>
  </si>
  <si>
    <t>Pré - Obra</t>
  </si>
  <si>
    <t>Custo do Terreno</t>
  </si>
  <si>
    <t>Custo Incorrido no Mês</t>
  </si>
  <si>
    <t>Custo Incorrido Total</t>
  </si>
  <si>
    <t>PoC (Custo Incorrido / Custo Total)</t>
  </si>
  <si>
    <t>delta PoC (Incremental)</t>
  </si>
  <si>
    <t>Receita Reconhecida Acumulada</t>
  </si>
  <si>
    <t>Receita Incremental (Repasse)</t>
  </si>
  <si>
    <t>DRE</t>
  </si>
  <si>
    <t>Receita</t>
  </si>
  <si>
    <t>(-) COGS</t>
  </si>
  <si>
    <t>Custos Pré-Obra</t>
  </si>
  <si>
    <t>% da Receita</t>
  </si>
  <si>
    <t>(=) Lucro Bruto</t>
  </si>
  <si>
    <t>Margem Bruta [%]</t>
  </si>
  <si>
    <t>(-) G&amp;A</t>
  </si>
  <si>
    <t>(-) Despesas de Incorporação</t>
  </si>
  <si>
    <t>(-) Despesas Comerciais Extras</t>
  </si>
  <si>
    <t>(-) Juros de Obra</t>
  </si>
  <si>
    <t>(=) EBIT</t>
  </si>
  <si>
    <t>(-) Taxes</t>
  </si>
  <si>
    <t>FCFF</t>
  </si>
  <si>
    <t xml:space="preserve">(+) Repasse Líq. </t>
  </si>
  <si>
    <t>(-) Sinal Terreno</t>
  </si>
  <si>
    <t>(-) Pré-Obra</t>
  </si>
  <si>
    <t>(-) Obra</t>
  </si>
  <si>
    <t>(-) Permuta</t>
  </si>
  <si>
    <t>(-) Juros Obra</t>
  </si>
  <si>
    <t>(-) RET</t>
  </si>
  <si>
    <t>(=) FCFF</t>
  </si>
  <si>
    <t>(=) FCFF Acumulado</t>
  </si>
  <si>
    <t>TIR Mensal</t>
  </si>
  <si>
    <t>TIR Anualizada</t>
  </si>
  <si>
    <t>Lucro Líquido</t>
  </si>
  <si>
    <t>Exposição Máxima</t>
  </si>
  <si>
    <t>Exposição em Relação ao VGV (%)</t>
  </si>
  <si>
    <t>Margem Líquida</t>
  </si>
  <si>
    <t>WACC</t>
  </si>
  <si>
    <t>WACC Mensal</t>
  </si>
  <si>
    <t>VPL</t>
  </si>
  <si>
    <t>Sensibilidade TIR por CMV x VSO</t>
  </si>
  <si>
    <t>Margem bruta</t>
  </si>
  <si>
    <t>hoi</t>
  </si>
  <si>
    <t xml:space="preserve">  Custo de Obra</t>
  </si>
  <si>
    <t>Desp. Incorporação</t>
  </si>
  <si>
    <t>VSO Trimestral</t>
  </si>
  <si>
    <t>Repasse de INCC</t>
  </si>
  <si>
    <t>Margem REF</t>
  </si>
  <si>
    <t>INCC</t>
  </si>
  <si>
    <t>Margem Bruta</t>
  </si>
  <si>
    <t>Custo Base (CMV)</t>
  </si>
  <si>
    <t>VGV</t>
  </si>
  <si>
    <t>Custo Ajustado com INCC</t>
  </si>
  <si>
    <t>Preço Ajustado com INCC</t>
  </si>
  <si>
    <t>VSO Anual</t>
  </si>
  <si>
    <t>CMV x LL</t>
  </si>
  <si>
    <t>Meses p 100% x TIR</t>
  </si>
  <si>
    <t>% Repasse</t>
  </si>
  <si>
    <t xml:space="preserve">  Parcelamento Terreno</t>
  </si>
  <si>
    <t>(-) Parcelamento Terreno</t>
  </si>
  <si>
    <t>Parcelamento Terreno</t>
  </si>
  <si>
    <t>WACC x g</t>
  </si>
  <si>
    <t>(-) Custo Terreno</t>
  </si>
  <si>
    <t>DIRECIONAL ENGENHARIA S.A.</t>
  </si>
  <si>
    <t>BALANÇO PATRIMONIAL (MILHARES DE R$)</t>
  </si>
  <si>
    <t>ATIVO CIRCULANTE</t>
  </si>
  <si>
    <t>Caixa e equivalentes de caixa</t>
  </si>
  <si>
    <t>Aplicações financeiras</t>
  </si>
  <si>
    <t xml:space="preserve">Contas a receber </t>
  </si>
  <si>
    <t xml:space="preserve">Estoques </t>
  </si>
  <si>
    <t>Terrenos disponíveis para vendas</t>
  </si>
  <si>
    <t>Crédito com partes relacionadas</t>
  </si>
  <si>
    <t>Tributos a recuperar</t>
  </si>
  <si>
    <t>Despesas comerciais a apropriar</t>
  </si>
  <si>
    <t>Contas a receber por alienação de investimentos</t>
  </si>
  <si>
    <t>Outros créditos</t>
  </si>
  <si>
    <t>ATIVO NÃO CIRCULANTE</t>
  </si>
  <si>
    <t>Realizável a longo prazo</t>
  </si>
  <si>
    <t xml:space="preserve">Estoque </t>
  </si>
  <si>
    <t>Depósitos judiciais</t>
  </si>
  <si>
    <t>Permanente</t>
  </si>
  <si>
    <t>Investimentos</t>
  </si>
  <si>
    <t>Imobilizado</t>
  </si>
  <si>
    <t>Intangível</t>
  </si>
  <si>
    <t>Ativos de Direito de Uso</t>
  </si>
  <si>
    <t>TOTAL DO ATIVO</t>
  </si>
  <si>
    <t>PASSIVO CIRCULANTE</t>
  </si>
  <si>
    <t>Empréstimos e financiamentos</t>
  </si>
  <si>
    <t>Cessão de Recebíveis</t>
  </si>
  <si>
    <t>Fornecedores</t>
  </si>
  <si>
    <t>Fornecedores - Risco sacado¹</t>
  </si>
  <si>
    <t>Obrigações trabalhistas</t>
  </si>
  <si>
    <t>Obrigações tributárias</t>
  </si>
  <si>
    <t>Impostos de Renda e Contribuição Social a pagar corrente</t>
  </si>
  <si>
    <t>Impostos de Renda e Contribuição Social a pagar diferido</t>
  </si>
  <si>
    <t>Financiamento por arrendamento</t>
  </si>
  <si>
    <t>Credores por imóveis compromissados</t>
  </si>
  <si>
    <t>Adiantamento de clientes</t>
  </si>
  <si>
    <t>Outras contas a pagar</t>
  </si>
  <si>
    <t>Dividendos a pagar</t>
  </si>
  <si>
    <t>Provisão para garantia</t>
  </si>
  <si>
    <t>Débitos com partes relacionadas</t>
  </si>
  <si>
    <t>PASSIVO NÃO CIRCULANTE</t>
  </si>
  <si>
    <t>Provisão p/riscos tributários, trabalhistas e cíveis</t>
  </si>
  <si>
    <t>Partes relacionadas</t>
  </si>
  <si>
    <t>PATRIMÔNIO LÍQUIDO</t>
  </si>
  <si>
    <t>Capital social</t>
  </si>
  <si>
    <t>Gastos com emissões de ações</t>
  </si>
  <si>
    <t>Ações em tesouraria</t>
  </si>
  <si>
    <t>Reservas de capital</t>
  </si>
  <si>
    <t>Outorga de opção de ações</t>
  </si>
  <si>
    <t>Ajuste de avaliação patrimonial</t>
  </si>
  <si>
    <t>Reservas de lucros</t>
  </si>
  <si>
    <t>Dividendos adicionais propostos</t>
  </si>
  <si>
    <t>Lucros acumulados</t>
  </si>
  <si>
    <t>Participantes em SCPs e SPEs</t>
  </si>
  <si>
    <t>TOTAL DO PASSIVO E PATRIMÔNIO LÍQUIDO</t>
  </si>
  <si>
    <t>1 - Apuração feita apenas a partir de 2020, conforme nota explicativa nº 10 das Demonstrações Financeiras de 31/12/2022</t>
  </si>
  <si>
    <t>DEMONSTRAÇÃO DO RESULTADO (MILHARES DE R$)</t>
  </si>
  <si>
    <t>4T21</t>
  </si>
  <si>
    <t>3T21</t>
  </si>
  <si>
    <t>2T21</t>
  </si>
  <si>
    <t>1T21</t>
  </si>
  <si>
    <t>4T20</t>
  </si>
  <si>
    <t>3T20</t>
  </si>
  <si>
    <t>2T20</t>
  </si>
  <si>
    <t>1T20</t>
  </si>
  <si>
    <t>4T19</t>
  </si>
  <si>
    <t>3T19</t>
  </si>
  <si>
    <t>2T19</t>
  </si>
  <si>
    <t>1T19</t>
  </si>
  <si>
    <t>4T18</t>
  </si>
  <si>
    <t>3T18</t>
  </si>
  <si>
    <t>2T18</t>
  </si>
  <si>
    <t>1T18</t>
  </si>
  <si>
    <t>4T17</t>
  </si>
  <si>
    <t>3T17</t>
  </si>
  <si>
    <t>2T17</t>
  </si>
  <si>
    <t>1T17</t>
  </si>
  <si>
    <t>4T16</t>
  </si>
  <si>
    <t>3T16</t>
  </si>
  <si>
    <t>2T16</t>
  </si>
  <si>
    <t>1T16</t>
  </si>
  <si>
    <t>4T15</t>
  </si>
  <si>
    <t>3T15</t>
  </si>
  <si>
    <t>2T15</t>
  </si>
  <si>
    <t>1T15</t>
  </si>
  <si>
    <t>4T14</t>
  </si>
  <si>
    <t>3T14</t>
  </si>
  <si>
    <t>2T14</t>
  </si>
  <si>
    <t>1T14</t>
  </si>
  <si>
    <t>4T13</t>
  </si>
  <si>
    <t>3T13</t>
  </si>
  <si>
    <t>2T13</t>
  </si>
  <si>
    <t>1T13</t>
  </si>
  <si>
    <t>4T12</t>
  </si>
  <si>
    <t>3T12</t>
  </si>
  <si>
    <t>2T12</t>
  </si>
  <si>
    <t>1T12</t>
  </si>
  <si>
    <t>RECEITA OPERACIONAL LÍQUIDA</t>
  </si>
  <si>
    <t>Custo da Venda de Imóveis e Serviços Prestados</t>
  </si>
  <si>
    <t>LUCRO BRUTO</t>
  </si>
  <si>
    <t>Despesas Gerais e Administrativas</t>
  </si>
  <si>
    <t>Despesas Comerciais</t>
  </si>
  <si>
    <t>Resultado com Equivalência Patrimonial</t>
  </si>
  <si>
    <t>Outras Receitas e Despesas Operacionais</t>
  </si>
  <si>
    <t>Despesas Financeiras</t>
  </si>
  <si>
    <t>Receitas Financeiras</t>
  </si>
  <si>
    <t>RESULTADO ANTES DO IMPOSTO DE RENDA E CONTRIBUIÇÃO SOCIAL</t>
  </si>
  <si>
    <t>Imposto de Renda e Contribuição Social - Corrente e Diferido</t>
  </si>
  <si>
    <t>RESULTADO LÍQUIDO ANTES DOS PARTICIPANTES EM SCPs E SPEs</t>
  </si>
  <si>
    <t>LUCRO LÍQUIDO DO PERÍODO</t>
  </si>
  <si>
    <t>DADOS OPERACIONAIS (MILHARES DE R$)</t>
  </si>
  <si>
    <t>LANÇAMENTOS</t>
  </si>
  <si>
    <t>VGV Lançado (R$ mil)</t>
  </si>
  <si>
    <t>MCMV Faixa 1 (FAR)</t>
  </si>
  <si>
    <t>Incorporação</t>
  </si>
  <si>
    <t>VGV Lançado - % Direcional (R$ mil)</t>
  </si>
  <si>
    <t>Unidades Lançadas (unidades)</t>
  </si>
  <si>
    <t>MCMV Faixa 1 (FAR) (unidades)</t>
  </si>
  <si>
    <t>Incorporação (unidades)</t>
  </si>
  <si>
    <t>% Direcional Médio</t>
  </si>
  <si>
    <t>Preço Médio (R$/unidade)</t>
  </si>
  <si>
    <t>VENDAS</t>
  </si>
  <si>
    <t>VGV Contratado (R$ mil)</t>
  </si>
  <si>
    <t>VGV Contratado - % Direcional (R$ mil)</t>
  </si>
  <si>
    <t>MCMV Faixa 1</t>
  </si>
  <si>
    <t>Unidades Contratadas (unidades)</t>
  </si>
  <si>
    <t>VSO (Vendas Sobre Oferta) - MCMV</t>
  </si>
  <si>
    <t>VSO (Vendas Sobre Oferta) - Consolidada</t>
  </si>
  <si>
    <t>ESTOQUE</t>
  </si>
  <si>
    <t>Estoque Total a Valor de Mercado (R$ mil)</t>
  </si>
  <si>
    <t>Empreendimentos Concluídos (R$ mil)</t>
  </si>
  <si>
    <t>Unidades em Estoque (unidades)</t>
  </si>
  <si>
    <t>Estoque Total a Valor de Mercado - % Direcional (R$ mil)</t>
  </si>
  <si>
    <t>Empreendimentos Concluídos - % Direcional (R$ mil)</t>
  </si>
  <si>
    <t>LAND BANK</t>
  </si>
  <si>
    <t>Land Bank Total (R$ mil)</t>
  </si>
  <si>
    <t>Land Bank - % Direcional (R$ mil)</t>
  </si>
  <si>
    <t>Land Bank (unidades)</t>
  </si>
  <si>
    <t>REPASSE</t>
  </si>
  <si>
    <t>Repasses (R$ mil)¹</t>
  </si>
  <si>
    <t>1 - Considera o valor total do imóvel (VGV)</t>
  </si>
  <si>
    <t>Premissas Operacionais</t>
  </si>
  <si>
    <t xml:space="preserve">   VGV Lançado</t>
  </si>
  <si>
    <t xml:space="preserve">   Crescimento VGV (% YoY)</t>
  </si>
  <si>
    <t xml:space="preserve">   Deduções (% Receita Bruta)</t>
  </si>
  <si>
    <t xml:space="preserve">   Margem Bruta (% Receita Líquida)</t>
  </si>
  <si>
    <t xml:space="preserve">   Despesas Comerciais (% Receita Líquida)</t>
  </si>
  <si>
    <t xml:space="preserve">   G&amp;A (% Receita Líquida)</t>
  </si>
  <si>
    <t xml:space="preserve">   Outras Desp. Operacionais (% Receita Líquida)</t>
  </si>
  <si>
    <t xml:space="preserve">   Alíquota Efetiva (RET, % Receita Bruta)</t>
  </si>
  <si>
    <t xml:space="preserve">   Payout (% Lucro Líquido)</t>
  </si>
  <si>
    <t xml:space="preserve">   Minoritários (% Lucro Líq. Consolidado)</t>
  </si>
  <si>
    <t>Demonstração de Resultados (DRE)</t>
  </si>
  <si>
    <t xml:space="preserve">   (=) Receita Bruta</t>
  </si>
  <si>
    <t xml:space="preserve">   (−) Deduções (PIS/COFINS/RET)</t>
  </si>
  <si>
    <t xml:space="preserve">   (=) Receita Líquida</t>
  </si>
  <si>
    <t xml:space="preserve">   (−) Custos de Imóveis Vendidos (CMV)</t>
  </si>
  <si>
    <t xml:space="preserve">   (=) Lucro Bruto</t>
  </si>
  <si>
    <t xml:space="preserve">   Margem Bruta (%)</t>
  </si>
  <si>
    <t xml:space="preserve">   (−) Despesas Comerciais</t>
  </si>
  <si>
    <t xml:space="preserve">   (−) Despesas Gerais e Administrativas (G&amp;A)</t>
  </si>
  <si>
    <t xml:space="preserve">   (+/−) Outras Receitas/Despesas Operacionais</t>
  </si>
  <si>
    <t xml:space="preserve">   (+) Resultado de Equivalência Patrimonial</t>
  </si>
  <si>
    <t xml:space="preserve">   (=) EBIT</t>
  </si>
  <si>
    <t xml:space="preserve">   Margem EBIT (%)</t>
  </si>
  <si>
    <t xml:space="preserve">   (+/−) Resultado Financeiro</t>
  </si>
  <si>
    <t xml:space="preserve">   (=) EBT</t>
  </si>
  <si>
    <t xml:space="preserve">   (−) Participação de Minoritários</t>
  </si>
  <si>
    <t xml:space="preserve">   (=) Lucro Líquido </t>
  </si>
  <si>
    <t xml:space="preserve">   Margem Líquida (%)</t>
  </si>
  <si>
    <t xml:space="preserve">   # Ações em Circulação (mn)</t>
  </si>
  <si>
    <t xml:space="preserve">   Lucro por Ação - LPA (R$)</t>
  </si>
  <si>
    <t>Balanço Patrimonial</t>
  </si>
  <si>
    <t>Demonstração do Fluxo de Caixa</t>
  </si>
  <si>
    <t xml:space="preserve">   Lucro Líquido (Consolidado)</t>
  </si>
  <si>
    <t xml:space="preserve">   (+) Depreciação e Amortização</t>
  </si>
  <si>
    <t xml:space="preserve">   (−) Variação do Capital de Giro</t>
  </si>
  <si>
    <t xml:space="preserve">   (=) Caixa Operacional</t>
  </si>
  <si>
    <t xml:space="preserve">   (−) CAPEX</t>
  </si>
  <si>
    <t xml:space="preserve">   (=) Caixa de Investimento</t>
  </si>
  <si>
    <t xml:space="preserve">   (−) Dividendos Pagos</t>
  </si>
  <si>
    <t xml:space="preserve">   (+/−) Variação de Dívida</t>
  </si>
  <si>
    <t xml:space="preserve">   (=) Caixa de Financiamento</t>
  </si>
  <si>
    <t xml:space="preserve">   Caixa Início do Período</t>
  </si>
  <si>
    <t xml:space="preserve">   Variação de Caixa do Período</t>
  </si>
  <si>
    <t xml:space="preserve">   Caixa Final do Período</t>
  </si>
  <si>
    <t>Capital de Giro (Working Capital)</t>
  </si>
  <si>
    <t xml:space="preserve">   WK Total</t>
  </si>
  <si>
    <t xml:space="preserve">      Δ WK</t>
  </si>
  <si>
    <t xml:space="preserve">   Dias no Período</t>
  </si>
  <si>
    <t xml:space="preserve">   WK Ativos</t>
  </si>
  <si>
    <t xml:space="preserve">   Contas a Receber</t>
  </si>
  <si>
    <t xml:space="preserve">      Δ Variação</t>
  </si>
  <si>
    <t xml:space="preserve">      Dias de CR </t>
  </si>
  <si>
    <t xml:space="preserve">      Cessão de Recebíveis (% Receita Líquida)</t>
  </si>
  <si>
    <t xml:space="preserve">   Estoques (Imóveis a Comercializar)</t>
  </si>
  <si>
    <t xml:space="preserve">      Dias de CMV</t>
  </si>
  <si>
    <t xml:space="preserve">   WK Passivos</t>
  </si>
  <si>
    <t xml:space="preserve">   Fornecedores</t>
  </si>
  <si>
    <t xml:space="preserve">   Adiantamento de Clientes</t>
  </si>
  <si>
    <t xml:space="preserve">      Dias de Receita Líquida</t>
  </si>
  <si>
    <t xml:space="preserve">   Credores por Imóveis (Terrenos a Pagar)</t>
  </si>
  <si>
    <t xml:space="preserve">   Obrigações Trab. + Trib.</t>
  </si>
  <si>
    <t xml:space="preserve">      Dias de SG&amp;A</t>
  </si>
  <si>
    <t>Dívida</t>
  </si>
  <si>
    <t xml:space="preserve">   (+) Captação</t>
  </si>
  <si>
    <t>●</t>
  </si>
  <si>
    <t>PP&amp;E (Imobilizado + Intangível)</t>
  </si>
  <si>
    <t xml:space="preserve">   PP&amp;E BoP (Início do Período)</t>
  </si>
  <si>
    <t xml:space="preserve">   (+) CAPEX</t>
  </si>
  <si>
    <t xml:space="preserve">   (−) Depreciação e Amortização</t>
  </si>
  <si>
    <t xml:space="preserve">   PP&amp;E EoP (Final do Período)</t>
  </si>
  <si>
    <t>Perpetuidade</t>
  </si>
  <si>
    <t>Free Cash Flow to Firm (FCFF)</t>
  </si>
  <si>
    <t xml:space="preserve">   NOPAT = EBIT × (1 - T)</t>
  </si>
  <si>
    <t xml:space="preserve">   (+/−) Δ Working Capital</t>
  </si>
  <si>
    <t xml:space="preserve">   (=) Free Cash Flow to Firm (FCFF)</t>
  </si>
  <si>
    <t xml:space="preserve">   Valor Presente do FCFF</t>
  </si>
  <si>
    <t xml:space="preserve">   t (anos)</t>
  </si>
  <si>
    <t>Valuation</t>
  </si>
  <si>
    <t xml:space="preserve">   PV Cash Flow Explícito (2026-2029)</t>
  </si>
  <si>
    <t xml:space="preserve">   PV Perpetuidade</t>
  </si>
  <si>
    <t xml:space="preserve">   (=) Enterprise Value (EV)</t>
  </si>
  <si>
    <t xml:space="preserve">   (−) Dívida Líquida (4T25)</t>
  </si>
  <si>
    <t xml:space="preserve">   (=) Equity Value</t>
  </si>
  <si>
    <t xml:space="preserve">   Target Price (R$/ação)</t>
  </si>
  <si>
    <t xml:space="preserve">   Current Price (R$/ação)</t>
  </si>
  <si>
    <t xml:space="preserve">   Upside %</t>
  </si>
  <si>
    <t>Cost of Equity (CAPM)</t>
  </si>
  <si>
    <t xml:space="preserve">   Beta (5Y Mensal)</t>
  </si>
  <si>
    <t xml:space="preserve">   Risk-Free Rate (USA 10Y Treasury)</t>
  </si>
  <si>
    <t xml:space="preserve">   Equity Risk Premium (USA mature)</t>
  </si>
  <si>
    <t xml:space="preserve">   CRP Brasil (Damodaran)</t>
  </si>
  <si>
    <t xml:space="preserve">   Devaluation Risk (Inflação BR-USA)</t>
  </si>
  <si>
    <t xml:space="preserve">   Cost of Equity (Ke)</t>
  </si>
  <si>
    <t xml:space="preserve">   Cost of Debt (Kd)</t>
  </si>
  <si>
    <t xml:space="preserve">   D / (D+E)</t>
  </si>
  <si>
    <t xml:space="preserve">   E / (D+E)</t>
  </si>
  <si>
    <t xml:space="preserve">   Tax Rate 2</t>
  </si>
  <si>
    <t xml:space="preserve">   WACC (nominal em R$)</t>
  </si>
  <si>
    <t xml:space="preserve">   Perpetuity Growth (g)</t>
  </si>
  <si>
    <t xml:space="preserve">   Current Mkt Cap (R$ mn)</t>
  </si>
  <si>
    <t xml:space="preserve">   (-) IR / CS</t>
  </si>
  <si>
    <t xml:space="preserve">   (=) Lucro Líquido Antes de SPEs</t>
  </si>
  <si>
    <t xml:space="preserve">  Resultado de Equivalencia Patrimonial (% Receita Líquida)</t>
  </si>
  <si>
    <t xml:space="preserve">    IR / CS (% da Receita Líquida)</t>
  </si>
  <si>
    <t xml:space="preserve">   (-) Depreciação</t>
  </si>
  <si>
    <t xml:space="preserve"> </t>
  </si>
  <si>
    <t>wk</t>
  </si>
  <si>
    <t>Ef</t>
  </si>
  <si>
    <t>Impostos a Recuperar</t>
  </si>
  <si>
    <t>Dias de IR/CS</t>
  </si>
  <si>
    <t>Obrigações trab. + trib.</t>
  </si>
  <si>
    <t>Dívida Bruta / PL</t>
  </si>
  <si>
    <t>Dívida BoP</t>
  </si>
  <si>
    <t xml:space="preserve">   (-) Amortização</t>
  </si>
  <si>
    <t>Dívida EoP</t>
  </si>
  <si>
    <t xml:space="preserve">  Custo da Dívida</t>
  </si>
  <si>
    <t xml:space="preserve">  Despesa Financeira</t>
  </si>
  <si>
    <t>CDI</t>
  </si>
  <si>
    <t>Receita Financeira / Caixa</t>
  </si>
  <si>
    <t>Receita Financeira</t>
  </si>
  <si>
    <t>(Receita Fin / Caixa) / CDI</t>
  </si>
  <si>
    <t>D&amp;A &amp; do PP&amp;E</t>
  </si>
  <si>
    <t>Capex % da Receita</t>
  </si>
  <si>
    <t xml:space="preserve">   Tax Rate </t>
  </si>
  <si>
    <t>Dívida 2025</t>
  </si>
  <si>
    <t>R$ ´000</t>
  </si>
  <si>
    <t xml:space="preserve">   (=) EBIT Ex - Depreciação</t>
  </si>
  <si>
    <t xml:space="preserve">   (-) Valor de Entrada</t>
  </si>
  <si>
    <t xml:space="preserve">   (+) Dividendos</t>
  </si>
  <si>
    <t xml:space="preserve">   (+) Valor de Saída</t>
  </si>
  <si>
    <t>Fluxo de Caixa</t>
  </si>
  <si>
    <t>Ano de Saída</t>
  </si>
  <si>
    <t>TIR</t>
  </si>
  <si>
    <t>Múltiplo de Entrada</t>
  </si>
  <si>
    <t>Múltiplo de Saída</t>
  </si>
  <si>
    <t>R$ '000</t>
  </si>
  <si>
    <t>MOIC</t>
  </si>
  <si>
    <t>Delta Payout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</si>
</sst>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64" formatCode="#,##0;\(#,##0\);\-"/>
    <numFmt numFmtId="165" formatCode="0.0%;\(0.0%\);\-"/>
    <numFmt numFmtId="166" formatCode="0.0%"/>
    <numFmt numFmtId="167" formatCode="&quot;R$ &quot;#,##0.00"/>
    <numFmt numFmtId="168" formatCode="_-&quot;R$ &quot;* #,##0.00_-;&quot;-R$ &quot;* #,##0.00_-;_-&quot;R$ &quot;* \-??_-;_-@_-"/>
    <numFmt numFmtId="169" formatCode="&quot;R$ &quot;#,##0"/>
    <numFmt numFmtId="170" formatCode="&quot;R$&quot;#,##0"/>
    <numFmt numFmtId="171" formatCode="m/d/yyyy"/>
    <numFmt numFmtId="172" formatCode="#,##0.000"/>
    <numFmt numFmtId="173" formatCode="#,##0.00000"/>
    <numFmt numFmtId="174" formatCode="#,##0.0_ ;\(#,##0.0\);\-"/>
    <numFmt numFmtId="175" formatCode="0;\(0\);\-"/>
    <numFmt numFmtId="176" formatCode="0.00\x"/>
    <numFmt numFmtId="177" formatCode="0.00%;\(0.00%\);\-"/>
    <numFmt numFmtId="178" formatCode="#,##0.0;\(#,##0.0\);\-"/>
    <numFmt numFmtId="179" formatCode="#,##0_ ;\(#,##0\);\-"/>
    <numFmt numFmtId="180" formatCode="#,##0.00;\(#,##0.00\);\-"/>
    <numFmt numFmtId="181" formatCode="#,##0.000;\(#,##0.000\);\-"/>
  </numFmts>
  <fonts count="7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Calibri"/>
      <family val="2"/>
      <charset val="1"/>
    </font>
    <font>
      <b/>
      <sz val="9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9"/>
      <color rgb="FF0000FF"/>
      <name val="Calibri"/>
      <family val="2"/>
      <charset val="1"/>
    </font>
    <font>
      <sz val="10"/>
      <name val="Arial"/>
      <family val="2"/>
    </font>
    <font>
      <b/>
      <sz val="14"/>
      <color rgb="FF1F4E79"/>
      <name val="Calibri"/>
      <family val="2"/>
      <charset val="1"/>
    </font>
    <font>
      <i/>
      <sz val="9"/>
      <color rgb="FF80808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0"/>
      <color rgb="FF1F4E79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theme="1"/>
      <name val="TahomA"/>
      <family val="2"/>
      <charset val="1"/>
    </font>
    <font>
      <sz val="11"/>
      <color theme="0"/>
      <name val="TahomA"/>
      <family val="2"/>
      <charset val="1"/>
    </font>
    <font>
      <b/>
      <sz val="10"/>
      <color theme="0"/>
      <name val="TahomA"/>
      <family val="2"/>
      <charset val="1"/>
    </font>
    <font>
      <b/>
      <sz val="11"/>
      <color rgb="FFFFFFFF"/>
      <name val="TahomA"/>
      <family val="2"/>
      <charset val="1"/>
    </font>
    <font>
      <sz val="11"/>
      <color rgb="FF000000"/>
      <name val="TahomA"/>
      <family val="2"/>
      <charset val="1"/>
    </font>
    <font>
      <sz val="11"/>
      <color rgb="FF0000FF"/>
      <name val="TahomA"/>
      <family val="2"/>
      <charset val="1"/>
    </font>
    <font>
      <sz val="10"/>
      <color rgb="FF0070C0"/>
      <name val="Arial"/>
      <family val="2"/>
      <charset val="1"/>
    </font>
    <font>
      <sz val="10"/>
      <color theme="2" tint="-0.499984740745262"/>
      <name val="Arial"/>
      <family val="2"/>
      <charset val="1"/>
    </font>
    <font>
      <sz val="11"/>
      <color rgb="FF808080"/>
      <name val="TahomA"/>
      <family val="2"/>
      <charset val="1"/>
    </font>
    <font>
      <b/>
      <sz val="11"/>
      <color theme="0"/>
      <name val="TahomA"/>
      <family val="2"/>
      <charset val="1"/>
    </font>
    <font>
      <sz val="10"/>
      <name val="Arial"/>
      <family val="2"/>
      <charset val="1"/>
    </font>
    <font>
      <sz val="11"/>
      <name val="Tahoma"/>
      <family val="2"/>
      <charset val="1"/>
    </font>
    <font>
      <b/>
      <sz val="11"/>
      <color rgb="FF000000"/>
      <name val="TahomA"/>
      <family val="2"/>
      <charset val="1"/>
    </font>
    <font>
      <b/>
      <sz val="11"/>
      <color theme="1"/>
      <name val="TahomA"/>
      <family val="2"/>
      <charset val="1"/>
    </font>
    <font>
      <sz val="11"/>
      <color theme="0" tint="-0.499984740745262"/>
      <name val="TahomA"/>
      <family val="2"/>
      <charset val="1"/>
    </font>
    <font>
      <sz val="11"/>
      <name val="Arial"/>
      <family val="2"/>
      <charset val="1"/>
    </font>
    <font>
      <b/>
      <sz val="11"/>
      <color theme="0" tint="-0.499984740745262"/>
      <name val="Tahoma"/>
      <family val="2"/>
      <charset val="1"/>
    </font>
    <font>
      <b/>
      <sz val="11"/>
      <name val="Tahoma"/>
      <family val="2"/>
      <charset val="1"/>
    </font>
    <font>
      <b/>
      <sz val="11"/>
      <color rgb="FF808080"/>
      <name val="TahomA"/>
      <family val="2"/>
      <charset val="1"/>
    </font>
    <font>
      <b/>
      <sz val="10"/>
      <color theme="0"/>
      <name val="Arial"/>
      <family val="2"/>
      <charset val="1"/>
    </font>
    <font>
      <sz val="10"/>
      <color theme="0"/>
      <name val="Arial"/>
      <family val="2"/>
      <charset val="1"/>
    </font>
    <font>
      <b/>
      <sz val="10"/>
      <name val="Arial"/>
      <family val="2"/>
      <charset val="1"/>
    </font>
    <font>
      <i/>
      <sz val="1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000000"/>
      <name val="Calibri"/>
      <family val="2"/>
      <charset val="1"/>
    </font>
    <font>
      <i/>
      <sz val="9"/>
      <color rgb="FF000000"/>
      <name val="Calibri"/>
      <family val="2"/>
      <charset val="1"/>
    </font>
    <font>
      <sz val="9"/>
      <name val="Calibri"/>
      <family val="2"/>
      <charset val="1"/>
    </font>
    <font>
      <sz val="10"/>
      <name val="Calibri"/>
      <family val="2"/>
      <charset val="1"/>
    </font>
    <font>
      <sz val="9"/>
      <color rgb="FF008000"/>
      <name val="Calibri"/>
      <family val="2"/>
      <charset val="1"/>
    </font>
    <font>
      <sz val="9"/>
      <color theme="1"/>
      <name val="Calibri"/>
      <family val="2"/>
      <charset val="1"/>
    </font>
    <font>
      <sz val="10"/>
      <color theme="0"/>
      <name val="Arial"/>
      <family val="2"/>
    </font>
    <font>
      <b/>
      <sz val="9"/>
      <name val="Calibri"/>
      <family val="2"/>
      <charset val="1"/>
    </font>
    <font>
      <b/>
      <sz val="9"/>
      <color theme="1"/>
      <name val="Calibri"/>
      <family val="2"/>
      <charset val="1"/>
    </font>
    <font>
      <sz val="10"/>
      <color rgb="FF1F4E79"/>
      <name val="Calibri"/>
      <family val="2"/>
      <charset val="1"/>
    </font>
    <font>
      <sz val="9"/>
      <color rgb="FF808080"/>
      <name val="Calibri"/>
      <family val="2"/>
      <charset val="1"/>
    </font>
    <font>
      <sz val="11"/>
      <color theme="0"/>
      <name val="Calibri"/>
      <family val="2"/>
      <charset val="1"/>
    </font>
    <font>
      <sz val="9"/>
      <name val="Arial"/>
      <family val="2"/>
    </font>
    <font>
      <sz val="9"/>
      <color theme="0"/>
      <name val="Arial"/>
      <family val="2"/>
    </font>
    <font>
      <b/>
      <sz val="9"/>
      <color theme="0"/>
      <name val="Calibri"/>
      <family val="2"/>
      <charset val="1"/>
    </font>
    <font>
      <sz val="9"/>
      <color theme="0"/>
      <name val="Calibri"/>
      <family val="2"/>
      <charset val="1"/>
    </font>
    <font>
      <b/>
      <sz val="9"/>
      <color rgb="FF000000"/>
      <name val="Calibri"/>
      <family val="2"/>
    </font>
    <font>
      <b/>
      <sz val="10"/>
      <color rgb="FF000000"/>
      <name val="Calibri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</font>
    <font>
      <i/>
      <sz val="8"/>
      <color theme="0" tint="-0.34998626667073579"/>
      <name val="Calibri"/>
      <family val="2"/>
      <scheme val="minor"/>
    </font>
    <font>
      <b/>
      <sz val="9"/>
      <color theme="1"/>
      <name val="Calibri"/>
      <family val="2"/>
    </font>
    <font>
      <b/>
      <i/>
      <sz val="9"/>
      <color theme="0" tint="-0.34998626667073579"/>
      <name val="Calibri"/>
      <family val="2"/>
    </font>
    <font>
      <i/>
      <sz val="9"/>
      <color theme="0" tint="-0.34998626667073579"/>
      <name val="Calibri"/>
      <family val="2"/>
    </font>
    <font>
      <i/>
      <sz val="9"/>
      <color theme="0" tint="-0.3499862666707357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b/>
      <sz val="10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002060"/>
        <bgColor rgb="FF001F59"/>
      </patternFill>
    </fill>
    <fill>
      <patternFill patternType="solid">
        <fgColor rgb="FFD9D9D9"/>
        <bgColor rgb="FFE7E6E6"/>
      </patternFill>
    </fill>
    <fill>
      <patternFill patternType="solid">
        <fgColor rgb="FFFFFEC6"/>
        <bgColor rgb="FFFFF2CC"/>
      </patternFill>
    </fill>
    <fill>
      <patternFill patternType="solid">
        <fgColor rgb="FF001F59"/>
        <bgColor rgb="FF002060"/>
      </patternFill>
    </fill>
    <fill>
      <patternFill patternType="solid">
        <fgColor rgb="FFFFFFFF"/>
        <bgColor rgb="FFF2F2F2"/>
      </patternFill>
    </fill>
    <fill>
      <patternFill patternType="solid">
        <fgColor theme="7" tint="0.79979857783745845"/>
        <bgColor rgb="FFFFFEC6"/>
      </patternFill>
    </fill>
    <fill>
      <patternFill patternType="solid">
        <fgColor theme="0" tint="-4.9989318521683403E-2"/>
        <bgColor rgb="FFE7E6E6"/>
      </patternFill>
    </fill>
    <fill>
      <patternFill patternType="solid">
        <fgColor theme="2"/>
        <bgColor rgb="FFF2F2F2"/>
      </patternFill>
    </fill>
    <fill>
      <patternFill patternType="solid">
        <fgColor rgb="FFA93234"/>
        <bgColor rgb="FF993366"/>
      </patternFill>
    </fill>
    <fill>
      <patternFill patternType="solid">
        <fgColor rgb="FF2B54A3"/>
        <bgColor indexed="64"/>
      </patternFill>
    </fill>
    <fill>
      <patternFill patternType="solid">
        <fgColor rgb="FFD4C8B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2CC"/>
      </patternFill>
    </fill>
    <fill>
      <patternFill patternType="solid">
        <fgColor rgb="FF00206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9">
    <xf numFmtId="0" fontId="0" fillId="0" borderId="0" xfId="0"/>
    <xf numFmtId="0" fontId="5" fillId="2" borderId="0" xfId="0" applyFont="1" applyFill="1" applyAlignment="1">
      <alignment horizontal="left" vertical="center"/>
    </xf>
    <xf numFmtId="0" fontId="0" fillId="2" borderId="0" xfId="0" applyFill="1"/>
    <xf numFmtId="0" fontId="6" fillId="3" borderId="0" xfId="0" applyFont="1" applyFill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164" fontId="8" fillId="4" borderId="0" xfId="0" applyNumberFormat="1" applyFont="1" applyFill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9" fontId="1" fillId="0" borderId="0" xfId="2"/>
    <xf numFmtId="166" fontId="1" fillId="0" borderId="0" xfId="2" applyNumberFormat="1"/>
    <xf numFmtId="0" fontId="10" fillId="0" borderId="0" xfId="0" applyFont="1"/>
    <xf numFmtId="0" fontId="11" fillId="0" borderId="0" xfId="0" applyFont="1"/>
    <xf numFmtId="0" fontId="12" fillId="3" borderId="1" xfId="0" applyFont="1" applyFill="1" applyBorder="1"/>
    <xf numFmtId="0" fontId="13" fillId="3" borderId="1" xfId="0" applyFont="1" applyFill="1" applyBorder="1" applyAlignment="1">
      <alignment horizontal="right"/>
    </xf>
    <xf numFmtId="0" fontId="14" fillId="3" borderId="1" xfId="0" applyFont="1" applyFill="1" applyBorder="1" applyAlignment="1">
      <alignment horizontal="right"/>
    </xf>
    <xf numFmtId="0" fontId="15" fillId="0" borderId="0" xfId="0" applyFont="1"/>
    <xf numFmtId="9" fontId="8" fillId="4" borderId="0" xfId="0" applyNumberFormat="1" applyFont="1" applyFill="1" applyAlignment="1">
      <alignment horizontal="center" vertical="center"/>
    </xf>
    <xf numFmtId="4" fontId="16" fillId="5" borderId="0" xfId="0" applyNumberFormat="1" applyFont="1" applyFill="1" applyAlignment="1">
      <alignment horizontal="center"/>
    </xf>
    <xf numFmtId="4" fontId="17" fillId="5" borderId="0" xfId="0" applyNumberFormat="1" applyFont="1" applyFill="1" applyAlignment="1">
      <alignment horizontal="center"/>
    </xf>
    <xf numFmtId="4" fontId="18" fillId="5" borderId="0" xfId="0" applyNumberFormat="1" applyFont="1" applyFill="1" applyAlignment="1">
      <alignment horizontal="center"/>
    </xf>
    <xf numFmtId="4" fontId="18" fillId="5" borderId="0" xfId="0" applyNumberFormat="1" applyFont="1" applyFill="1" applyAlignment="1">
      <alignment horizontal="center" wrapText="1"/>
    </xf>
    <xf numFmtId="4" fontId="16" fillId="0" borderId="0" xfId="0" applyNumberFormat="1" applyFont="1" applyAlignment="1">
      <alignment horizontal="center"/>
    </xf>
    <xf numFmtId="4" fontId="19" fillId="5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4" fontId="20" fillId="6" borderId="0" xfId="0" applyNumberFormat="1" applyFont="1" applyFill="1" applyAlignment="1">
      <alignment horizontal="center"/>
    </xf>
    <xf numFmtId="167" fontId="21" fillId="7" borderId="0" xfId="0" applyNumberFormat="1" applyFont="1" applyFill="1" applyAlignment="1">
      <alignment horizontal="center"/>
    </xf>
    <xf numFmtId="4" fontId="21" fillId="6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2" fontId="21" fillId="7" borderId="0" xfId="0" applyNumberFormat="1" applyFont="1" applyFill="1" applyAlignment="1">
      <alignment horizontal="center"/>
    </xf>
    <xf numFmtId="168" fontId="0" fillId="0" borderId="0" xfId="0" applyNumberFormat="1" applyAlignment="1">
      <alignment horizontal="center"/>
    </xf>
    <xf numFmtId="168" fontId="22" fillId="7" borderId="0" xfId="0" applyNumberFormat="1" applyFont="1" applyFill="1"/>
    <xf numFmtId="9" fontId="21" fillId="7" borderId="0" xfId="0" applyNumberFormat="1" applyFont="1" applyFill="1" applyAlignment="1">
      <alignment horizontal="center"/>
    </xf>
    <xf numFmtId="169" fontId="21" fillId="7" borderId="0" xfId="0" applyNumberFormat="1" applyFont="1" applyFill="1" applyAlignment="1">
      <alignment horizontal="center"/>
    </xf>
    <xf numFmtId="166" fontId="23" fillId="0" borderId="0" xfId="0" applyNumberFormat="1" applyFont="1" applyAlignment="1">
      <alignment horizontal="center"/>
    </xf>
    <xf numFmtId="4" fontId="16" fillId="6" borderId="0" xfId="0" applyNumberFormat="1" applyFont="1" applyFill="1" applyAlignment="1">
      <alignment horizontal="center"/>
    </xf>
    <xf numFmtId="4" fontId="16" fillId="6" borderId="2" xfId="0" applyNumberFormat="1" applyFont="1" applyFill="1" applyBorder="1" applyAlignment="1">
      <alignment horizontal="center"/>
    </xf>
    <xf numFmtId="9" fontId="21" fillId="6" borderId="0" xfId="0" applyNumberFormat="1" applyFont="1" applyFill="1" applyAlignment="1">
      <alignment horizontal="center"/>
    </xf>
    <xf numFmtId="166" fontId="24" fillId="6" borderId="0" xfId="0" applyNumberFormat="1" applyFont="1" applyFill="1" applyAlignment="1">
      <alignment horizontal="center"/>
    </xf>
    <xf numFmtId="4" fontId="20" fillId="2" borderId="0" xfId="0" applyNumberFormat="1" applyFont="1" applyFill="1" applyAlignment="1">
      <alignment horizontal="center"/>
    </xf>
    <xf numFmtId="166" fontId="24" fillId="2" borderId="0" xfId="0" applyNumberFormat="1" applyFont="1" applyFill="1" applyAlignment="1">
      <alignment horizontal="center"/>
    </xf>
    <xf numFmtId="4" fontId="21" fillId="2" borderId="0" xfId="0" applyNumberFormat="1" applyFont="1" applyFill="1" applyAlignment="1">
      <alignment horizontal="center"/>
    </xf>
    <xf numFmtId="3" fontId="25" fillId="0" borderId="0" xfId="0" applyNumberFormat="1" applyFont="1" applyAlignment="1">
      <alignment horizontal="center"/>
    </xf>
    <xf numFmtId="3" fontId="25" fillId="5" borderId="0" xfId="0" applyNumberFormat="1" applyFont="1" applyFill="1" applyAlignment="1">
      <alignment horizontal="center"/>
    </xf>
    <xf numFmtId="9" fontId="16" fillId="8" borderId="0" xfId="0" applyNumberFormat="1" applyFont="1" applyFill="1" applyAlignment="1">
      <alignment horizontal="center"/>
    </xf>
    <xf numFmtId="9" fontId="20" fillId="8" borderId="0" xfId="0" applyNumberFormat="1" applyFont="1" applyFill="1" applyAlignment="1">
      <alignment horizontal="center"/>
    </xf>
    <xf numFmtId="9" fontId="24" fillId="8" borderId="0" xfId="0" applyNumberFormat="1" applyFont="1" applyFill="1" applyAlignment="1">
      <alignment horizontal="center"/>
    </xf>
    <xf numFmtId="9" fontId="21" fillId="8" borderId="0" xfId="0" applyNumberFormat="1" applyFont="1" applyFill="1" applyAlignment="1">
      <alignment horizontal="center"/>
    </xf>
    <xf numFmtId="9" fontId="16" fillId="0" borderId="0" xfId="0" applyNumberFormat="1" applyFont="1" applyAlignment="1">
      <alignment horizontal="center"/>
    </xf>
    <xf numFmtId="9" fontId="20" fillId="6" borderId="0" xfId="0" applyNumberFormat="1" applyFont="1" applyFill="1" applyAlignment="1">
      <alignment horizontal="center"/>
    </xf>
    <xf numFmtId="9" fontId="24" fillId="6" borderId="0" xfId="0" applyNumberFormat="1" applyFont="1" applyFill="1" applyAlignment="1">
      <alignment horizontal="center"/>
    </xf>
    <xf numFmtId="3" fontId="16" fillId="0" borderId="0" xfId="0" applyNumberFormat="1" applyFont="1" applyAlignment="1">
      <alignment horizontal="center"/>
    </xf>
    <xf numFmtId="3" fontId="20" fillId="6" borderId="0" xfId="0" applyNumberFormat="1" applyFont="1" applyFill="1" applyAlignment="1">
      <alignment horizontal="center"/>
    </xf>
    <xf numFmtId="3" fontId="24" fillId="6" borderId="0" xfId="0" applyNumberFormat="1" applyFont="1" applyFill="1" applyAlignment="1">
      <alignment horizontal="center"/>
    </xf>
    <xf numFmtId="170" fontId="16" fillId="6" borderId="0" xfId="0" applyNumberFormat="1" applyFont="1" applyFill="1" applyAlignment="1">
      <alignment horizontal="center"/>
    </xf>
    <xf numFmtId="9" fontId="26" fillId="0" borderId="0" xfId="0" applyNumberFormat="1" applyFont="1" applyAlignment="1">
      <alignment horizontal="center"/>
    </xf>
    <xf numFmtId="9" fontId="27" fillId="0" borderId="0" xfId="0" applyNumberFormat="1" applyFont="1" applyAlignment="1">
      <alignment horizontal="center"/>
    </xf>
    <xf numFmtId="9" fontId="28" fillId="8" borderId="0" xfId="0" applyNumberFormat="1" applyFont="1" applyFill="1" applyAlignment="1">
      <alignment horizontal="center"/>
    </xf>
    <xf numFmtId="4" fontId="24" fillId="6" borderId="0" xfId="0" applyNumberFormat="1" applyFont="1" applyFill="1" applyAlignment="1">
      <alignment horizontal="center"/>
    </xf>
    <xf numFmtId="4" fontId="29" fillId="9" borderId="0" xfId="0" applyNumberFormat="1" applyFont="1" applyFill="1" applyAlignment="1">
      <alignment horizontal="center"/>
    </xf>
    <xf numFmtId="4" fontId="16" fillId="9" borderId="0" xfId="0" applyNumberFormat="1" applyFont="1" applyFill="1" applyAlignment="1">
      <alignment horizontal="center"/>
    </xf>
    <xf numFmtId="4" fontId="30" fillId="0" borderId="0" xfId="0" applyNumberFormat="1" applyFont="1" applyAlignment="1">
      <alignment horizontal="center"/>
    </xf>
    <xf numFmtId="9" fontId="30" fillId="0" borderId="0" xfId="0" applyNumberFormat="1" applyFont="1" applyAlignment="1">
      <alignment horizontal="center"/>
    </xf>
    <xf numFmtId="4" fontId="30" fillId="6" borderId="0" xfId="0" applyNumberFormat="1" applyFont="1" applyFill="1" applyAlignment="1">
      <alignment horizontal="center"/>
    </xf>
    <xf numFmtId="170" fontId="16" fillId="9" borderId="0" xfId="0" applyNumberFormat="1" applyFont="1" applyFill="1" applyAlignment="1">
      <alignment horizontal="center"/>
    </xf>
    <xf numFmtId="4" fontId="25" fillId="5" borderId="0" xfId="0" applyNumberFormat="1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170" fontId="16" fillId="8" borderId="0" xfId="0" applyNumberFormat="1" applyFont="1" applyFill="1" applyAlignment="1">
      <alignment horizontal="center"/>
    </xf>
    <xf numFmtId="0" fontId="29" fillId="9" borderId="0" xfId="0" applyFont="1" applyFill="1" applyAlignment="1">
      <alignment horizontal="center"/>
    </xf>
    <xf numFmtId="9" fontId="29" fillId="9" borderId="0" xfId="0" applyNumberFormat="1" applyFont="1" applyFill="1" applyAlignment="1">
      <alignment horizontal="center"/>
    </xf>
    <xf numFmtId="170" fontId="29" fillId="6" borderId="0" xfId="0" applyNumberFormat="1" applyFont="1" applyFill="1" applyAlignment="1">
      <alignment horizontal="center"/>
    </xf>
    <xf numFmtId="4" fontId="28" fillId="9" borderId="0" xfId="0" applyNumberFormat="1" applyFont="1" applyFill="1" applyAlignment="1">
      <alignment horizontal="center"/>
    </xf>
    <xf numFmtId="4" fontId="24" fillId="9" borderId="0" xfId="0" applyNumberFormat="1" applyFont="1" applyFill="1" applyAlignment="1">
      <alignment horizontal="center"/>
    </xf>
    <xf numFmtId="10" fontId="27" fillId="9" borderId="0" xfId="0" applyNumberFormat="1" applyFont="1" applyFill="1" applyAlignment="1">
      <alignment horizontal="center"/>
    </xf>
    <xf numFmtId="4" fontId="29" fillId="0" borderId="0" xfId="0" applyNumberFormat="1" applyFont="1" applyAlignment="1">
      <alignment horizontal="center"/>
    </xf>
    <xf numFmtId="170" fontId="31" fillId="0" borderId="0" xfId="0" applyNumberFormat="1" applyFont="1" applyAlignment="1">
      <alignment horizontal="center"/>
    </xf>
    <xf numFmtId="9" fontId="26" fillId="0" borderId="0" xfId="0" applyNumberFormat="1" applyFont="1"/>
    <xf numFmtId="0" fontId="29" fillId="0" borderId="0" xfId="0" applyFont="1" applyAlignment="1">
      <alignment horizontal="center"/>
    </xf>
    <xf numFmtId="4" fontId="32" fillId="0" borderId="0" xfId="0" applyNumberFormat="1" applyFont="1" applyAlignment="1">
      <alignment horizontal="center"/>
    </xf>
    <xf numFmtId="9" fontId="33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27" fillId="0" borderId="0" xfId="0" applyNumberFormat="1" applyFont="1" applyAlignment="1">
      <alignment horizontal="center"/>
    </xf>
    <xf numFmtId="10" fontId="26" fillId="0" borderId="0" xfId="0" applyNumberFormat="1" applyFont="1"/>
    <xf numFmtId="9" fontId="0" fillId="0" borderId="0" xfId="0" applyNumberFormat="1" applyAlignment="1">
      <alignment horizontal="center"/>
    </xf>
    <xf numFmtId="4" fontId="28" fillId="8" borderId="0" xfId="0" applyNumberFormat="1" applyFont="1" applyFill="1" applyAlignment="1">
      <alignment horizontal="center"/>
    </xf>
    <xf numFmtId="4" fontId="24" fillId="8" borderId="0" xfId="0" applyNumberFormat="1" applyFont="1" applyFill="1" applyAlignment="1">
      <alignment horizontal="center"/>
    </xf>
    <xf numFmtId="171" fontId="0" fillId="0" borderId="0" xfId="0" applyNumberFormat="1" applyAlignment="1">
      <alignment horizontal="center"/>
    </xf>
    <xf numFmtId="9" fontId="34" fillId="9" borderId="0" xfId="0" applyNumberFormat="1" applyFont="1" applyFill="1" applyAlignment="1">
      <alignment horizontal="center"/>
    </xf>
    <xf numFmtId="9" fontId="28" fillId="0" borderId="0" xfId="0" applyNumberFormat="1" applyFont="1" applyAlignment="1">
      <alignment horizontal="center"/>
    </xf>
    <xf numFmtId="4" fontId="28" fillId="0" borderId="0" xfId="0" applyNumberFormat="1" applyFont="1" applyAlignment="1">
      <alignment horizontal="center"/>
    </xf>
    <xf numFmtId="168" fontId="26" fillId="0" borderId="0" xfId="0" applyNumberFormat="1" applyFont="1"/>
    <xf numFmtId="9" fontId="35" fillId="6" borderId="0" xfId="0" applyNumberFormat="1" applyFont="1" applyFill="1" applyAlignment="1">
      <alignment horizontal="center"/>
    </xf>
    <xf numFmtId="4" fontId="16" fillId="10" borderId="0" xfId="0" applyNumberFormat="1" applyFont="1" applyFill="1" applyAlignment="1">
      <alignment horizontal="center"/>
    </xf>
    <xf numFmtId="4" fontId="17" fillId="10" borderId="0" xfId="0" applyNumberFormat="1" applyFont="1" applyFill="1" applyAlignment="1">
      <alignment horizontal="center"/>
    </xf>
    <xf numFmtId="4" fontId="18" fillId="10" borderId="0" xfId="0" applyNumberFormat="1" applyFont="1" applyFill="1" applyAlignment="1">
      <alignment horizontal="center"/>
    </xf>
    <xf numFmtId="4" fontId="18" fillId="10" borderId="0" xfId="0" applyNumberFormat="1" applyFont="1" applyFill="1" applyAlignment="1">
      <alignment horizontal="center" wrapText="1"/>
    </xf>
    <xf numFmtId="4" fontId="19" fillId="10" borderId="0" xfId="0" applyNumberFormat="1" applyFont="1" applyFill="1" applyAlignment="1">
      <alignment horizontal="center"/>
    </xf>
    <xf numFmtId="0" fontId="0" fillId="10" borderId="0" xfId="0" applyFill="1" applyAlignment="1">
      <alignment horizontal="center"/>
    </xf>
    <xf numFmtId="167" fontId="21" fillId="8" borderId="0" xfId="0" applyNumberFormat="1" applyFont="1" applyFill="1" applyAlignment="1">
      <alignment horizontal="center"/>
    </xf>
    <xf numFmtId="2" fontId="21" fillId="8" borderId="0" xfId="0" applyNumberFormat="1" applyFont="1" applyFill="1" applyAlignment="1">
      <alignment horizontal="center"/>
    </xf>
    <xf numFmtId="168" fontId="22" fillId="0" borderId="0" xfId="0" applyNumberFormat="1" applyFont="1"/>
    <xf numFmtId="9" fontId="36" fillId="0" borderId="0" xfId="0" applyNumberFormat="1" applyFont="1" applyAlignment="1">
      <alignment horizontal="center"/>
    </xf>
    <xf numFmtId="9" fontId="35" fillId="0" borderId="0" xfId="0" applyNumberFormat="1" applyFont="1" applyAlignment="1">
      <alignment horizontal="center"/>
    </xf>
    <xf numFmtId="4" fontId="20" fillId="10" borderId="0" xfId="0" applyNumberFormat="1" applyFont="1" applyFill="1" applyAlignment="1">
      <alignment horizontal="center"/>
    </xf>
    <xf numFmtId="166" fontId="24" fillId="10" borderId="0" xfId="0" applyNumberFormat="1" applyFont="1" applyFill="1" applyAlignment="1">
      <alignment horizontal="center"/>
    </xf>
    <xf numFmtId="4" fontId="21" fillId="10" borderId="0" xfId="0" applyNumberFormat="1" applyFont="1" applyFill="1" applyAlignment="1">
      <alignment horizontal="center"/>
    </xf>
    <xf numFmtId="3" fontId="25" fillId="10" borderId="0" xfId="0" applyNumberFormat="1" applyFont="1" applyFill="1" applyAlignment="1">
      <alignment horizontal="center"/>
    </xf>
    <xf numFmtId="4" fontId="25" fillId="10" borderId="0" xfId="0" applyNumberFormat="1" applyFont="1" applyFill="1" applyAlignment="1">
      <alignment horizontal="center"/>
    </xf>
    <xf numFmtId="4" fontId="29" fillId="10" borderId="0" xfId="0" applyNumberFormat="1" applyFont="1" applyFill="1" applyAlignment="1">
      <alignment horizontal="center"/>
    </xf>
    <xf numFmtId="4" fontId="16" fillId="8" borderId="0" xfId="0" applyNumberFormat="1" applyFont="1" applyFill="1" applyAlignment="1">
      <alignment horizontal="center"/>
    </xf>
    <xf numFmtId="4" fontId="30" fillId="8" borderId="0" xfId="0" applyNumberFormat="1" applyFont="1" applyFill="1" applyAlignment="1">
      <alignment horizontal="center"/>
    </xf>
    <xf numFmtId="10" fontId="27" fillId="0" borderId="0" xfId="0" applyNumberFormat="1" applyFont="1" applyAlignment="1">
      <alignment horizontal="center"/>
    </xf>
    <xf numFmtId="4" fontId="20" fillId="8" borderId="0" xfId="0" applyNumberFormat="1" applyFont="1" applyFill="1" applyAlignment="1">
      <alignment horizontal="center"/>
    </xf>
    <xf numFmtId="172" fontId="20" fillId="6" borderId="0" xfId="0" applyNumberFormat="1" applyFont="1" applyFill="1" applyAlignment="1">
      <alignment horizontal="center"/>
    </xf>
    <xf numFmtId="0" fontId="21" fillId="8" borderId="0" xfId="0" applyFont="1" applyFill="1" applyAlignment="1">
      <alignment horizontal="center"/>
    </xf>
    <xf numFmtId="9" fontId="36" fillId="0" borderId="0" xfId="0" applyNumberFormat="1" applyFont="1"/>
    <xf numFmtId="9" fontId="26" fillId="0" borderId="0" xfId="0" applyNumberFormat="1" applyFont="1" applyAlignment="1">
      <alignment horizontal="center" vertical="center"/>
    </xf>
    <xf numFmtId="166" fontId="35" fillId="0" borderId="0" xfId="0" applyNumberFormat="1" applyFont="1" applyAlignment="1">
      <alignment horizontal="center" vertical="center"/>
    </xf>
    <xf numFmtId="166" fontId="35" fillId="0" borderId="0" xfId="0" applyNumberFormat="1" applyFont="1" applyAlignment="1">
      <alignment horizontal="center"/>
    </xf>
    <xf numFmtId="166" fontId="35" fillId="0" borderId="0" xfId="0" applyNumberFormat="1" applyFont="1" applyAlignment="1">
      <alignment horizontal="center" wrapText="1"/>
    </xf>
    <xf numFmtId="4" fontId="17" fillId="0" borderId="0" xfId="0" applyNumberFormat="1" applyFont="1" applyAlignment="1">
      <alignment horizontal="center"/>
    </xf>
    <xf numFmtId="0" fontId="37" fillId="0" borderId="0" xfId="0" applyFont="1"/>
    <xf numFmtId="169" fontId="0" fillId="0" borderId="0" xfId="0" applyNumberFormat="1"/>
    <xf numFmtId="0" fontId="26" fillId="0" borderId="0" xfId="0" applyFont="1"/>
    <xf numFmtId="169" fontId="38" fillId="0" borderId="0" xfId="0" applyNumberFormat="1" applyFont="1"/>
    <xf numFmtId="166" fontId="37" fillId="0" borderId="0" xfId="0" applyNumberFormat="1" applyFont="1"/>
    <xf numFmtId="4" fontId="37" fillId="6" borderId="0" xfId="0" applyNumberFormat="1" applyFont="1" applyFill="1" applyAlignment="1">
      <alignment horizontal="center"/>
    </xf>
    <xf numFmtId="0" fontId="39" fillId="0" borderId="0" xfId="0" applyFont="1"/>
    <xf numFmtId="0" fontId="37" fillId="0" borderId="0" xfId="0" applyFont="1" applyAlignment="1">
      <alignment horizontal="center"/>
    </xf>
    <xf numFmtId="10" fontId="37" fillId="0" borderId="0" xfId="0" applyNumberFormat="1" applyFont="1" applyAlignment="1">
      <alignment horizontal="center"/>
    </xf>
    <xf numFmtId="9" fontId="37" fillId="0" borderId="0" xfId="0" applyNumberFormat="1" applyFont="1" applyAlignment="1">
      <alignment horizontal="center"/>
    </xf>
    <xf numFmtId="10" fontId="40" fillId="0" borderId="0" xfId="0" applyNumberFormat="1" applyFont="1" applyAlignment="1">
      <alignment horizontal="center"/>
    </xf>
    <xf numFmtId="166" fontId="21" fillId="7" borderId="0" xfId="0" applyNumberFormat="1" applyFont="1" applyFill="1" applyAlignment="1">
      <alignment horizontal="center"/>
    </xf>
    <xf numFmtId="4" fontId="17" fillId="6" borderId="0" xfId="0" applyNumberFormat="1" applyFont="1" applyFill="1" applyAlignment="1">
      <alignment horizontal="center"/>
    </xf>
    <xf numFmtId="4" fontId="18" fillId="6" borderId="0" xfId="0" applyNumberFormat="1" applyFont="1" applyFill="1" applyAlignment="1">
      <alignment horizontal="center"/>
    </xf>
    <xf numFmtId="0" fontId="41" fillId="11" borderId="0" xfId="0" applyFont="1" applyFill="1" applyAlignment="1">
      <alignment horizontal="left" wrapText="1"/>
    </xf>
    <xf numFmtId="0" fontId="2" fillId="11" borderId="0" xfId="0" applyFont="1" applyFill="1" applyAlignment="1">
      <alignment horizontal="center" wrapText="1"/>
    </xf>
    <xf numFmtId="0" fontId="2" fillId="11" borderId="0" xfId="0" applyFont="1" applyFill="1" applyAlignment="1">
      <alignment horizontal="left" wrapText="1"/>
    </xf>
    <xf numFmtId="0" fontId="42" fillId="12" borderId="0" xfId="0" applyFont="1" applyFill="1" applyAlignment="1">
      <alignment horizontal="center" wrapText="1"/>
    </xf>
    <xf numFmtId="0" fontId="42" fillId="0" borderId="0" xfId="0" applyFont="1" applyAlignment="1">
      <alignment horizontal="left" wrapText="1"/>
    </xf>
    <xf numFmtId="3" fontId="42" fillId="0" borderId="0" xfId="0" applyNumberFormat="1" applyFont="1" applyAlignment="1">
      <alignment horizontal="center" wrapText="1"/>
    </xf>
    <xf numFmtId="0" fontId="3" fillId="0" borderId="0" xfId="0" applyFont="1"/>
    <xf numFmtId="0" fontId="43" fillId="0" borderId="0" xfId="0" applyFont="1" applyAlignment="1">
      <alignment horizontal="left" wrapText="1" indent="1"/>
    </xf>
    <xf numFmtId="3" fontId="43" fillId="0" borderId="0" xfId="0" applyNumberFormat="1" applyFont="1" applyAlignment="1">
      <alignment horizontal="center" wrapText="1"/>
    </xf>
    <xf numFmtId="3" fontId="43" fillId="0" borderId="0" xfId="1" applyNumberFormat="1" applyFont="1" applyFill="1" applyBorder="1" applyAlignment="1">
      <alignment horizontal="center" wrapText="1"/>
    </xf>
    <xf numFmtId="0" fontId="43" fillId="0" borderId="0" xfId="0" applyFont="1" applyAlignment="1">
      <alignment horizontal="left" wrapText="1"/>
    </xf>
    <xf numFmtId="3" fontId="43" fillId="0" borderId="0" xfId="0" applyNumberFormat="1" applyFont="1" applyAlignment="1">
      <alignment horizontal="left" wrapText="1"/>
    </xf>
    <xf numFmtId="4" fontId="0" fillId="0" borderId="0" xfId="0" applyNumberFormat="1"/>
    <xf numFmtId="3" fontId="0" fillId="0" borderId="0" xfId="0" applyNumberFormat="1"/>
    <xf numFmtId="0" fontId="44" fillId="0" borderId="0" xfId="0" applyFont="1"/>
    <xf numFmtId="173" fontId="0" fillId="0" borderId="0" xfId="0" applyNumberFormat="1"/>
    <xf numFmtId="0" fontId="3" fillId="0" borderId="0" xfId="0" applyFont="1" applyAlignment="1">
      <alignment horizontal="left" wrapText="1"/>
    </xf>
    <xf numFmtId="3" fontId="3" fillId="0" borderId="0" xfId="0" applyNumberFormat="1" applyFont="1" applyAlignment="1">
      <alignment horizontal="center" wrapText="1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center" wrapText="1"/>
    </xf>
    <xf numFmtId="0" fontId="42" fillId="13" borderId="0" xfId="0" applyFont="1" applyFill="1" applyAlignment="1">
      <alignment horizontal="left" wrapText="1"/>
    </xf>
    <xf numFmtId="0" fontId="43" fillId="13" borderId="0" xfId="0" applyFont="1" applyFill="1" applyAlignment="1">
      <alignment horizontal="center" wrapText="1"/>
    </xf>
    <xf numFmtId="0" fontId="42" fillId="14" borderId="0" xfId="0" applyFont="1" applyFill="1" applyAlignment="1">
      <alignment horizontal="left" wrapText="1"/>
    </xf>
    <xf numFmtId="3" fontId="42" fillId="14" borderId="0" xfId="0" applyNumberFormat="1" applyFont="1" applyFill="1" applyAlignment="1">
      <alignment horizontal="center" wrapText="1"/>
    </xf>
    <xf numFmtId="9" fontId="42" fillId="14" borderId="0" xfId="0" applyNumberFormat="1" applyFont="1" applyFill="1" applyAlignment="1">
      <alignment horizontal="center" wrapText="1"/>
    </xf>
    <xf numFmtId="9" fontId="43" fillId="0" borderId="0" xfId="2" applyFont="1" applyAlignment="1">
      <alignment horizontal="center" wrapText="1"/>
    </xf>
    <xf numFmtId="0" fontId="43" fillId="0" borderId="0" xfId="0" applyFont="1" applyAlignment="1">
      <alignment horizontal="center" wrapText="1"/>
    </xf>
    <xf numFmtId="166" fontId="42" fillId="14" borderId="0" xfId="0" applyNumberFormat="1" applyFont="1" applyFill="1" applyAlignment="1">
      <alignment horizontal="center" wrapText="1"/>
    </xf>
    <xf numFmtId="166" fontId="42" fillId="14" borderId="0" xfId="2" applyNumberFormat="1" applyFont="1" applyFill="1" applyBorder="1" applyAlignment="1">
      <alignment horizontal="center" wrapText="1"/>
    </xf>
    <xf numFmtId="9" fontId="0" fillId="0" borderId="0" xfId="2" applyFont="1"/>
    <xf numFmtId="0" fontId="45" fillId="0" borderId="0" xfId="0" applyFont="1" applyAlignment="1">
      <alignment horizontal="center"/>
    </xf>
    <xf numFmtId="0" fontId="12" fillId="0" borderId="3" xfId="0" applyFont="1" applyBorder="1"/>
    <xf numFmtId="0" fontId="7" fillId="0" borderId="0" xfId="0" applyFont="1"/>
    <xf numFmtId="0" fontId="13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48" fillId="0" borderId="0" xfId="0" applyFont="1"/>
    <xf numFmtId="0" fontId="13" fillId="0" borderId="0" xfId="0" applyFont="1"/>
    <xf numFmtId="0" fontId="12" fillId="3" borderId="0" xfId="0" applyFont="1" applyFill="1"/>
    <xf numFmtId="0" fontId="13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48" fillId="0" borderId="3" xfId="0" applyFont="1" applyBorder="1"/>
    <xf numFmtId="166" fontId="51" fillId="0" borderId="0" xfId="2" applyNumberFormat="1" applyFont="1"/>
    <xf numFmtId="9" fontId="1" fillId="0" borderId="0" xfId="2" applyAlignment="1">
      <alignment horizontal="center"/>
    </xf>
    <xf numFmtId="166" fontId="51" fillId="15" borderId="0" xfId="2" applyNumberFormat="1" applyFont="1" applyFill="1" applyAlignment="1">
      <alignment horizontal="center" vertical="center"/>
    </xf>
    <xf numFmtId="0" fontId="0" fillId="0" borderId="3" xfId="0" applyBorder="1"/>
    <xf numFmtId="164" fontId="50" fillId="0" borderId="0" xfId="0" applyNumberFormat="1" applyFont="1" applyAlignment="1">
      <alignment horizontal="center"/>
    </xf>
    <xf numFmtId="0" fontId="50" fillId="0" borderId="0" xfId="0" applyFont="1"/>
    <xf numFmtId="164" fontId="50" fillId="0" borderId="0" xfId="0" applyNumberFormat="1" applyFont="1"/>
    <xf numFmtId="164" fontId="53" fillId="0" borderId="5" xfId="0" applyNumberFormat="1" applyFont="1" applyBorder="1"/>
    <xf numFmtId="174" fontId="49" fillId="15" borderId="0" xfId="0" applyNumberFormat="1" applyFont="1" applyFill="1" applyAlignment="1">
      <alignment horizontal="center" vertical="center"/>
    </xf>
    <xf numFmtId="165" fontId="7" fillId="15" borderId="0" xfId="0" applyNumberFormat="1" applyFont="1" applyFill="1" applyAlignment="1">
      <alignment horizontal="center" vertical="center"/>
    </xf>
    <xf numFmtId="165" fontId="50" fillId="15" borderId="0" xfId="0" applyNumberFormat="1" applyFont="1" applyFill="1" applyAlignment="1">
      <alignment horizontal="center" vertical="center"/>
    </xf>
    <xf numFmtId="0" fontId="0" fillId="15" borderId="0" xfId="0" applyFill="1"/>
    <xf numFmtId="165" fontId="8" fillId="16" borderId="0" xfId="0" applyNumberFormat="1" applyFont="1" applyFill="1" applyAlignment="1">
      <alignment horizontal="center" vertical="center"/>
    </xf>
    <xf numFmtId="9" fontId="8" fillId="16" borderId="0" xfId="0" applyNumberFormat="1" applyFont="1" applyFill="1" applyAlignment="1">
      <alignment horizontal="center" vertical="center"/>
    </xf>
    <xf numFmtId="0" fontId="0" fillId="15" borderId="3" xfId="0" applyFill="1" applyBorder="1"/>
    <xf numFmtId="164" fontId="49" fillId="16" borderId="0" xfId="0" applyNumberFormat="1" applyFont="1" applyFill="1" applyAlignment="1">
      <alignment horizontal="center" vertical="center"/>
    </xf>
    <xf numFmtId="164" fontId="50" fillId="15" borderId="0" xfId="0" applyNumberFormat="1" applyFont="1" applyFill="1" applyAlignment="1">
      <alignment horizontal="center" vertical="center"/>
    </xf>
    <xf numFmtId="164" fontId="49" fillId="15" borderId="0" xfId="0" applyNumberFormat="1" applyFont="1" applyFill="1" applyAlignment="1">
      <alignment horizontal="center" vertical="center"/>
    </xf>
    <xf numFmtId="164" fontId="52" fillId="15" borderId="0" xfId="0" applyNumberFormat="1" applyFont="1" applyFill="1" applyAlignment="1">
      <alignment horizontal="center" vertical="center"/>
    </xf>
    <xf numFmtId="164" fontId="53" fillId="15" borderId="0" xfId="0" applyNumberFormat="1" applyFont="1" applyFill="1" applyAlignment="1">
      <alignment horizontal="center" vertical="center"/>
    </xf>
    <xf numFmtId="165" fontId="47" fillId="15" borderId="0" xfId="0" applyNumberFormat="1" applyFont="1" applyFill="1" applyAlignment="1">
      <alignment horizontal="center" vertical="center"/>
    </xf>
    <xf numFmtId="164" fontId="50" fillId="15" borderId="0" xfId="0" applyNumberFormat="1" applyFont="1" applyFill="1" applyAlignment="1">
      <alignment horizontal="center"/>
    </xf>
    <xf numFmtId="164" fontId="52" fillId="15" borderId="4" xfId="0" applyNumberFormat="1" applyFont="1" applyFill="1" applyBorder="1" applyAlignment="1">
      <alignment horizontal="center" vertical="center"/>
    </xf>
    <xf numFmtId="164" fontId="53" fillId="15" borderId="4" xfId="0" applyNumberFormat="1" applyFont="1" applyFill="1" applyBorder="1" applyAlignment="1">
      <alignment horizontal="center" vertical="center"/>
    </xf>
    <xf numFmtId="1" fontId="8" fillId="16" borderId="0" xfId="0" applyNumberFormat="1" applyFont="1" applyFill="1" applyAlignment="1">
      <alignment horizontal="center" vertical="center"/>
    </xf>
    <xf numFmtId="167" fontId="47" fillId="15" borderId="0" xfId="0" applyNumberFormat="1" applyFont="1" applyFill="1" applyAlignment="1">
      <alignment horizontal="center" vertical="center"/>
    </xf>
    <xf numFmtId="167" fontId="50" fillId="15" borderId="0" xfId="0" applyNumberFormat="1" applyFont="1" applyFill="1" applyAlignment="1">
      <alignment horizontal="center" vertical="center"/>
    </xf>
    <xf numFmtId="164" fontId="8" fillId="16" borderId="0" xfId="0" applyNumberFormat="1" applyFont="1" applyFill="1" applyAlignment="1">
      <alignment horizontal="center" vertical="center"/>
    </xf>
    <xf numFmtId="0" fontId="50" fillId="15" borderId="0" xfId="0" applyFont="1" applyFill="1"/>
    <xf numFmtId="164" fontId="47" fillId="16" borderId="0" xfId="0" applyNumberFormat="1" applyFont="1" applyFill="1" applyAlignment="1">
      <alignment horizontal="center" vertical="center"/>
    </xf>
    <xf numFmtId="164" fontId="47" fillId="15" borderId="0" xfId="0" applyNumberFormat="1" applyFont="1" applyFill="1" applyAlignment="1">
      <alignment horizontal="center" vertical="center"/>
    </xf>
    <xf numFmtId="0" fontId="7" fillId="15" borderId="3" xfId="0" applyFont="1" applyFill="1" applyBorder="1" applyAlignment="1">
      <alignment horizontal="left" vertical="center"/>
    </xf>
    <xf numFmtId="0" fontId="50" fillId="15" borderId="3" xfId="0" applyFont="1" applyFill="1" applyBorder="1" applyAlignment="1">
      <alignment horizontal="left" vertical="center"/>
    </xf>
    <xf numFmtId="0" fontId="7" fillId="15" borderId="0" xfId="0" applyFont="1" applyFill="1" applyAlignment="1">
      <alignment horizontal="left" vertical="center"/>
    </xf>
    <xf numFmtId="0" fontId="50" fillId="15" borderId="0" xfId="0" applyFont="1" applyFill="1" applyAlignment="1">
      <alignment horizontal="left" vertical="center"/>
    </xf>
    <xf numFmtId="3" fontId="54" fillId="16" borderId="0" xfId="0" applyNumberFormat="1" applyFont="1" applyFill="1" applyAlignment="1">
      <alignment horizontal="center" vertical="center"/>
    </xf>
    <xf numFmtId="164" fontId="7" fillId="15" borderId="0" xfId="0" applyNumberFormat="1" applyFont="1" applyFill="1" applyAlignment="1">
      <alignment horizontal="center" vertical="center"/>
    </xf>
    <xf numFmtId="175" fontId="47" fillId="15" borderId="0" xfId="0" applyNumberFormat="1" applyFont="1" applyFill="1" applyAlignment="1">
      <alignment horizontal="center" vertical="center"/>
    </xf>
    <xf numFmtId="176" fontId="47" fillId="15" borderId="0" xfId="0" applyNumberFormat="1" applyFont="1" applyFill="1" applyAlignment="1">
      <alignment horizontal="center" vertical="center"/>
    </xf>
    <xf numFmtId="176" fontId="50" fillId="15" borderId="0" xfId="0" applyNumberFormat="1" applyFont="1" applyFill="1" applyAlignment="1">
      <alignment horizontal="center" vertical="center"/>
    </xf>
    <xf numFmtId="164" fontId="50" fillId="15" borderId="0" xfId="0" applyNumberFormat="1" applyFont="1" applyFill="1"/>
    <xf numFmtId="164" fontId="53" fillId="15" borderId="5" xfId="0" applyNumberFormat="1" applyFont="1" applyFill="1" applyBorder="1"/>
    <xf numFmtId="164" fontId="8" fillId="16" borderId="0" xfId="0" applyNumberFormat="1" applyFont="1" applyFill="1" applyAlignment="1">
      <alignment horizontal="center"/>
    </xf>
    <xf numFmtId="0" fontId="48" fillId="15" borderId="0" xfId="0" applyFont="1" applyFill="1"/>
    <xf numFmtId="0" fontId="48" fillId="15" borderId="3" xfId="0" applyFont="1" applyFill="1" applyBorder="1"/>
    <xf numFmtId="0" fontId="0" fillId="3" borderId="1" xfId="0" applyFill="1" applyBorder="1"/>
    <xf numFmtId="0" fontId="12" fillId="0" borderId="0" xfId="0" applyFont="1"/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horizontal="center"/>
    </xf>
    <xf numFmtId="177" fontId="56" fillId="15" borderId="0" xfId="0" applyNumberFormat="1" applyFont="1" applyFill="1"/>
    <xf numFmtId="166" fontId="57" fillId="0" borderId="0" xfId="2" applyNumberFormat="1" applyFont="1"/>
    <xf numFmtId="166" fontId="57" fillId="0" borderId="0" xfId="2" applyNumberFormat="1" applyFont="1" applyAlignment="1">
      <alignment horizontal="center"/>
    </xf>
    <xf numFmtId="166" fontId="58" fillId="15" borderId="0" xfId="2" applyNumberFormat="1" applyFont="1" applyFill="1" applyAlignment="1">
      <alignment horizontal="center" vertical="center"/>
    </xf>
    <xf numFmtId="167" fontId="53" fillId="0" borderId="6" xfId="0" applyNumberFormat="1" applyFont="1" applyBorder="1"/>
    <xf numFmtId="177" fontId="53" fillId="0" borderId="6" xfId="0" applyNumberFormat="1" applyFont="1" applyBorder="1"/>
    <xf numFmtId="178" fontId="8" fillId="4" borderId="0" xfId="0" applyNumberFormat="1" applyFont="1" applyFill="1" applyAlignment="1">
      <alignment horizontal="center" vertical="center"/>
    </xf>
    <xf numFmtId="166" fontId="50" fillId="0" borderId="0" xfId="0" applyNumberFormat="1" applyFont="1" applyAlignment="1">
      <alignment horizontal="center"/>
    </xf>
    <xf numFmtId="165" fontId="8" fillId="4" borderId="6" xfId="0" applyNumberFormat="1" applyFont="1" applyFill="1" applyBorder="1" applyAlignment="1">
      <alignment horizontal="center" vertical="center"/>
    </xf>
    <xf numFmtId="179" fontId="49" fillId="15" borderId="0" xfId="0" applyNumberFormat="1" applyFont="1" applyFill="1" applyAlignment="1">
      <alignment horizontal="center" vertical="center"/>
    </xf>
    <xf numFmtId="0" fontId="59" fillId="0" borderId="0" xfId="0" applyFont="1" applyAlignment="1">
      <alignment horizontal="left" vertical="center"/>
    </xf>
    <xf numFmtId="164" fontId="60" fillId="16" borderId="0" xfId="0" applyNumberFormat="1" applyFont="1" applyFill="1" applyAlignment="1">
      <alignment horizontal="center" vertical="center"/>
    </xf>
    <xf numFmtId="0" fontId="60" fillId="0" borderId="0" xfId="0" applyFont="1" applyAlignment="1">
      <alignment horizontal="left" vertical="center"/>
    </xf>
    <xf numFmtId="164" fontId="60" fillId="15" borderId="0" xfId="0" applyNumberFormat="1" applyFont="1" applyFill="1" applyAlignment="1">
      <alignment horizontal="center" vertical="center"/>
    </xf>
    <xf numFmtId="0" fontId="61" fillId="0" borderId="0" xfId="0" applyFont="1" applyAlignment="1">
      <alignment horizontal="left" vertical="center"/>
    </xf>
    <xf numFmtId="3" fontId="63" fillId="0" borderId="0" xfId="0" applyNumberFormat="1" applyFont="1" applyAlignment="1">
      <alignment horizontal="center" wrapText="1"/>
    </xf>
    <xf numFmtId="3" fontId="64" fillId="0" borderId="0" xfId="0" applyNumberFormat="1" applyFont="1" applyAlignment="1">
      <alignment horizontal="center" wrapText="1"/>
    </xf>
    <xf numFmtId="3" fontId="64" fillId="0" borderId="0" xfId="0" applyNumberFormat="1" applyFont="1" applyAlignment="1">
      <alignment horizontal="left" wrapText="1"/>
    </xf>
    <xf numFmtId="0" fontId="65" fillId="0" borderId="0" xfId="0" applyFont="1" applyAlignment="1">
      <alignment horizontal="left" vertical="center"/>
    </xf>
    <xf numFmtId="0" fontId="62" fillId="0" borderId="4" xfId="0" applyFont="1" applyBorder="1" applyAlignment="1">
      <alignment horizontal="left" vertical="center"/>
    </xf>
    <xf numFmtId="3" fontId="63" fillId="0" borderId="4" xfId="0" applyNumberFormat="1" applyFont="1" applyBorder="1" applyAlignment="1">
      <alignment horizontal="center" wrapText="1"/>
    </xf>
    <xf numFmtId="0" fontId="0" fillId="0" borderId="4" xfId="0" applyBorder="1"/>
    <xf numFmtId="0" fontId="61" fillId="0" borderId="4" xfId="0" applyFont="1" applyBorder="1" applyAlignment="1">
      <alignment horizontal="left" vertical="center"/>
    </xf>
    <xf numFmtId="0" fontId="66" fillId="15" borderId="0" xfId="0" applyFont="1" applyFill="1"/>
    <xf numFmtId="9" fontId="8" fillId="16" borderId="0" xfId="2" applyFont="1" applyFill="1" applyAlignment="1">
      <alignment horizontal="center" vertical="center"/>
    </xf>
    <xf numFmtId="9" fontId="0" fillId="15" borderId="0" xfId="2" applyFont="1" applyFill="1"/>
    <xf numFmtId="9" fontId="49" fillId="15" borderId="0" xfId="2" applyFont="1" applyFill="1" applyAlignment="1">
      <alignment horizontal="center"/>
    </xf>
    <xf numFmtId="181" fontId="6" fillId="0" borderId="0" xfId="0" applyNumberFormat="1" applyFont="1" applyAlignment="1">
      <alignment horizontal="center" vertical="center"/>
    </xf>
    <xf numFmtId="9" fontId="53" fillId="15" borderId="0" xfId="2" applyFont="1" applyFill="1" applyAlignment="1">
      <alignment horizontal="center" vertical="center"/>
    </xf>
    <xf numFmtId="166" fontId="0" fillId="15" borderId="0" xfId="2" applyNumberFormat="1" applyFont="1" applyFill="1"/>
    <xf numFmtId="166" fontId="8" fillId="16" borderId="0" xfId="2" applyNumberFormat="1" applyFont="1" applyFill="1" applyAlignment="1">
      <alignment horizontal="center" vertical="center"/>
    </xf>
    <xf numFmtId="166" fontId="0" fillId="0" borderId="0" xfId="2" applyNumberFormat="1" applyFont="1"/>
    <xf numFmtId="0" fontId="62" fillId="0" borderId="0" xfId="0" applyFont="1" applyAlignment="1">
      <alignment horizontal="left" vertical="center"/>
    </xf>
    <xf numFmtId="164" fontId="8" fillId="16" borderId="4" xfId="0" applyNumberFormat="1" applyFont="1" applyFill="1" applyBorder="1" applyAlignment="1">
      <alignment horizontal="center" vertical="center"/>
    </xf>
    <xf numFmtId="3" fontId="63" fillId="0" borderId="5" xfId="0" applyNumberFormat="1" applyFont="1" applyBorder="1" applyAlignment="1">
      <alignment horizontal="center" wrapText="1"/>
    </xf>
    <xf numFmtId="164" fontId="67" fillId="15" borderId="0" xfId="0" applyNumberFormat="1" applyFont="1" applyFill="1" applyAlignment="1">
      <alignment horizontal="center" vertical="center"/>
    </xf>
    <xf numFmtId="164" fontId="50" fillId="17" borderId="8" xfId="0" applyNumberFormat="1" applyFont="1" applyFill="1" applyBorder="1" applyAlignment="1">
      <alignment horizontal="center" vertical="center"/>
    </xf>
    <xf numFmtId="164" fontId="50" fillId="17" borderId="9" xfId="0" applyNumberFormat="1" applyFont="1" applyFill="1" applyBorder="1" applyAlignment="1">
      <alignment horizontal="center" vertical="center"/>
    </xf>
    <xf numFmtId="164" fontId="50" fillId="17" borderId="10" xfId="0" applyNumberFormat="1" applyFont="1" applyFill="1" applyBorder="1" applyAlignment="1">
      <alignment horizontal="center" vertical="center"/>
    </xf>
    <xf numFmtId="164" fontId="50" fillId="17" borderId="0" xfId="0" applyNumberFormat="1" applyFont="1" applyFill="1" applyAlignment="1">
      <alignment horizontal="center" vertical="center"/>
    </xf>
    <xf numFmtId="164" fontId="67" fillId="15" borderId="4" xfId="0" applyNumberFormat="1" applyFont="1" applyFill="1" applyBorder="1" applyAlignment="1">
      <alignment horizontal="center" vertical="center"/>
    </xf>
    <xf numFmtId="164" fontId="50" fillId="17" borderId="6" xfId="0" applyNumberFormat="1" applyFont="1" applyFill="1" applyBorder="1" applyAlignment="1">
      <alignment horizontal="center" vertical="center"/>
    </xf>
    <xf numFmtId="3" fontId="67" fillId="15" borderId="4" xfId="0" applyNumberFormat="1" applyFont="1" applyFill="1" applyBorder="1"/>
    <xf numFmtId="9" fontId="68" fillId="15" borderId="0" xfId="2" applyFont="1" applyFill="1" applyAlignment="1">
      <alignment horizontal="center" vertical="center"/>
    </xf>
    <xf numFmtId="165" fontId="69" fillId="15" borderId="0" xfId="0" applyNumberFormat="1" applyFont="1" applyFill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70" fillId="0" borderId="0" xfId="0" applyFont="1" applyAlignment="1">
      <alignment horizontal="center"/>
    </xf>
    <xf numFmtId="166" fontId="70" fillId="0" borderId="0" xfId="2" applyNumberFormat="1" applyFont="1" applyAlignment="1">
      <alignment horizontal="center"/>
    </xf>
    <xf numFmtId="0" fontId="69" fillId="0" borderId="0" xfId="0" applyFont="1" applyAlignment="1">
      <alignment horizontal="center"/>
    </xf>
    <xf numFmtId="0" fontId="7" fillId="0" borderId="11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164" fontId="52" fillId="15" borderId="11" xfId="0" applyNumberFormat="1" applyFont="1" applyFill="1" applyBorder="1" applyAlignment="1">
      <alignment horizontal="center" vertical="center"/>
    </xf>
    <xf numFmtId="0" fontId="69" fillId="0" borderId="11" xfId="0" applyFont="1" applyBorder="1" applyAlignment="1">
      <alignment horizontal="center" vertical="center"/>
    </xf>
    <xf numFmtId="0" fontId="0" fillId="0" borderId="11" xfId="0" applyBorder="1"/>
    <xf numFmtId="1" fontId="8" fillId="18" borderId="0" xfId="0" applyNumberFormat="1" applyFont="1" applyFill="1" applyAlignment="1">
      <alignment horizontal="center" vertical="center"/>
    </xf>
    <xf numFmtId="1" fontId="47" fillId="16" borderId="0" xfId="0" applyNumberFormat="1" applyFont="1" applyFill="1" applyAlignment="1">
      <alignment horizontal="center" vertical="center"/>
    </xf>
    <xf numFmtId="1" fontId="47" fillId="18" borderId="7" xfId="0" applyNumberFormat="1" applyFont="1" applyFill="1" applyBorder="1" applyAlignment="1">
      <alignment horizontal="center" vertical="center"/>
    </xf>
    <xf numFmtId="1" fontId="47" fillId="18" borderId="4" xfId="0" applyNumberFormat="1" applyFont="1" applyFill="1" applyBorder="1" applyAlignment="1">
      <alignment horizontal="center" vertical="center"/>
    </xf>
    <xf numFmtId="1" fontId="47" fillId="18" borderId="12" xfId="0" applyNumberFormat="1" applyFont="1" applyFill="1" applyBorder="1" applyAlignment="1">
      <alignment horizontal="center" vertical="center"/>
    </xf>
    <xf numFmtId="175" fontId="47" fillId="17" borderId="7" xfId="0" applyNumberFormat="1" applyFont="1" applyFill="1" applyBorder="1" applyAlignment="1">
      <alignment horizontal="center" vertical="center"/>
    </xf>
    <xf numFmtId="175" fontId="47" fillId="17" borderId="4" xfId="0" applyNumberFormat="1" applyFont="1" applyFill="1" applyBorder="1" applyAlignment="1">
      <alignment horizontal="center" vertical="center"/>
    </xf>
    <xf numFmtId="175" fontId="47" fillId="17" borderId="12" xfId="0" applyNumberFormat="1" applyFont="1" applyFill="1" applyBorder="1" applyAlignment="1">
      <alignment horizontal="center" vertical="center"/>
    </xf>
    <xf numFmtId="0" fontId="0" fillId="15" borderId="13" xfId="0" applyFill="1" applyBorder="1"/>
    <xf numFmtId="164" fontId="49" fillId="15" borderId="4" xfId="0" applyNumberFormat="1" applyFont="1" applyFill="1" applyBorder="1" applyAlignment="1">
      <alignment horizontal="center" vertical="center"/>
    </xf>
    <xf numFmtId="0" fontId="70" fillId="0" borderId="4" xfId="0" applyFont="1" applyBorder="1" applyAlignment="1">
      <alignment horizontal="center"/>
    </xf>
    <xf numFmtId="0" fontId="13" fillId="0" borderId="3" xfId="0" applyFont="1" applyBorder="1"/>
    <xf numFmtId="0" fontId="7" fillId="0" borderId="11" xfId="0" applyFont="1" applyBorder="1"/>
    <xf numFmtId="164" fontId="72" fillId="16" borderId="4" xfId="0" applyNumberFormat="1" applyFont="1" applyFill="1" applyBorder="1" applyAlignment="1">
      <alignment horizontal="center" vertical="center"/>
    </xf>
    <xf numFmtId="9" fontId="8" fillId="18" borderId="0" xfId="0" applyNumberFormat="1" applyFont="1" applyFill="1" applyAlignment="1">
      <alignment horizontal="center" vertical="center"/>
    </xf>
    <xf numFmtId="9" fontId="73" fillId="17" borderId="7" xfId="2" applyFont="1" applyFill="1" applyBorder="1" applyAlignment="1">
      <alignment horizontal="center" vertical="center"/>
    </xf>
    <xf numFmtId="9" fontId="73" fillId="17" borderId="4" xfId="2" applyFont="1" applyFill="1" applyBorder="1" applyAlignment="1">
      <alignment horizontal="center" vertical="center"/>
    </xf>
    <xf numFmtId="3" fontId="50" fillId="17" borderId="6" xfId="0" applyNumberFormat="1" applyFont="1" applyFill="1" applyBorder="1" applyAlignment="1">
      <alignment horizontal="center"/>
    </xf>
    <xf numFmtId="164" fontId="53" fillId="15" borderId="0" xfId="0" applyNumberFormat="1" applyFont="1" applyFill="1"/>
    <xf numFmtId="9" fontId="0" fillId="15" borderId="3" xfId="2" applyFont="1" applyFill="1" applyBorder="1"/>
    <xf numFmtId="9" fontId="47" fillId="15" borderId="0" xfId="2" applyFont="1" applyFill="1" applyAlignment="1">
      <alignment horizontal="center"/>
    </xf>
    <xf numFmtId="9" fontId="71" fillId="15" borderId="0" xfId="0" applyNumberFormat="1" applyFont="1" applyFill="1"/>
    <xf numFmtId="9" fontId="47" fillId="4" borderId="6" xfId="0" applyNumberFormat="1" applyFont="1" applyFill="1" applyBorder="1" applyAlignment="1">
      <alignment horizontal="center" vertical="center"/>
    </xf>
    <xf numFmtId="0" fontId="74" fillId="0" borderId="11" xfId="0" applyFont="1" applyBorder="1"/>
    <xf numFmtId="0" fontId="48" fillId="15" borderId="11" xfId="0" applyFont="1" applyFill="1" applyBorder="1"/>
    <xf numFmtId="0" fontId="69" fillId="0" borderId="11" xfId="0" applyFont="1" applyBorder="1" applyAlignment="1">
      <alignment horizontal="center"/>
    </xf>
    <xf numFmtId="0" fontId="48" fillId="0" borderId="11" xfId="0" applyFont="1" applyBorder="1"/>
    <xf numFmtId="164" fontId="50" fillId="17" borderId="7" xfId="0" applyNumberFormat="1" applyFont="1" applyFill="1" applyBorder="1" applyAlignment="1">
      <alignment horizontal="center" vertical="center"/>
    </xf>
    <xf numFmtId="164" fontId="50" fillId="17" borderId="4" xfId="0" applyNumberFormat="1" applyFont="1" applyFill="1" applyBorder="1" applyAlignment="1">
      <alignment horizontal="center" vertical="center"/>
    </xf>
    <xf numFmtId="9" fontId="48" fillId="15" borderId="0" xfId="0" applyNumberFormat="1" applyFont="1" applyFill="1"/>
    <xf numFmtId="164" fontId="75" fillId="15" borderId="0" xfId="0" applyNumberFormat="1" applyFont="1" applyFill="1" applyAlignment="1">
      <alignment horizontal="center" vertical="center"/>
    </xf>
    <xf numFmtId="3" fontId="50" fillId="15" borderId="0" xfId="0" applyNumberFormat="1" applyFont="1" applyFill="1"/>
    <xf numFmtId="166" fontId="53" fillId="15" borderId="0" xfId="2" applyNumberFormat="1" applyFont="1" applyFill="1" applyBorder="1"/>
    <xf numFmtId="166" fontId="53" fillId="17" borderId="8" xfId="2" applyNumberFormat="1" applyFont="1" applyFill="1" applyBorder="1"/>
    <xf numFmtId="166" fontId="53" fillId="17" borderId="10" xfId="2" applyNumberFormat="1" applyFont="1" applyFill="1" applyBorder="1"/>
    <xf numFmtId="164" fontId="50" fillId="15" borderId="0" xfId="0" applyNumberFormat="1" applyFont="1" applyFill="1" applyAlignment="1">
      <alignment horizontal="right"/>
    </xf>
    <xf numFmtId="9" fontId="52" fillId="15" borderId="0" xfId="2" applyFont="1" applyFill="1" applyBorder="1" applyAlignment="1">
      <alignment horizontal="center" vertical="center"/>
    </xf>
    <xf numFmtId="9" fontId="52" fillId="17" borderId="6" xfId="2" applyFont="1" applyFill="1" applyBorder="1" applyAlignment="1">
      <alignment horizontal="center" vertical="center"/>
    </xf>
    <xf numFmtId="0" fontId="3" fillId="0" borderId="8" xfId="0" applyFont="1" applyBorder="1"/>
    <xf numFmtId="3" fontId="0" fillId="0" borderId="10" xfId="0" applyNumberFormat="1" applyBorder="1"/>
    <xf numFmtId="166" fontId="50" fillId="0" borderId="0" xfId="2" applyNumberFormat="1" applyFont="1" applyAlignment="1">
      <alignment horizontal="center"/>
    </xf>
    <xf numFmtId="0" fontId="14" fillId="3" borderId="1" xfId="0" applyFont="1" applyFill="1" applyBorder="1" applyAlignment="1">
      <alignment horizontal="center"/>
    </xf>
    <xf numFmtId="167" fontId="53" fillId="17" borderId="6" xfId="0" applyNumberFormat="1" applyFont="1" applyFill="1" applyBorder="1"/>
    <xf numFmtId="0" fontId="70" fillId="15" borderId="0" xfId="0" applyFont="1" applyFill="1" applyAlignment="1">
      <alignment horizontal="center"/>
    </xf>
    <xf numFmtId="0" fontId="0" fillId="19" borderId="0" xfId="0" applyFill="1"/>
    <xf numFmtId="0" fontId="2" fillId="19" borderId="0" xfId="0" applyFont="1" applyFill="1"/>
    <xf numFmtId="0" fontId="2" fillId="19" borderId="0" xfId="0" applyFont="1" applyFill="1" applyAlignment="1">
      <alignment horizontal="center"/>
    </xf>
    <xf numFmtId="0" fontId="71" fillId="0" borderId="0" xfId="0" applyFont="1"/>
    <xf numFmtId="164" fontId="50" fillId="0" borderId="11" xfId="0" applyNumberFormat="1" applyFont="1" applyBorder="1" applyAlignment="1">
      <alignment horizontal="center"/>
    </xf>
    <xf numFmtId="164" fontId="50" fillId="0" borderId="14" xfId="0" applyNumberFormat="1" applyFont="1" applyBorder="1" applyAlignment="1">
      <alignment horizontal="center"/>
    </xf>
    <xf numFmtId="0" fontId="0" fillId="0" borderId="14" xfId="0" applyBorder="1"/>
    <xf numFmtId="178" fontId="50" fillId="0" borderId="6" xfId="0" applyNumberFormat="1" applyFont="1" applyBorder="1" applyAlignment="1">
      <alignment horizontal="center"/>
    </xf>
    <xf numFmtId="180" fontId="50" fillId="0" borderId="6" xfId="0" applyNumberFormat="1" applyFont="1" applyBorder="1" applyAlignment="1">
      <alignment horizontal="center"/>
    </xf>
    <xf numFmtId="166" fontId="50" fillId="0" borderId="6" xfId="2" applyNumberFormat="1" applyFont="1" applyBorder="1" applyAlignment="1">
      <alignment horizontal="center"/>
    </xf>
    <xf numFmtId="1" fontId="50" fillId="0" borderId="6" xfId="0" applyNumberFormat="1" applyFont="1" applyBorder="1" applyAlignment="1">
      <alignment horizontal="center"/>
    </xf>
    <xf numFmtId="181" fontId="7" fillId="0" borderId="0" xfId="0" applyNumberFormat="1" applyFont="1" applyAlignment="1">
      <alignment horizontal="center" vertical="center"/>
    </xf>
    <xf numFmtId="3" fontId="8" fillId="16" borderId="0" xfId="0" applyNumberFormat="1" applyFont="1" applyFill="1" applyAlignment="1">
      <alignment horizontal="center" vertical="center"/>
    </xf>
    <xf numFmtId="166" fontId="70" fillId="0" borderId="0" xfId="0" applyNumberFormat="1" applyFont="1" applyAlignment="1">
      <alignment horizontal="center"/>
    </xf>
    <xf numFmtId="166" fontId="0" fillId="0" borderId="0" xfId="0" applyNumberFormat="1"/>
    <xf numFmtId="0" fontId="76" fillId="0" borderId="11" xfId="0" applyFont="1" applyBorder="1"/>
    <xf numFmtId="0" fontId="76" fillId="0" borderId="14" xfId="0" applyFont="1" applyBorder="1"/>
    <xf numFmtId="0" fontId="76" fillId="0" borderId="0" xfId="0" applyFont="1"/>
    <xf numFmtId="166" fontId="0" fillId="0" borderId="0" xfId="2" applyNumberFormat="1" applyFont="1" applyAlignment="1">
      <alignment horizontal="center" vertical="center"/>
    </xf>
    <xf numFmtId="177" fontId="4" fillId="15" borderId="0" xfId="0" applyNumberFormat="1" applyFont="1" applyFill="1" applyAlignment="1">
      <alignment horizontal="center"/>
    </xf>
    <xf numFmtId="166" fontId="77" fillId="0" borderId="0" xfId="2" applyNumberFormat="1" applyFont="1" applyAlignment="1">
      <alignment horizontal="center"/>
    </xf>
    <xf numFmtId="166" fontId="77" fillId="0" borderId="0" xfId="2" applyNumberFormat="1" applyFont="1" applyAlignment="1">
      <alignment horizontal="center" vertical="center"/>
    </xf>
    <xf numFmtId="178" fontId="0" fillId="0" borderId="0" xfId="0" applyNumberFormat="1"/>
    <xf numFmtId="166" fontId="4" fillId="0" borderId="0" xfId="0" applyNumberFormat="1" applyFont="1"/>
    <xf numFmtId="164" fontId="78" fillId="0" borderId="0" xfId="0" applyNumberFormat="1" applyFont="1" applyAlignment="1">
      <alignment horizontal="center"/>
    </xf>
    <xf numFmtId="178" fontId="78" fillId="0" borderId="0" xfId="0" applyNumberFormat="1" applyFont="1" applyAlignment="1">
      <alignment horizontal="center"/>
    </xf>
    <xf numFmtId="165" fontId="53" fillId="0" borderId="6" xfId="0" applyNumberFormat="1" applyFont="1" applyBorder="1"/>
    <xf numFmtId="9" fontId="16" fillId="0" borderId="0" xfId="2" applyFont="1" applyAlignment="1">
      <alignment horizontal="center"/>
    </xf>
    <xf numFmtId="10" fontId="0" fillId="0" borderId="0" xfId="0" applyNumberFormat="1"/>
    <xf numFmtId="9" fontId="4" fillId="0" borderId="0" xfId="2" applyFont="1" applyAlignment="1">
      <alignment horizontal="center" vertical="center"/>
    </xf>
    <xf numFmtId="166" fontId="3" fillId="0" borderId="0" xfId="2" applyNumberFormat="1" applyFont="1" applyAlignment="1">
      <alignment horizontal="center" wrapText="1"/>
    </xf>
    <xf numFmtId="10" fontId="3" fillId="0" borderId="0" xfId="2" applyNumberFormat="1" applyFont="1" applyAlignment="1">
      <alignment horizontal="center" wrapText="1"/>
    </xf>
    <xf numFmtId="0" fontId="5" fillId="2" borderId="0" xfId="0" applyFont="1" applyFill="1" applyAlignment="1">
      <alignment horizontal="center" vertical="center"/>
    </xf>
    <xf numFmtId="166" fontId="0" fillId="0" borderId="0" xfId="2" applyNumberFormat="1" applyFont="1" applyAlignment="1">
      <alignment horizontal="right" vertical="center" indent="1"/>
    </xf>
    <xf numFmtId="166" fontId="4" fillId="0" borderId="0" xfId="2" applyNumberFormat="1" applyFont="1" applyAlignment="1">
      <alignment horizontal="center"/>
    </xf>
    <xf numFmtId="165" fontId="4" fillId="0" borderId="0" xfId="0" applyNumberFormat="1" applyFont="1"/>
    <xf numFmtId="165" fontId="0" fillId="0" borderId="0" xfId="2" applyNumberFormat="1" applyFont="1" applyAlignment="1">
      <alignment horizontal="center"/>
    </xf>
    <xf numFmtId="166" fontId="0" fillId="0" borderId="0" xfId="2" applyNumberFormat="1" applyFont="1" applyAlignment="1">
      <alignment horizontal="left" indent="5"/>
    </xf>
    <xf numFmtId="166" fontId="0" fillId="0" borderId="0" xfId="2" applyNumberFormat="1" applyFont="1" applyAlignment="1">
      <alignment horizontal="right" indent="1"/>
    </xf>
    <xf numFmtId="9" fontId="0" fillId="0" borderId="0" xfId="2" applyFont="1" applyAlignment="1">
      <alignment horizontal="right" inden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0</xdr:rowOff>
    </xdr:from>
    <xdr:to>
      <xdr:col>12</xdr:col>
      <xdr:colOff>1</xdr:colOff>
      <xdr:row>2</xdr:row>
      <xdr:rowOff>10583</xdr:rowOff>
    </xdr:to>
    <xdr:sp macro="" textlink="">
      <xdr:nvSpPr>
        <xdr:cNvPr id="2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072DF6-51A7-466D-87D9-EC977969F904}"/>
            </a:ext>
          </a:extLst>
        </xdr:cNvPr>
        <xdr:cNvSpPr/>
      </xdr:nvSpPr>
      <xdr:spPr>
        <a:xfrm>
          <a:off x="196851" y="184150"/>
          <a:ext cx="14471650" cy="226483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5040</xdr:rowOff>
    </xdr:from>
    <xdr:to>
      <xdr:col>2</xdr:col>
      <xdr:colOff>122600</xdr:colOff>
      <xdr:row>3</xdr:row>
      <xdr:rowOff>74860</xdr:rowOff>
    </xdr:to>
    <xdr:pic>
      <xdr:nvPicPr>
        <xdr:cNvPr id="2" name="Picture 7" descr="DIRETOUR em Lauro de Freitas - Sympla">
          <a:extLst>
            <a:ext uri="{FF2B5EF4-FFF2-40B4-BE49-F238E27FC236}">
              <a16:creationId xmlns:a16="http://schemas.microsoft.com/office/drawing/2014/main" id="{95566740-742A-47F9-8FC5-481849A17DD5}"/>
            </a:ext>
          </a:extLst>
        </xdr:cNvPr>
        <xdr:cNvPicPr/>
      </xdr:nvPicPr>
      <xdr:blipFill>
        <a:blip xmlns:r="http://schemas.openxmlformats.org/officeDocument/2006/relationships" r:embed="rId1"/>
        <a:srcRect l="13307" t="38821" r="13790" b="37924"/>
        <a:stretch/>
      </xdr:blipFill>
      <xdr:spPr>
        <a:xfrm>
          <a:off x="107950" y="87590"/>
          <a:ext cx="2707050" cy="438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984110</xdr:colOff>
      <xdr:row>3</xdr:row>
      <xdr:rowOff>64580</xdr:rowOff>
    </xdr:to>
    <xdr:pic>
      <xdr:nvPicPr>
        <xdr:cNvPr id="2" name="Picture 2" descr="Riva Incorporadora - YouTube">
          <a:extLst>
            <a:ext uri="{FF2B5EF4-FFF2-40B4-BE49-F238E27FC236}">
              <a16:creationId xmlns:a16="http://schemas.microsoft.com/office/drawing/2014/main" id="{A57805EF-8837-40D9-BFC5-338A290DE601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085710" cy="61703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658440</xdr:colOff>
      <xdr:row>0</xdr:row>
      <xdr:rowOff>59400</xdr:rowOff>
    </xdr:from>
    <xdr:to>
      <xdr:col>1</xdr:col>
      <xdr:colOff>2242540</xdr:colOff>
      <xdr:row>3</xdr:row>
      <xdr:rowOff>5660</xdr:rowOff>
    </xdr:to>
    <xdr:pic>
      <xdr:nvPicPr>
        <xdr:cNvPr id="2" name="Picture 5" descr="Cury - A Construtora da sua casa">
          <a:extLst>
            <a:ext uri="{FF2B5EF4-FFF2-40B4-BE49-F238E27FC236}">
              <a16:creationId xmlns:a16="http://schemas.microsoft.com/office/drawing/2014/main" id="{7643A07A-C82E-436A-9ED4-ED1EFD7B490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6390" y="59400"/>
          <a:ext cx="1571400" cy="498710"/>
        </a:xfrm>
        <a:prstGeom prst="rect">
          <a:avLst/>
        </a:prstGeom>
        <a:ln w="0"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uilherme Simoes" id="{B013C3EA-D32D-419D-851A-908CF6112A2C}" userId="012ad68a2f6842a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1" dT="2026-05-12T13:42:54.24" personId="{B013C3EA-D32D-419D-851A-908CF6112A2C}" id="{D8ACA24E-3209-4952-A2CD-7617F0768B6C}">
    <text>Média historica da %</text>
  </threadedComment>
  <threadedComment ref="G190" dT="2026-05-14T04:38:15.55" personId="{B013C3EA-D32D-419D-851A-908CF6112A2C}" id="{A698EC91-EAE6-42F7-862E-0C934F20BEF7}">
    <text xml:space="preserve">Adicionamos um prêmio de +2%, dado que em 2025 eles se alavancaram muito por conta do pagamento extraordinário de dividendos. Que vai diminuindo ao tempo que a alavancagem diminui
</text>
  </threadedComment>
  <threadedComment ref="C191" dT="2026-05-14T04:37:36.12" personId="{B013C3EA-D32D-419D-851A-908CF6112A2C}" id="{B1081315-9D0F-4A14-9758-4DC8773DDB2A}">
    <text xml:space="preserve">Kd de 14% reflete o custo médio ponderado da estrutura de capital atual, combinando SFH a TR + 8-9%, CRIs recentes a ~100% CDI (~13%) e debêntures legadas a CDI + 1,0-1,5%, em linha com o patamar de juros do ciclo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9" dT="2026-05-15T09:40:33.95" personId="{B013C3EA-D32D-419D-851A-908CF6112A2C}" id="{253A2570-B038-4878-A18F-EF4D1E4C5CDC}">
    <text>Em conversa com gerentes, decidimos aumentar +2% no Ke</text>
  </threadedComment>
  <threadedComment ref="C32" dT="2026-05-14T04:21:16.27" personId="{B013C3EA-D32D-419D-851A-908CF6112A2C}" id="{D1DA2658-4F89-41BA-9416-A70EDBEAE383}">
    <text>Pegamos a ultima emissão de dívida da Direcional que foi 100% do CDI e adicionamos um premio de + 1% pois hoje ela já se encontra muito mais alavancada do que na época em que emitiu a dívida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48FD6-2C20-4F63-AA82-3547D5A900B2}">
  <sheetPr>
    <tabColor rgb="FF002060"/>
  </sheetPr>
  <dimension ref="A1:AG210"/>
  <sheetViews>
    <sheetView showGridLines="0" tabSelected="1" zoomScale="89" workbookViewId="0">
      <pane ySplit="1" topLeftCell="A2" activePane="bottomLeft" state="frozen"/>
      <selection pane="bottomLeft" activeCell="A2" sqref="A2"/>
    </sheetView>
  </sheetViews>
  <sheetFormatPr defaultColWidth="8.6328125" defaultRowHeight="14.5" x14ac:dyDescent="0.35"/>
  <cols>
    <col min="1" max="1" width="4" customWidth="1"/>
    <col min="2" max="2" width="38" customWidth="1"/>
    <col min="3" max="10" width="12.6328125" style="193" customWidth="1"/>
    <col min="11" max="11" width="12.6328125" style="277" customWidth="1"/>
    <col min="12" max="13" width="12.6328125" customWidth="1"/>
  </cols>
  <sheetData>
    <row r="1" spans="1:33" ht="21.75" customHeight="1" x14ac:dyDescent="0.35">
      <c r="A1" s="176"/>
      <c r="B1" s="178" t="s">
        <v>447</v>
      </c>
      <c r="C1" s="179" t="s">
        <v>83</v>
      </c>
      <c r="D1" s="179" t="s">
        <v>84</v>
      </c>
      <c r="E1" s="179" t="s">
        <v>85</v>
      </c>
      <c r="F1" s="179" t="s">
        <v>86</v>
      </c>
      <c r="G1" s="180" t="s">
        <v>5</v>
      </c>
      <c r="H1" s="180" t="s">
        <v>6</v>
      </c>
      <c r="I1" s="180" t="s">
        <v>7</v>
      </c>
      <c r="J1" s="180" t="s">
        <v>8</v>
      </c>
    </row>
    <row r="2" spans="1:33" ht="21.75" customHeight="1" thickBot="1" x14ac:dyDescent="0.5">
      <c r="A2" s="169" t="s">
        <v>110</v>
      </c>
      <c r="B2" s="170" t="s">
        <v>321</v>
      </c>
      <c r="C2" s="181"/>
      <c r="D2" s="181"/>
      <c r="E2" s="181"/>
      <c r="F2" s="181"/>
      <c r="G2" s="181"/>
      <c r="H2" s="181"/>
      <c r="I2" s="181"/>
      <c r="J2" s="181"/>
    </row>
    <row r="3" spans="1:33" ht="14.25" customHeight="1" x14ac:dyDescent="0.35">
      <c r="B3" s="5" t="s">
        <v>322</v>
      </c>
      <c r="C3" s="190"/>
      <c r="D3" s="190"/>
      <c r="E3" s="190"/>
      <c r="F3" s="190">
        <f>'Buildup da Receita'!Y6 * 1000</f>
        <v>6858000</v>
      </c>
      <c r="G3" s="341">
        <v>7543800</v>
      </c>
      <c r="H3" s="341">
        <v>7996428</v>
      </c>
      <c r="I3" s="341">
        <v>8396249</v>
      </c>
      <c r="J3" s="341">
        <v>8816062</v>
      </c>
    </row>
    <row r="4" spans="1:33" ht="14.25" customHeight="1" x14ac:dyDescent="0.35">
      <c r="B4" s="5" t="s">
        <v>323</v>
      </c>
      <c r="C4" s="191"/>
      <c r="D4" s="192"/>
      <c r="E4" s="192"/>
      <c r="F4" s="192"/>
      <c r="G4" s="255">
        <f>G3/F3-1</f>
        <v>0.10000000000000009</v>
      </c>
      <c r="H4" s="255">
        <f>H3/G3-1</f>
        <v>6.0000000000000053E-2</v>
      </c>
      <c r="I4" s="255">
        <f>I3/H3-1</f>
        <v>4.9999949977665104E-2</v>
      </c>
      <c r="J4" s="255">
        <f>J3/I3-1</f>
        <v>5.0000065505441782E-2</v>
      </c>
    </row>
    <row r="5" spans="1:33" ht="14.25" customHeight="1" x14ac:dyDescent="0.35">
      <c r="B5" s="19" t="s">
        <v>324</v>
      </c>
      <c r="G5" s="206"/>
      <c r="H5" s="206"/>
      <c r="I5" s="206"/>
      <c r="J5" s="206"/>
      <c r="AB5" s="182"/>
      <c r="AC5" s="183">
        <v>0.13</v>
      </c>
      <c r="AD5" s="183">
        <v>0.16</v>
      </c>
      <c r="AE5" s="183">
        <v>0.19</v>
      </c>
      <c r="AF5" s="183">
        <v>0.22</v>
      </c>
      <c r="AG5" s="183">
        <v>0.25</v>
      </c>
    </row>
    <row r="6" spans="1:33" ht="14.25" customHeight="1" x14ac:dyDescent="0.35">
      <c r="B6" s="5" t="s">
        <v>325</v>
      </c>
      <c r="C6" s="194"/>
      <c r="D6" s="194"/>
      <c r="E6" s="194"/>
      <c r="F6" s="194"/>
      <c r="G6" s="261">
        <v>0.4</v>
      </c>
      <c r="H6" s="261">
        <v>0.39</v>
      </c>
      <c r="I6" s="261">
        <v>0.38500000000000001</v>
      </c>
      <c r="J6" s="261">
        <v>0.38500000000000001</v>
      </c>
      <c r="K6" s="342"/>
      <c r="L6" s="343"/>
      <c r="AB6" s="183">
        <v>0.34</v>
      </c>
      <c r="AC6" s="184">
        <v>-0.42399999999999999</v>
      </c>
      <c r="AD6" s="184">
        <v>-0.34399999999999997</v>
      </c>
      <c r="AE6" s="184">
        <v>-0.27200000000000002</v>
      </c>
      <c r="AF6" s="184">
        <v>-0.21199999999999999</v>
      </c>
      <c r="AG6" s="184">
        <v>-0.16600000000000001</v>
      </c>
    </row>
    <row r="7" spans="1:33" ht="14.25" customHeight="1" x14ac:dyDescent="0.35">
      <c r="B7" s="5" t="s">
        <v>326</v>
      </c>
      <c r="C7" s="194"/>
      <c r="D7" s="194"/>
      <c r="E7" s="194"/>
      <c r="F7" s="194"/>
      <c r="G7" s="261">
        <v>0.09</v>
      </c>
      <c r="H7" s="261">
        <v>8.8999999999999996E-2</v>
      </c>
      <c r="I7" s="261">
        <v>8.7999999999999995E-2</v>
      </c>
      <c r="J7" s="261">
        <v>8.6999999999999994E-2</v>
      </c>
      <c r="Q7" s="12"/>
      <c r="R7" s="12"/>
      <c r="S7" s="12"/>
      <c r="T7" s="12"/>
      <c r="U7" s="12"/>
      <c r="V7" s="12"/>
      <c r="AB7" s="183">
        <v>0.36</v>
      </c>
      <c r="AC7" s="184">
        <v>-0.193</v>
      </c>
      <c r="AD7" s="184">
        <v>-0.10299999999999999</v>
      </c>
      <c r="AE7" s="184">
        <v>-2.4E-2</v>
      </c>
      <c r="AF7" s="184">
        <v>3.9E-2</v>
      </c>
      <c r="AG7" s="184">
        <v>8.7999999999999995E-2</v>
      </c>
    </row>
    <row r="8" spans="1:33" ht="14.25" customHeight="1" x14ac:dyDescent="0.35">
      <c r="B8" s="5" t="s">
        <v>327</v>
      </c>
      <c r="C8" s="194"/>
      <c r="D8" s="194"/>
      <c r="E8" s="194"/>
      <c r="F8" s="194"/>
      <c r="G8" s="261">
        <v>0.06</v>
      </c>
      <c r="H8" s="261">
        <v>5.8999999999999997E-2</v>
      </c>
      <c r="I8" s="261">
        <v>5.8000000000000003E-2</v>
      </c>
      <c r="J8" s="261">
        <v>5.7000000000000002E-2</v>
      </c>
      <c r="Q8" s="12"/>
      <c r="R8" s="12"/>
      <c r="S8" s="12"/>
      <c r="T8" s="12"/>
      <c r="U8" s="12"/>
      <c r="V8" s="12"/>
      <c r="AB8" s="183">
        <v>0.38</v>
      </c>
      <c r="AC8" s="184">
        <v>3.7999999999999999E-2</v>
      </c>
      <c r="AD8" s="184">
        <v>0.13800000000000001</v>
      </c>
      <c r="AE8" s="184">
        <v>0.223</v>
      </c>
      <c r="AF8" s="184">
        <v>0.28999999999999998</v>
      </c>
      <c r="AG8" s="184">
        <v>0.34200000000000003</v>
      </c>
    </row>
    <row r="9" spans="1:33" ht="14.25" customHeight="1" x14ac:dyDescent="0.35">
      <c r="B9" s="5" t="s">
        <v>328</v>
      </c>
      <c r="C9" s="194"/>
      <c r="D9" s="194"/>
      <c r="E9" s="194"/>
      <c r="F9" s="194"/>
      <c r="G9" s="261">
        <v>0.02</v>
      </c>
      <c r="H9" s="261">
        <v>1.9E-2</v>
      </c>
      <c r="I9" s="261">
        <v>1.7999999999999999E-2</v>
      </c>
      <c r="J9" s="261">
        <v>1.7000000000000001E-2</v>
      </c>
      <c r="Q9" s="12"/>
      <c r="R9" s="12"/>
      <c r="S9" s="12"/>
      <c r="T9" s="12"/>
      <c r="U9" s="12"/>
      <c r="V9" s="12"/>
      <c r="AB9" s="183">
        <v>0.4</v>
      </c>
      <c r="AC9" s="184">
        <v>0.27</v>
      </c>
      <c r="AD9" s="184">
        <v>0.379</v>
      </c>
      <c r="AE9" s="184">
        <v>0.47</v>
      </c>
      <c r="AF9" s="184">
        <v>0.54200000000000004</v>
      </c>
      <c r="AG9" s="184">
        <v>0.59599999999999997</v>
      </c>
    </row>
    <row r="10" spans="1:33" ht="14.25" customHeight="1" x14ac:dyDescent="0.35">
      <c r="B10" s="5" t="s">
        <v>329</v>
      </c>
      <c r="C10" s="194"/>
      <c r="D10" s="194"/>
      <c r="E10" s="194"/>
      <c r="F10" s="194"/>
      <c r="G10" s="255">
        <v>0.04</v>
      </c>
      <c r="H10" s="255">
        <v>0.04</v>
      </c>
      <c r="I10" s="255">
        <v>0.04</v>
      </c>
      <c r="J10" s="255">
        <v>0.04</v>
      </c>
      <c r="Q10" s="12"/>
      <c r="R10" s="12"/>
      <c r="S10" s="12"/>
      <c r="T10" s="12"/>
      <c r="U10" s="12"/>
      <c r="V10" s="12"/>
      <c r="AB10" s="183">
        <v>0.42</v>
      </c>
      <c r="AC10" s="184">
        <v>0.501</v>
      </c>
      <c r="AD10" s="184">
        <v>0.62</v>
      </c>
      <c r="AE10" s="184">
        <v>0.71699999999999997</v>
      </c>
      <c r="AF10" s="184">
        <v>0.79300000000000004</v>
      </c>
      <c r="AG10" s="184">
        <v>0.85</v>
      </c>
    </row>
    <row r="11" spans="1:33" ht="14.25" customHeight="1" x14ac:dyDescent="0.35">
      <c r="B11" s="5" t="s">
        <v>424</v>
      </c>
      <c r="C11" s="194"/>
      <c r="D11" s="194"/>
      <c r="E11" s="194"/>
      <c r="F11" s="194"/>
      <c r="G11" s="261">
        <v>1.7999999999999999E-2</v>
      </c>
      <c r="H11" s="261">
        <f>G11</f>
        <v>1.7999999999999999E-2</v>
      </c>
      <c r="I11" s="261">
        <f t="shared" ref="I11:J11" si="0">H11</f>
        <v>1.7999999999999999E-2</v>
      </c>
      <c r="J11" s="261">
        <f t="shared" si="0"/>
        <v>1.7999999999999999E-2</v>
      </c>
      <c r="Q11" s="12"/>
      <c r="R11" s="12"/>
      <c r="S11" s="12"/>
      <c r="T11" s="12"/>
      <c r="U11" s="12"/>
      <c r="V11" s="12"/>
      <c r="AB11" s="183"/>
      <c r="AC11" s="184"/>
      <c r="AD11" s="184"/>
      <c r="AE11" s="184"/>
      <c r="AF11" s="184"/>
      <c r="AG11" s="184"/>
    </row>
    <row r="12" spans="1:33" ht="14.25" customHeight="1" x14ac:dyDescent="0.35">
      <c r="B12" s="5" t="s">
        <v>330</v>
      </c>
      <c r="C12" s="194"/>
      <c r="D12" s="194"/>
      <c r="E12" s="194"/>
      <c r="F12" s="194"/>
      <c r="G12" s="255">
        <f>25% + Multiplos!L13</f>
        <v>0.25</v>
      </c>
      <c r="H12" s="255">
        <f>60% + Multiplos!L13</f>
        <v>0.6</v>
      </c>
      <c r="I12" s="255">
        <f>70% + Multiplos!L13</f>
        <v>0.7</v>
      </c>
      <c r="J12" s="255">
        <f>80% + Multiplos!L13</f>
        <v>0.8</v>
      </c>
      <c r="Q12" s="12"/>
      <c r="R12" s="12"/>
      <c r="S12" s="12"/>
      <c r="T12" s="12"/>
      <c r="U12" s="12"/>
      <c r="V12" s="12"/>
    </row>
    <row r="13" spans="1:33" ht="14.25" customHeight="1" x14ac:dyDescent="0.35">
      <c r="B13" s="171" t="s">
        <v>331</v>
      </c>
      <c r="G13" s="255">
        <v>0.15</v>
      </c>
      <c r="H13" s="255">
        <v>0.15</v>
      </c>
      <c r="I13" s="255">
        <f>H13</f>
        <v>0.15</v>
      </c>
      <c r="J13" s="255">
        <f>I13</f>
        <v>0.15</v>
      </c>
      <c r="Q13" s="12"/>
      <c r="R13" s="12"/>
      <c r="S13" s="12"/>
      <c r="T13" s="12"/>
      <c r="U13" s="12"/>
      <c r="V13" s="12"/>
    </row>
    <row r="14" spans="1:33" x14ac:dyDescent="0.35">
      <c r="B14" s="5" t="s">
        <v>425</v>
      </c>
      <c r="G14" s="261">
        <v>2.1000000000000001E-2</v>
      </c>
      <c r="H14" s="261">
        <f>G14</f>
        <v>2.1000000000000001E-2</v>
      </c>
      <c r="I14" s="261">
        <f t="shared" ref="I14:J14" si="1">H14</f>
        <v>2.1000000000000001E-2</v>
      </c>
      <c r="J14" s="261">
        <f t="shared" si="1"/>
        <v>2.1000000000000001E-2</v>
      </c>
      <c r="R14" s="12"/>
      <c r="S14" s="12"/>
      <c r="T14" s="12"/>
      <c r="U14" s="12"/>
      <c r="V14" s="12"/>
    </row>
    <row r="15" spans="1:33" ht="18" customHeight="1" thickBot="1" x14ac:dyDescent="0.5">
      <c r="A15" s="169" t="s">
        <v>110</v>
      </c>
      <c r="B15" s="172" t="s">
        <v>332</v>
      </c>
      <c r="C15" s="196"/>
      <c r="D15" s="196"/>
      <c r="E15" s="196"/>
      <c r="F15" s="196"/>
      <c r="G15" s="196"/>
      <c r="H15" s="196"/>
      <c r="I15" s="196"/>
      <c r="J15" s="196"/>
    </row>
    <row r="17" spans="2:12" ht="14.25" customHeight="1" x14ac:dyDescent="0.35">
      <c r="B17" s="241" t="s">
        <v>333</v>
      </c>
      <c r="C17" s="242"/>
      <c r="D17" s="242"/>
      <c r="E17" s="242"/>
      <c r="F17" s="242"/>
      <c r="G17" s="198"/>
      <c r="H17" s="198"/>
      <c r="I17" s="198"/>
      <c r="J17" s="198"/>
    </row>
    <row r="18" spans="2:12" ht="14.25" customHeight="1" x14ac:dyDescent="0.35">
      <c r="B18" s="243" t="s">
        <v>334</v>
      </c>
      <c r="C18" s="244"/>
      <c r="D18" s="244"/>
      <c r="E18" s="244"/>
      <c r="F18" s="244"/>
      <c r="G18" s="198"/>
      <c r="H18" s="198"/>
      <c r="I18" s="198"/>
      <c r="J18" s="198"/>
    </row>
    <row r="19" spans="2:12" ht="14.25" customHeight="1" x14ac:dyDescent="0.35">
      <c r="B19" s="9" t="s">
        <v>335</v>
      </c>
      <c r="C19" s="240">
        <f>'Inputs - DRE'!R5</f>
        <v>2162616</v>
      </c>
      <c r="D19" s="240">
        <f>'Inputs - DRE'!M5</f>
        <v>2355183</v>
      </c>
      <c r="E19" s="240">
        <f>'Inputs - DRE'!H5</f>
        <v>3348470</v>
      </c>
      <c r="F19" s="240">
        <f>'Inputs - DRE'!C5</f>
        <v>4343008</v>
      </c>
      <c r="G19" s="240">
        <f>'Buildup da Receita'!AE40*1000</f>
        <v>5465102.7655305732</v>
      </c>
      <c r="H19" s="240">
        <f>'Buildup da Receita'!AK40*1000</f>
        <v>6499946.8686437514</v>
      </c>
      <c r="I19" s="240">
        <f>'Buildup da Receita'!AQ40*1000</f>
        <v>7256210.6306017684</v>
      </c>
      <c r="J19" s="240">
        <f>'Buildup da Receita'!AW40*1000</f>
        <v>7715735.8947766889</v>
      </c>
    </row>
    <row r="20" spans="2:12" ht="14.25" customHeight="1" x14ac:dyDescent="0.35">
      <c r="B20" s="5" t="s">
        <v>336</v>
      </c>
      <c r="C20" s="199">
        <f>'Inputs - DRE'!R6</f>
        <v>-1428891</v>
      </c>
      <c r="D20" s="199">
        <f>'Inputs - DRE'!M6</f>
        <v>-1550208</v>
      </c>
      <c r="E20" s="199">
        <f>'Inputs - DRE'!H6</f>
        <v>-2130127</v>
      </c>
      <c r="F20" s="199">
        <f>'Inputs - DRE'!C6</f>
        <v>-2620591</v>
      </c>
      <c r="G20" s="198">
        <f>-G19*(1-G6)</f>
        <v>-3279061.6593183437</v>
      </c>
      <c r="H20" s="198">
        <f>-H19*(1-H6)</f>
        <v>-3964967.5898726881</v>
      </c>
      <c r="I20" s="198">
        <f>-I19*(1-I6)</f>
        <v>-4462569.5378200877</v>
      </c>
      <c r="J20" s="198">
        <f>-J19*(1-J6)</f>
        <v>-4745177.5752876634</v>
      </c>
    </row>
    <row r="21" spans="2:12" ht="14.25" customHeight="1" x14ac:dyDescent="0.35">
      <c r="B21" s="9" t="s">
        <v>337</v>
      </c>
      <c r="C21" s="200">
        <f>C19+C20</f>
        <v>733725</v>
      </c>
      <c r="D21" s="200">
        <f t="shared" ref="D21:F21" si="2">D19+D20</f>
        <v>804975</v>
      </c>
      <c r="E21" s="200">
        <f t="shared" si="2"/>
        <v>1218343</v>
      </c>
      <c r="F21" s="200">
        <f t="shared" si="2"/>
        <v>1722417</v>
      </c>
      <c r="G21" s="201">
        <f>G19+G20</f>
        <v>2186041.1062122295</v>
      </c>
      <c r="H21" s="201">
        <f t="shared" ref="H21:I21" si="3">H19+H20</f>
        <v>2534979.2787710633</v>
      </c>
      <c r="I21" s="201">
        <f t="shared" si="3"/>
        <v>2793641.0927816806</v>
      </c>
      <c r="J21" s="201">
        <f>J19+J20</f>
        <v>2970558.3194890255</v>
      </c>
      <c r="K21" s="274"/>
      <c r="L21" s="259"/>
    </row>
    <row r="22" spans="2:12" ht="14.25" customHeight="1" x14ac:dyDescent="0.35">
      <c r="B22" s="5" t="s">
        <v>338</v>
      </c>
      <c r="C22" s="202">
        <f>C21/C19</f>
        <v>0.33927659834200802</v>
      </c>
      <c r="D22" s="202">
        <f t="shared" ref="D22:F22" si="4">D21/D19</f>
        <v>0.34178872724539877</v>
      </c>
      <c r="E22" s="202">
        <f t="shared" si="4"/>
        <v>0.36385065417937146</v>
      </c>
      <c r="F22" s="202">
        <f t="shared" si="4"/>
        <v>0.39659540115974917</v>
      </c>
      <c r="G22" s="202">
        <f>G6</f>
        <v>0.4</v>
      </c>
      <c r="H22" s="202">
        <f>H6</f>
        <v>0.39</v>
      </c>
      <c r="I22" s="202">
        <f>I6</f>
        <v>0.38500000000000001</v>
      </c>
      <c r="J22" s="202">
        <f>J6</f>
        <v>0.38500000000000001</v>
      </c>
      <c r="K22" s="275"/>
      <c r="L22" s="202"/>
    </row>
    <row r="23" spans="2:12" x14ac:dyDescent="0.35">
      <c r="C23" s="256"/>
      <c r="D23" s="256"/>
      <c r="E23" s="256"/>
      <c r="F23" s="256"/>
    </row>
    <row r="24" spans="2:12" ht="14.25" customHeight="1" x14ac:dyDescent="0.35">
      <c r="B24" s="5" t="s">
        <v>339</v>
      </c>
      <c r="C24" s="199">
        <f>'Inputs - DRE'!R9</f>
        <v>-203082</v>
      </c>
      <c r="D24" s="199">
        <f>'Inputs - DRE'!M9</f>
        <v>-202241.81563000014</v>
      </c>
      <c r="E24" s="199">
        <f>'Inputs - DRE'!H9</f>
        <v>-289706</v>
      </c>
      <c r="F24" s="199">
        <f>'Inputs - DRE'!C9</f>
        <v>-408037</v>
      </c>
      <c r="G24" s="198">
        <f>-G7*G19</f>
        <v>-491859.24889775156</v>
      </c>
      <c r="H24" s="198">
        <f t="shared" ref="H24:J24" si="5">-H7*H19</f>
        <v>-578495.27130929381</v>
      </c>
      <c r="I24" s="198">
        <f t="shared" si="5"/>
        <v>-638546.53549295559</v>
      </c>
      <c r="J24" s="198">
        <f t="shared" si="5"/>
        <v>-671269.02284557186</v>
      </c>
    </row>
    <row r="25" spans="2:12" ht="14.25" customHeight="1" x14ac:dyDescent="0.35">
      <c r="B25" s="5" t="s">
        <v>340</v>
      </c>
      <c r="C25" s="199">
        <f>'Inputs - DRE'!R8</f>
        <v>-151631</v>
      </c>
      <c r="D25" s="199">
        <f>'Inputs - DRE'!M8</f>
        <v>-174709.7627700002</v>
      </c>
      <c r="E25" s="199">
        <f>'Inputs - DRE'!H8</f>
        <v>-210307</v>
      </c>
      <c r="F25" s="199">
        <f>'Inputs - DRE'!C8</f>
        <v>-254781</v>
      </c>
      <c r="G25" s="198">
        <f>-G8*G19</f>
        <v>-327906.16593183437</v>
      </c>
      <c r="H25" s="198">
        <f t="shared" ref="H25:J25" si="6">-H8*H19</f>
        <v>-383496.86524998129</v>
      </c>
      <c r="I25" s="198">
        <f t="shared" si="6"/>
        <v>-420860.21657490259</v>
      </c>
      <c r="J25" s="198">
        <f t="shared" si="6"/>
        <v>-439796.94600227126</v>
      </c>
    </row>
    <row r="26" spans="2:12" ht="14.25" customHeight="1" x14ac:dyDescent="0.35">
      <c r="B26" s="5" t="s">
        <v>341</v>
      </c>
      <c r="C26" s="199">
        <f>'Inputs - DRE'!R11</f>
        <v>-25357</v>
      </c>
      <c r="D26" s="199">
        <f>'Inputs - DRE'!M11</f>
        <v>-58989.300749999973</v>
      </c>
      <c r="E26" s="199">
        <f>'Inputs - DRE'!H11</f>
        <v>-49879</v>
      </c>
      <c r="F26" s="199">
        <f>'Inputs - DRE'!C11</f>
        <v>-119095</v>
      </c>
      <c r="G26" s="198">
        <f>-G9*G19</f>
        <v>-109302.05531061147</v>
      </c>
      <c r="H26" s="198">
        <f t="shared" ref="H26:J26" si="7">-H9*H19</f>
        <v>-123498.99050423127</v>
      </c>
      <c r="I26" s="198">
        <f t="shared" si="7"/>
        <v>-130611.79135083182</v>
      </c>
      <c r="J26" s="198">
        <f t="shared" si="7"/>
        <v>-131167.51021120371</v>
      </c>
    </row>
    <row r="27" spans="2:12" ht="13.5" customHeight="1" x14ac:dyDescent="0.35">
      <c r="B27" s="5" t="s">
        <v>342</v>
      </c>
      <c r="C27" s="197">
        <f>'Inputs - DRE'!R10</f>
        <v>21758</v>
      </c>
      <c r="D27" s="197">
        <f>'Inputs - DRE'!M10</f>
        <v>53700.91414999991</v>
      </c>
      <c r="E27" s="197">
        <f>'Inputs - DRE'!H10</f>
        <v>86528</v>
      </c>
      <c r="F27" s="197">
        <f>'Inputs - DRE'!C10</f>
        <v>62631</v>
      </c>
      <c r="G27" s="198">
        <f>G11*G19</f>
        <v>98371.849779550306</v>
      </c>
      <c r="H27" s="198">
        <f t="shared" ref="H27:J27" si="8">H11*H19</f>
        <v>116999.04363558751</v>
      </c>
      <c r="I27" s="198">
        <f t="shared" si="8"/>
        <v>130611.79135083182</v>
      </c>
      <c r="J27" s="198">
        <f t="shared" si="8"/>
        <v>138883.24610598039</v>
      </c>
    </row>
    <row r="28" spans="2:12" ht="13.5" customHeight="1" x14ac:dyDescent="0.35">
      <c r="B28" s="5" t="s">
        <v>426</v>
      </c>
      <c r="C28" s="197"/>
      <c r="D28" s="197"/>
      <c r="E28" s="197"/>
      <c r="F28" s="197"/>
      <c r="G28" s="198">
        <f>G199</f>
        <v>-105429.43475</v>
      </c>
      <c r="H28" s="198">
        <f t="shared" ref="H28:J28" si="9">H199</f>
        <v>-105337.76456038933</v>
      </c>
      <c r="I28" s="198">
        <f t="shared" si="9"/>
        <v>-113356.12724126075</v>
      </c>
      <c r="J28" s="198">
        <f t="shared" si="9"/>
        <v>-124024.70931922864</v>
      </c>
    </row>
    <row r="29" spans="2:12" ht="13.5" customHeight="1" x14ac:dyDescent="0.35">
      <c r="B29" s="9" t="s">
        <v>448</v>
      </c>
      <c r="C29" s="197">
        <f>C27+C26+C25+C24+C21</f>
        <v>375413</v>
      </c>
      <c r="D29" s="197">
        <f t="shared" ref="D29:J29" si="10">D27+D26+D25+D24+D21</f>
        <v>422735.03499999957</v>
      </c>
      <c r="E29" s="197">
        <f t="shared" si="10"/>
        <v>754979</v>
      </c>
      <c r="F29" s="197">
        <f t="shared" si="10"/>
        <v>1003135</v>
      </c>
      <c r="G29" s="200">
        <f t="shared" si="10"/>
        <v>1355345.4858515824</v>
      </c>
      <c r="H29" s="200">
        <f t="shared" si="10"/>
        <v>1566487.1953431445</v>
      </c>
      <c r="I29" s="200">
        <f t="shared" si="10"/>
        <v>1734234.3407138225</v>
      </c>
      <c r="J29" s="200">
        <f t="shared" si="10"/>
        <v>1867208.086535959</v>
      </c>
    </row>
    <row r="30" spans="2:12" ht="14.25" customHeight="1" x14ac:dyDescent="0.35">
      <c r="B30" s="9" t="s">
        <v>343</v>
      </c>
      <c r="C30" s="200">
        <f>C21+C27+C26+C25+C24</f>
        <v>375413</v>
      </c>
      <c r="D30" s="200">
        <f>D21+D27+D26+D25+D24</f>
        <v>422735.03499999963</v>
      </c>
      <c r="E30" s="200">
        <f>E21+E27+E26+E25+E24</f>
        <v>754979</v>
      </c>
      <c r="F30" s="200">
        <f>F21+F27+F26+F25+F24</f>
        <v>1003135</v>
      </c>
      <c r="G30" s="200">
        <f>G21+G27+G26+G25+G24+G28</f>
        <v>1249916.0511015824</v>
      </c>
      <c r="H30" s="200">
        <f t="shared" ref="H30:J30" si="11">H21+H27+H26+H25+H24+H28</f>
        <v>1461149.4307827554</v>
      </c>
      <c r="I30" s="200">
        <f t="shared" si="11"/>
        <v>1620878.2134725614</v>
      </c>
      <c r="J30" s="200">
        <f t="shared" si="11"/>
        <v>1743183.377216731</v>
      </c>
    </row>
    <row r="31" spans="2:12" ht="14.25" customHeight="1" x14ac:dyDescent="0.35">
      <c r="B31" s="5" t="s">
        <v>344</v>
      </c>
      <c r="C31" s="202">
        <f t="shared" ref="C31:J31" si="12">C30/C19</f>
        <v>0.17359207552334766</v>
      </c>
      <c r="D31" s="202">
        <f t="shared" si="12"/>
        <v>0.17949137498020307</v>
      </c>
      <c r="E31" s="202">
        <f t="shared" si="12"/>
        <v>0.22546984144997567</v>
      </c>
      <c r="F31" s="202">
        <f t="shared" si="12"/>
        <v>0.23097700948282848</v>
      </c>
      <c r="G31" s="202">
        <f t="shared" si="12"/>
        <v>0.22870860891858008</v>
      </c>
      <c r="H31" s="202">
        <f t="shared" si="12"/>
        <v>0.22479405759937113</v>
      </c>
      <c r="I31" s="202">
        <f t="shared" si="12"/>
        <v>0.22337805446782347</v>
      </c>
      <c r="J31" s="202">
        <f t="shared" si="12"/>
        <v>0.22592574460678616</v>
      </c>
    </row>
    <row r="32" spans="2:12" x14ac:dyDescent="0.35">
      <c r="C32" s="260"/>
      <c r="D32" s="260"/>
      <c r="E32" s="260"/>
      <c r="F32" s="260"/>
    </row>
    <row r="33" spans="1:16" ht="14.25" customHeight="1" x14ac:dyDescent="0.35">
      <c r="B33" s="5" t="s">
        <v>345</v>
      </c>
      <c r="C33" s="199">
        <f>SUM('Inputs - DRE'!R12,'Inputs - DRE'!R13)</f>
        <v>-73878</v>
      </c>
      <c r="D33" s="199">
        <f>SUM('Inputs - DRE'!M12,'Inputs - DRE'!M13)</f>
        <v>14123.897230000235</v>
      </c>
      <c r="E33" s="199">
        <f>SUM('Inputs - DRE'!H12,'Inputs - DRE'!H13)</f>
        <v>37319</v>
      </c>
      <c r="F33" s="199">
        <f>SUM('Inputs - DRE'!C12,'Inputs - DRE'!C13)</f>
        <v>75360</v>
      </c>
      <c r="G33" s="198">
        <f>G191+G206</f>
        <v>-50746.381103619759</v>
      </c>
      <c r="H33" s="198">
        <f>H191+H206</f>
        <v>25976.481250267359</v>
      </c>
      <c r="I33" s="198">
        <f>I191+I206</f>
        <v>28971.061999447527</v>
      </c>
      <c r="J33" s="198">
        <f>J191+J206</f>
        <v>47379.947770445433</v>
      </c>
    </row>
    <row r="34" spans="1:16" ht="14.25" customHeight="1" x14ac:dyDescent="0.35">
      <c r="C34" s="257"/>
      <c r="D34" s="257"/>
      <c r="E34" s="257"/>
      <c r="F34" s="257"/>
      <c r="G34" s="203"/>
      <c r="H34" s="203"/>
      <c r="I34" s="203"/>
      <c r="J34" s="203"/>
    </row>
    <row r="35" spans="1:16" ht="14.25" customHeight="1" x14ac:dyDescent="0.35">
      <c r="B35" s="9" t="s">
        <v>346</v>
      </c>
      <c r="C35" s="200">
        <f t="shared" ref="C35:J35" si="13">C30+C33</f>
        <v>301535</v>
      </c>
      <c r="D35" s="200">
        <f t="shared" si="13"/>
        <v>436858.93222999986</v>
      </c>
      <c r="E35" s="200">
        <f t="shared" si="13"/>
        <v>792298</v>
      </c>
      <c r="F35" s="200">
        <f t="shared" si="13"/>
        <v>1078495</v>
      </c>
      <c r="G35" s="200">
        <f t="shared" si="13"/>
        <v>1199169.6699979627</v>
      </c>
      <c r="H35" s="200">
        <f t="shared" si="13"/>
        <v>1487125.9120330228</v>
      </c>
      <c r="I35" s="200">
        <f t="shared" si="13"/>
        <v>1649849.2754720091</v>
      </c>
      <c r="J35" s="200">
        <f t="shared" si="13"/>
        <v>1790563.3249871763</v>
      </c>
    </row>
    <row r="36" spans="1:16" ht="14.25" customHeight="1" x14ac:dyDescent="0.35">
      <c r="B36" s="5" t="s">
        <v>422</v>
      </c>
      <c r="C36" s="200">
        <f>'Inputs - DRE'!R15</f>
        <v>-45846</v>
      </c>
      <c r="D36" s="200">
        <f>'Inputs - DRE'!M15</f>
        <v>-49981.55169</v>
      </c>
      <c r="E36" s="200">
        <f>'Inputs - DRE'!H15</f>
        <v>-64630.453820000002</v>
      </c>
      <c r="F36" s="200">
        <f>'Inputs - DRE'!C15</f>
        <v>-98803</v>
      </c>
      <c r="G36" s="201">
        <f>-G14*G19</f>
        <v>-114767.15807614205</v>
      </c>
      <c r="H36" s="201">
        <f>-H14*H19</f>
        <v>-136498.8842415188</v>
      </c>
      <c r="I36" s="201">
        <f>-I14*I19</f>
        <v>-152380.42324263716</v>
      </c>
      <c r="J36" s="201">
        <f>-J14*J19</f>
        <v>-162030.45379031048</v>
      </c>
      <c r="K36" s="278"/>
      <c r="L36" s="262"/>
      <c r="M36" s="262"/>
      <c r="N36" s="262"/>
      <c r="O36" s="262"/>
      <c r="P36" s="168"/>
    </row>
    <row r="37" spans="1:16" ht="14.25" customHeight="1" x14ac:dyDescent="0.35">
      <c r="B37" s="9" t="s">
        <v>423</v>
      </c>
      <c r="C37" s="200">
        <f>C35+C36</f>
        <v>255689</v>
      </c>
      <c r="D37" s="200">
        <f t="shared" ref="D37:F37" si="14">D35+D36</f>
        <v>386877.38053999987</v>
      </c>
      <c r="E37" s="200">
        <f t="shared" si="14"/>
        <v>727667.54617999995</v>
      </c>
      <c r="F37" s="200">
        <f t="shared" si="14"/>
        <v>979692</v>
      </c>
      <c r="G37" s="200">
        <f t="shared" ref="G37" si="15">G35+G36</f>
        <v>1084402.5119218207</v>
      </c>
      <c r="H37" s="200">
        <f t="shared" ref="H37" si="16">H35+H36</f>
        <v>1350627.027791504</v>
      </c>
      <c r="I37" s="200">
        <f t="shared" ref="I37" si="17">I35+I36</f>
        <v>1497468.8522293719</v>
      </c>
      <c r="J37" s="200">
        <f t="shared" ref="J37" si="18">J35+J36</f>
        <v>1628532.8711968658</v>
      </c>
    </row>
    <row r="38" spans="1:16" ht="14.25" customHeight="1" x14ac:dyDescent="0.35">
      <c r="B38" s="5" t="s">
        <v>347</v>
      </c>
      <c r="C38" s="197">
        <f>'Inputs - DRE'!R17</f>
        <v>-65669</v>
      </c>
      <c r="D38" s="197">
        <f>'Inputs - DRE'!M17</f>
        <v>-55317.085509999997</v>
      </c>
      <c r="E38" s="197">
        <f>'Inputs - DRE'!H17</f>
        <v>-89290.163419999997</v>
      </c>
      <c r="F38" s="197">
        <f>'Inputs - DRE'!C17</f>
        <v>-190350</v>
      </c>
      <c r="G38" s="198">
        <f>-G13*G37</f>
        <v>-162660.3767882731</v>
      </c>
      <c r="H38" s="198">
        <f>-H13*H37</f>
        <v>-202594.05416872559</v>
      </c>
      <c r="I38" s="198">
        <f>-I13*I37</f>
        <v>-224620.32783440579</v>
      </c>
      <c r="J38" s="198">
        <f>-J13*J37</f>
        <v>-244279.93067952985</v>
      </c>
    </row>
    <row r="39" spans="1:16" ht="14.25" customHeight="1" x14ac:dyDescent="0.35">
      <c r="B39" s="173" t="s">
        <v>348</v>
      </c>
      <c r="C39" s="204">
        <f>C37+C38</f>
        <v>190020</v>
      </c>
      <c r="D39" s="204">
        <f t="shared" ref="D39:F39" si="19">D37+D38</f>
        <v>331560.29502999986</v>
      </c>
      <c r="E39" s="204">
        <f t="shared" si="19"/>
        <v>638377.38275999995</v>
      </c>
      <c r="F39" s="204">
        <f t="shared" si="19"/>
        <v>789342</v>
      </c>
      <c r="G39" s="204">
        <f t="shared" ref="G39" si="20">G37+G38</f>
        <v>921742.13513354759</v>
      </c>
      <c r="H39" s="204">
        <f t="shared" ref="H39" si="21">H37+H38</f>
        <v>1148032.9736227784</v>
      </c>
      <c r="I39" s="204">
        <f t="shared" ref="I39" si="22">I37+I38</f>
        <v>1272848.5243949662</v>
      </c>
      <c r="J39" s="204">
        <f t="shared" ref="J39" si="23">J37+J38</f>
        <v>1384252.9405173359</v>
      </c>
    </row>
    <row r="40" spans="1:16" ht="14.25" customHeight="1" x14ac:dyDescent="0.35">
      <c r="B40" s="5" t="s">
        <v>349</v>
      </c>
      <c r="C40" s="202">
        <f t="shared" ref="C40:J40" si="24">C39/C19</f>
        <v>8.7865806967117599E-2</v>
      </c>
      <c r="D40" s="202">
        <f t="shared" si="24"/>
        <v>0.14077899468109267</v>
      </c>
      <c r="E40" s="202">
        <f t="shared" si="24"/>
        <v>0.19064748460042943</v>
      </c>
      <c r="F40" s="202">
        <f t="shared" si="24"/>
        <v>0.18175006815552722</v>
      </c>
      <c r="G40" s="202">
        <f t="shared" si="24"/>
        <v>0.16865961623762099</v>
      </c>
      <c r="H40" s="202">
        <f t="shared" si="24"/>
        <v>0.17662190119752805</v>
      </c>
      <c r="I40" s="202">
        <f t="shared" si="24"/>
        <v>0.17541504639170141</v>
      </c>
      <c r="J40" s="202">
        <f t="shared" si="24"/>
        <v>0.17940647002373833</v>
      </c>
    </row>
    <row r="41" spans="1:16" x14ac:dyDescent="0.35">
      <c r="C41" s="256"/>
      <c r="D41" s="256"/>
      <c r="E41" s="256"/>
      <c r="F41" s="256"/>
    </row>
    <row r="42" spans="1:16" ht="14.25" customHeight="1" x14ac:dyDescent="0.35">
      <c r="B42" s="5" t="s">
        <v>350</v>
      </c>
      <c r="C42" s="206">
        <v>519000</v>
      </c>
      <c r="D42" s="206">
        <f>C42</f>
        <v>519000</v>
      </c>
      <c r="E42" s="206">
        <f t="shared" ref="E42:J42" si="25">D42</f>
        <v>519000</v>
      </c>
      <c r="F42" s="206">
        <f t="shared" si="25"/>
        <v>519000</v>
      </c>
      <c r="G42" s="206">
        <f t="shared" si="25"/>
        <v>519000</v>
      </c>
      <c r="H42" s="206">
        <f t="shared" si="25"/>
        <v>519000</v>
      </c>
      <c r="I42" s="206">
        <f t="shared" si="25"/>
        <v>519000</v>
      </c>
      <c r="J42" s="206">
        <f t="shared" si="25"/>
        <v>519000</v>
      </c>
    </row>
    <row r="43" spans="1:16" ht="14.25" customHeight="1" x14ac:dyDescent="0.35">
      <c r="B43" s="9" t="s">
        <v>351</v>
      </c>
      <c r="C43" s="207"/>
      <c r="D43" s="207"/>
      <c r="E43" s="207"/>
      <c r="F43" s="207"/>
      <c r="G43" s="208"/>
      <c r="H43" s="208"/>
      <c r="I43" s="208"/>
      <c r="J43" s="208"/>
    </row>
    <row r="47" spans="1:16" ht="18" customHeight="1" thickBot="1" x14ac:dyDescent="0.5">
      <c r="A47" s="169" t="s">
        <v>110</v>
      </c>
      <c r="B47" s="172" t="s">
        <v>352</v>
      </c>
      <c r="C47" s="304"/>
      <c r="D47" s="304"/>
      <c r="E47" s="304"/>
      <c r="F47" s="304"/>
      <c r="G47" s="304"/>
      <c r="H47" s="196"/>
      <c r="I47" s="196"/>
      <c r="J47" s="196"/>
    </row>
    <row r="48" spans="1:16" x14ac:dyDescent="0.35">
      <c r="C48" s="256"/>
      <c r="D48" s="256"/>
      <c r="E48" s="256"/>
      <c r="F48" s="256"/>
    </row>
    <row r="49" spans="1:13" ht="14.25" customHeight="1" x14ac:dyDescent="0.35">
      <c r="A49" t="s">
        <v>110</v>
      </c>
      <c r="B49" s="263" t="s">
        <v>183</v>
      </c>
      <c r="C49" s="246">
        <v>2777103</v>
      </c>
      <c r="D49" s="246">
        <v>3583354.7981300373</v>
      </c>
      <c r="E49" s="246">
        <v>4571386</v>
      </c>
      <c r="F49" s="246">
        <v>6128834</v>
      </c>
      <c r="G49" s="246">
        <f>SUM(G50:G59)</f>
        <v>6978965.7154335892</v>
      </c>
      <c r="H49" s="246">
        <f t="shared" ref="H49:J49" si="26">SUM(H50:H59)</f>
        <v>7701069.7242584769</v>
      </c>
      <c r="I49" s="246">
        <f t="shared" si="26"/>
        <v>8607141.8990992606</v>
      </c>
      <c r="J49" s="246">
        <f t="shared" si="26"/>
        <v>9096853.5380534995</v>
      </c>
    </row>
    <row r="50" spans="1:13" ht="14.25" customHeight="1" x14ac:dyDescent="0.35">
      <c r="B50" s="5" t="s">
        <v>184</v>
      </c>
      <c r="C50" s="247">
        <v>733124</v>
      </c>
      <c r="D50" s="247">
        <v>633978</v>
      </c>
      <c r="E50" s="247">
        <v>792054</v>
      </c>
      <c r="F50" s="247">
        <v>1199343</v>
      </c>
      <c r="G50" s="247">
        <f>G139</f>
        <v>1397048.0642537433</v>
      </c>
      <c r="H50" s="247">
        <f t="shared" ref="H50:J50" si="27">H139</f>
        <v>1271205.3054787912</v>
      </c>
      <c r="I50" s="247">
        <f t="shared" si="27"/>
        <v>1560329.022429897</v>
      </c>
      <c r="J50" s="247">
        <f t="shared" si="27"/>
        <v>1689909.4702645589</v>
      </c>
    </row>
    <row r="51" spans="1:13" ht="14.25" customHeight="1" x14ac:dyDescent="0.35">
      <c r="B51" s="5" t="s">
        <v>185</v>
      </c>
      <c r="C51" s="247">
        <v>454248</v>
      </c>
      <c r="D51" s="247">
        <v>693193</v>
      </c>
      <c r="E51" s="247">
        <v>823127</v>
      </c>
      <c r="F51" s="247">
        <v>983456</v>
      </c>
      <c r="G51" s="272">
        <f>F51</f>
        <v>983456</v>
      </c>
      <c r="H51" s="198">
        <f t="shared" ref="H51:J51" si="28">G51</f>
        <v>983456</v>
      </c>
      <c r="I51" s="198">
        <f t="shared" si="28"/>
        <v>983456</v>
      </c>
      <c r="J51" s="198">
        <f t="shared" si="28"/>
        <v>983456</v>
      </c>
    </row>
    <row r="52" spans="1:13" ht="14.25" customHeight="1" x14ac:dyDescent="0.35">
      <c r="B52" s="5" t="s">
        <v>186</v>
      </c>
      <c r="C52" s="247">
        <v>363372</v>
      </c>
      <c r="D52" s="247">
        <v>521946.46011000033</v>
      </c>
      <c r="E52" s="247">
        <v>992821</v>
      </c>
      <c r="F52" s="247">
        <v>1438700</v>
      </c>
      <c r="G52" s="198">
        <f>G151</f>
        <v>1715408.2946964139</v>
      </c>
      <c r="H52" s="198">
        <f t="shared" ref="H52:J52" si="29">H151</f>
        <v>2040229.2970377444</v>
      </c>
      <c r="I52" s="198">
        <f t="shared" si="29"/>
        <v>2277608.3886850998</v>
      </c>
      <c r="J52" s="198">
        <f t="shared" si="29"/>
        <v>2421846.0148757743</v>
      </c>
      <c r="K52" s="277" t="s">
        <v>428</v>
      </c>
    </row>
    <row r="53" spans="1:13" ht="14.25" customHeight="1" x14ac:dyDescent="0.35">
      <c r="B53" s="5" t="s">
        <v>187</v>
      </c>
      <c r="C53" s="247">
        <v>960135</v>
      </c>
      <c r="D53" s="247">
        <v>1420698.947690038</v>
      </c>
      <c r="E53" s="247">
        <v>1643111</v>
      </c>
      <c r="F53" s="247">
        <v>2086835</v>
      </c>
      <c r="G53" s="198">
        <f>G156</f>
        <v>2447966.0904315161</v>
      </c>
      <c r="H53" s="198">
        <f t="shared" ref="H53:J53" si="30">H156</f>
        <v>2960025.5250113336</v>
      </c>
      <c r="I53" s="198">
        <f t="shared" si="30"/>
        <v>3331507.6200937191</v>
      </c>
      <c r="J53" s="198">
        <f t="shared" si="30"/>
        <v>3542487.1515819561</v>
      </c>
      <c r="K53" s="277" t="s">
        <v>428</v>
      </c>
    </row>
    <row r="54" spans="1:13" ht="14.25" hidden="1" customHeight="1" x14ac:dyDescent="0.35">
      <c r="B54" s="5" t="s">
        <v>188</v>
      </c>
      <c r="C54" s="247">
        <v>0</v>
      </c>
      <c r="D54" s="247">
        <v>0</v>
      </c>
      <c r="E54" s="247">
        <v>0</v>
      </c>
      <c r="F54" s="247">
        <v>0</v>
      </c>
      <c r="G54" s="198"/>
      <c r="H54" s="198"/>
      <c r="I54" s="198"/>
      <c r="J54" s="198"/>
    </row>
    <row r="55" spans="1:13" ht="14.25" customHeight="1" x14ac:dyDescent="0.35">
      <c r="B55" s="5" t="s">
        <v>189</v>
      </c>
      <c r="C55" s="247">
        <v>64551</v>
      </c>
      <c r="D55" s="247">
        <v>67184.390329998932</v>
      </c>
      <c r="E55" s="247">
        <v>71054</v>
      </c>
      <c r="F55" s="247">
        <v>92922</v>
      </c>
      <c r="G55" s="272">
        <f>F55</f>
        <v>92922</v>
      </c>
      <c r="H55" s="198">
        <f>G55</f>
        <v>92922</v>
      </c>
      <c r="I55" s="198">
        <f t="shared" ref="I55:J55" si="31">H55</f>
        <v>92922</v>
      </c>
      <c r="J55" s="198">
        <f t="shared" si="31"/>
        <v>92922</v>
      </c>
    </row>
    <row r="56" spans="1:13" ht="14.25" customHeight="1" x14ac:dyDescent="0.35">
      <c r="B56" s="5" t="s">
        <v>190</v>
      </c>
      <c r="C56" s="247">
        <v>23122</v>
      </c>
      <c r="D56" s="247">
        <v>25753</v>
      </c>
      <c r="E56" s="247">
        <v>37062</v>
      </c>
      <c r="F56" s="247">
        <v>43855</v>
      </c>
      <c r="G56" s="198">
        <f>G160</f>
        <v>58442.266051915802</v>
      </c>
      <c r="H56" s="198">
        <f t="shared" ref="H56:J56" si="32">H160</f>
        <v>69508.596730607998</v>
      </c>
      <c r="I56" s="198">
        <f t="shared" si="32"/>
        <v>77595.867890546069</v>
      </c>
      <c r="J56" s="198">
        <f t="shared" si="32"/>
        <v>82509.901331210989</v>
      </c>
      <c r="K56" s="277" t="s">
        <v>428</v>
      </c>
    </row>
    <row r="57" spans="1:13" hidden="1" x14ac:dyDescent="0.35">
      <c r="B57" s="5" t="s">
        <v>191</v>
      </c>
      <c r="C57" s="247">
        <v>0</v>
      </c>
      <c r="D57" s="247">
        <v>0</v>
      </c>
      <c r="E57" s="247">
        <v>0</v>
      </c>
      <c r="F57" s="247">
        <v>0</v>
      </c>
      <c r="G57" s="198"/>
    </row>
    <row r="58" spans="1:13" ht="14.25" customHeight="1" x14ac:dyDescent="0.35">
      <c r="B58" s="5" t="s">
        <v>192</v>
      </c>
      <c r="C58" s="247">
        <v>501</v>
      </c>
      <c r="D58" s="247">
        <v>0</v>
      </c>
      <c r="E58" s="247">
        <v>5833</v>
      </c>
      <c r="F58" s="247">
        <v>1718</v>
      </c>
      <c r="G58" s="267">
        <f>F58</f>
        <v>1718</v>
      </c>
      <c r="H58" s="198">
        <f>G58</f>
        <v>1718</v>
      </c>
      <c r="I58" s="198">
        <f t="shared" ref="I58:J58" si="33">H58</f>
        <v>1718</v>
      </c>
      <c r="J58" s="198">
        <f t="shared" si="33"/>
        <v>1718</v>
      </c>
    </row>
    <row r="59" spans="1:13" ht="14.25" customHeight="1" x14ac:dyDescent="0.35">
      <c r="B59" s="5" t="s">
        <v>193</v>
      </c>
      <c r="C59" s="247">
        <v>178050</v>
      </c>
      <c r="D59" s="247">
        <v>220602</v>
      </c>
      <c r="E59" s="247">
        <v>206324</v>
      </c>
      <c r="F59" s="247">
        <v>282005</v>
      </c>
      <c r="G59" s="269">
        <f>F59</f>
        <v>282005</v>
      </c>
      <c r="H59" s="198">
        <f>G59</f>
        <v>282005</v>
      </c>
      <c r="I59" s="198">
        <f t="shared" ref="I59:J59" si="34">H59</f>
        <v>282005</v>
      </c>
      <c r="J59" s="198">
        <f t="shared" si="34"/>
        <v>282005</v>
      </c>
      <c r="M59" t="s">
        <v>427</v>
      </c>
    </row>
    <row r="60" spans="1:13" ht="14.25" customHeight="1" x14ac:dyDescent="0.35">
      <c r="B60" s="5"/>
      <c r="C60" s="247"/>
      <c r="D60" s="247"/>
      <c r="E60" s="247"/>
      <c r="F60" s="247"/>
      <c r="G60" s="198"/>
      <c r="H60" s="198"/>
      <c r="I60" s="198"/>
      <c r="J60" s="198"/>
    </row>
    <row r="61" spans="1:13" ht="14.25" customHeight="1" x14ac:dyDescent="0.35">
      <c r="A61" t="s">
        <v>110</v>
      </c>
      <c r="B61" s="263" t="s">
        <v>194</v>
      </c>
      <c r="C61" s="246">
        <v>3712312</v>
      </c>
      <c r="D61" s="246">
        <v>3988242.95138</v>
      </c>
      <c r="E61" s="246">
        <v>5496020</v>
      </c>
      <c r="F61" s="246">
        <v>7090801</v>
      </c>
      <c r="G61" s="246">
        <f>G62+G71</f>
        <v>7090574.7934864638</v>
      </c>
      <c r="H61" s="246">
        <f>H62+H71</f>
        <v>7110361.0061474666</v>
      </c>
      <c r="I61" s="246">
        <f t="shared" ref="I61:J61" si="35">I62+I71</f>
        <v>7136686.9335452896</v>
      </c>
      <c r="J61" s="246">
        <f t="shared" si="35"/>
        <v>7161190.1402005125</v>
      </c>
    </row>
    <row r="62" spans="1:13" ht="14.25" customHeight="1" x14ac:dyDescent="0.35">
      <c r="B62" s="249" t="s">
        <v>195</v>
      </c>
      <c r="C62" s="247">
        <v>3407532</v>
      </c>
      <c r="D62" s="247">
        <v>3671815.95138</v>
      </c>
      <c r="E62" s="247">
        <v>5028708</v>
      </c>
      <c r="F62" s="247">
        <v>6673444</v>
      </c>
      <c r="G62" s="267">
        <f>F62</f>
        <v>6673444</v>
      </c>
      <c r="H62" s="198">
        <f>G62</f>
        <v>6673444</v>
      </c>
      <c r="I62" s="198">
        <f t="shared" ref="I62:J62" si="36">H62</f>
        <v>6673444</v>
      </c>
      <c r="J62" s="198">
        <f t="shared" si="36"/>
        <v>6673444</v>
      </c>
    </row>
    <row r="63" spans="1:13" ht="14.25" customHeight="1" x14ac:dyDescent="0.35">
      <c r="B63" s="5" t="s">
        <v>185</v>
      </c>
      <c r="C63" s="247"/>
      <c r="D63" s="247"/>
      <c r="E63" s="247">
        <v>99714</v>
      </c>
      <c r="F63" s="247">
        <v>230360</v>
      </c>
      <c r="G63" s="268">
        <f t="shared" ref="G63:G72" si="37">F63</f>
        <v>230360</v>
      </c>
      <c r="H63" s="198">
        <f>G63</f>
        <v>230360</v>
      </c>
      <c r="I63" s="198">
        <f t="shared" ref="I63:J63" si="38">H63</f>
        <v>230360</v>
      </c>
      <c r="J63" s="198">
        <f t="shared" si="38"/>
        <v>230360</v>
      </c>
    </row>
    <row r="64" spans="1:13" ht="14.25" customHeight="1" x14ac:dyDescent="0.35">
      <c r="B64" s="5" t="s">
        <v>186</v>
      </c>
      <c r="C64" s="247">
        <v>314813</v>
      </c>
      <c r="D64" s="247">
        <v>464034.95137999981</v>
      </c>
      <c r="E64" s="247">
        <v>846706</v>
      </c>
      <c r="F64" s="247">
        <v>1389073</v>
      </c>
      <c r="G64" s="268">
        <f>F64</f>
        <v>1389073</v>
      </c>
      <c r="H64" s="198">
        <f t="shared" ref="H64:J64" si="39">G64</f>
        <v>1389073</v>
      </c>
      <c r="I64" s="198">
        <f t="shared" si="39"/>
        <v>1389073</v>
      </c>
      <c r="J64" s="198">
        <f t="shared" si="39"/>
        <v>1389073</v>
      </c>
    </row>
    <row r="65" spans="1:10" ht="14.25" customHeight="1" x14ac:dyDescent="0.35">
      <c r="B65" s="5" t="s">
        <v>196</v>
      </c>
      <c r="C65" s="247">
        <v>3018121</v>
      </c>
      <c r="D65" s="247">
        <v>3041218</v>
      </c>
      <c r="E65" s="247">
        <v>3888979</v>
      </c>
      <c r="F65" s="247">
        <v>4864673</v>
      </c>
      <c r="G65" s="268">
        <f>F65</f>
        <v>4864673</v>
      </c>
      <c r="H65" s="198">
        <f t="shared" ref="H65:J65" si="40">G65</f>
        <v>4864673</v>
      </c>
      <c r="I65" s="198">
        <f t="shared" si="40"/>
        <v>4864673</v>
      </c>
      <c r="J65" s="198">
        <f t="shared" si="40"/>
        <v>4864673</v>
      </c>
    </row>
    <row r="66" spans="1:10" ht="14.25" customHeight="1" x14ac:dyDescent="0.35">
      <c r="B66" s="5" t="s">
        <v>197</v>
      </c>
      <c r="C66" s="247">
        <v>17367</v>
      </c>
      <c r="D66" s="247">
        <v>18111</v>
      </c>
      <c r="E66" s="247">
        <v>21555</v>
      </c>
      <c r="F66" s="247">
        <v>24277</v>
      </c>
      <c r="G66" s="268">
        <f t="shared" si="37"/>
        <v>24277</v>
      </c>
      <c r="H66" s="198">
        <f t="shared" ref="H66:J66" si="41">G66</f>
        <v>24277</v>
      </c>
      <c r="I66" s="198">
        <f t="shared" si="41"/>
        <v>24277</v>
      </c>
      <c r="J66" s="198">
        <f t="shared" si="41"/>
        <v>24277</v>
      </c>
    </row>
    <row r="67" spans="1:10" ht="14.25" hidden="1" customHeight="1" x14ac:dyDescent="0.35">
      <c r="B67" s="5" t="s">
        <v>189</v>
      </c>
      <c r="C67" s="247">
        <v>0</v>
      </c>
      <c r="D67" s="247">
        <v>0</v>
      </c>
      <c r="E67" s="247">
        <v>0</v>
      </c>
      <c r="F67" s="247">
        <v>0</v>
      </c>
      <c r="G67" s="268">
        <f t="shared" si="37"/>
        <v>0</v>
      </c>
      <c r="H67" s="198">
        <f t="shared" ref="H67:J67" si="42">G67</f>
        <v>0</v>
      </c>
      <c r="I67" s="198">
        <f t="shared" si="42"/>
        <v>0</v>
      </c>
      <c r="J67" s="198">
        <f t="shared" si="42"/>
        <v>0</v>
      </c>
    </row>
    <row r="68" spans="1:10" ht="14.25" customHeight="1" x14ac:dyDescent="0.35">
      <c r="B68" s="5" t="s">
        <v>190</v>
      </c>
      <c r="C68" s="247">
        <v>6440</v>
      </c>
      <c r="D68" s="247">
        <v>27548</v>
      </c>
      <c r="E68" s="247">
        <v>20611</v>
      </c>
      <c r="F68" s="247">
        <v>11059</v>
      </c>
      <c r="G68" s="268">
        <f t="shared" si="37"/>
        <v>11059</v>
      </c>
      <c r="H68" s="198">
        <f t="shared" ref="H68:J68" si="43">G68</f>
        <v>11059</v>
      </c>
      <c r="I68" s="198">
        <f t="shared" si="43"/>
        <v>11059</v>
      </c>
      <c r="J68" s="198">
        <f t="shared" si="43"/>
        <v>11059</v>
      </c>
    </row>
    <row r="69" spans="1:10" x14ac:dyDescent="0.35">
      <c r="B69" s="5" t="s">
        <v>192</v>
      </c>
      <c r="C69" s="247">
        <v>7129</v>
      </c>
      <c r="D69" s="247">
        <v>7630</v>
      </c>
      <c r="E69" s="247">
        <v>7630</v>
      </c>
      <c r="F69" s="247">
        <v>5798</v>
      </c>
      <c r="G69" s="268">
        <f t="shared" si="37"/>
        <v>5798</v>
      </c>
      <c r="H69" s="198">
        <f t="shared" ref="H69:J69" si="44">G69</f>
        <v>5798</v>
      </c>
      <c r="I69" s="198">
        <f t="shared" si="44"/>
        <v>5798</v>
      </c>
      <c r="J69" s="198">
        <f t="shared" si="44"/>
        <v>5798</v>
      </c>
    </row>
    <row r="70" spans="1:10" ht="14.25" customHeight="1" x14ac:dyDescent="0.35">
      <c r="B70" s="5" t="s">
        <v>193</v>
      </c>
      <c r="C70" s="247">
        <v>43662</v>
      </c>
      <c r="D70" s="247">
        <v>113274</v>
      </c>
      <c r="E70" s="247">
        <v>143513</v>
      </c>
      <c r="F70" s="247">
        <v>148204</v>
      </c>
      <c r="G70" s="268">
        <f t="shared" si="37"/>
        <v>148204</v>
      </c>
      <c r="H70" s="198">
        <f t="shared" ref="H70:J70" si="45">G70</f>
        <v>148204</v>
      </c>
      <c r="I70" s="198">
        <f t="shared" si="45"/>
        <v>148204</v>
      </c>
      <c r="J70" s="198">
        <f t="shared" si="45"/>
        <v>148204</v>
      </c>
    </row>
    <row r="71" spans="1:10" ht="14.25" customHeight="1" x14ac:dyDescent="0.35">
      <c r="B71" s="245" t="s">
        <v>198</v>
      </c>
      <c r="C71" s="246">
        <v>304780</v>
      </c>
      <c r="D71" s="246">
        <v>316427</v>
      </c>
      <c r="E71" s="246">
        <v>467312</v>
      </c>
      <c r="F71" s="246">
        <v>417357</v>
      </c>
      <c r="G71" s="268">
        <f>SUM(G72:G74)</f>
        <v>417130.79348646349</v>
      </c>
      <c r="H71" s="198">
        <f t="shared" ref="H71:J71" si="46">SUM(H72:H74)</f>
        <v>436917.00614746637</v>
      </c>
      <c r="I71" s="198">
        <f t="shared" si="46"/>
        <v>463242.93354528968</v>
      </c>
      <c r="J71" s="198">
        <f t="shared" si="46"/>
        <v>487746.14020051225</v>
      </c>
    </row>
    <row r="72" spans="1:10" ht="14.25" customHeight="1" x14ac:dyDescent="0.35">
      <c r="B72" s="5" t="s">
        <v>199</v>
      </c>
      <c r="C72" s="247">
        <v>143717</v>
      </c>
      <c r="D72" s="247">
        <v>169375</v>
      </c>
      <c r="E72" s="247">
        <v>212504</v>
      </c>
      <c r="F72" s="247">
        <v>124135</v>
      </c>
      <c r="G72" s="269">
        <f t="shared" si="37"/>
        <v>124135</v>
      </c>
      <c r="H72" s="198">
        <f t="shared" ref="H72:J72" si="47">G72</f>
        <v>124135</v>
      </c>
      <c r="I72" s="198">
        <f t="shared" si="47"/>
        <v>124135</v>
      </c>
      <c r="J72" s="198">
        <f t="shared" si="47"/>
        <v>124135</v>
      </c>
    </row>
    <row r="73" spans="1:10" ht="14.25" customHeight="1" x14ac:dyDescent="0.35">
      <c r="B73" s="5" t="s">
        <v>200</v>
      </c>
      <c r="C73" s="247">
        <v>140115</v>
      </c>
      <c r="D73" s="247">
        <v>111474</v>
      </c>
      <c r="E73" s="247">
        <v>220762</v>
      </c>
      <c r="F73" s="247">
        <v>260159</v>
      </c>
      <c r="G73" s="198">
        <f>G200</f>
        <v>259932.79348646349</v>
      </c>
      <c r="H73" s="198">
        <f t="shared" ref="H73:J73" si="48">H200</f>
        <v>279719.00614746637</v>
      </c>
      <c r="I73" s="198">
        <f t="shared" si="48"/>
        <v>306044.93354528968</v>
      </c>
      <c r="J73" s="198">
        <f t="shared" si="48"/>
        <v>330548.14020051225</v>
      </c>
    </row>
    <row r="74" spans="1:10" ht="14.25" customHeight="1" x14ac:dyDescent="0.35">
      <c r="B74" s="5" t="s">
        <v>201</v>
      </c>
      <c r="C74" s="247">
        <v>20948</v>
      </c>
      <c r="D74" s="247">
        <v>35578</v>
      </c>
      <c r="E74" s="247">
        <v>34046</v>
      </c>
      <c r="F74" s="247">
        <v>33063</v>
      </c>
      <c r="G74" s="198">
        <f>F74</f>
        <v>33063</v>
      </c>
      <c r="H74" s="198">
        <f t="shared" ref="H74:J74" si="49">G74</f>
        <v>33063</v>
      </c>
      <c r="I74" s="198">
        <f t="shared" si="49"/>
        <v>33063</v>
      </c>
      <c r="J74" s="198">
        <f t="shared" si="49"/>
        <v>33063</v>
      </c>
    </row>
    <row r="75" spans="1:10" ht="14.25" customHeight="1" x14ac:dyDescent="0.35">
      <c r="B75" s="5"/>
      <c r="C75" s="247"/>
      <c r="D75" s="247"/>
      <c r="E75" s="247"/>
      <c r="F75" s="247"/>
      <c r="G75" s="198"/>
      <c r="H75" s="198"/>
      <c r="I75" s="198"/>
      <c r="J75" s="198"/>
    </row>
    <row r="76" spans="1:10" ht="14.25" customHeight="1" x14ac:dyDescent="0.35">
      <c r="A76" s="252" t="s">
        <v>110</v>
      </c>
      <c r="B76" s="250" t="s">
        <v>203</v>
      </c>
      <c r="C76" s="251">
        <v>6489415</v>
      </c>
      <c r="D76" s="251">
        <v>7571598</v>
      </c>
      <c r="E76" s="251">
        <v>10067406</v>
      </c>
      <c r="F76" s="251">
        <v>13219635</v>
      </c>
      <c r="G76" s="271">
        <f>G61+G49</f>
        <v>14069540.508920053</v>
      </c>
      <c r="H76" s="271">
        <f t="shared" ref="H76:J76" si="50">H61+H49</f>
        <v>14811430.730405943</v>
      </c>
      <c r="I76" s="271">
        <f t="shared" si="50"/>
        <v>15743828.83264455</v>
      </c>
      <c r="J76" s="271">
        <f t="shared" si="50"/>
        <v>16258043.678254012</v>
      </c>
    </row>
    <row r="77" spans="1:10" ht="14.25" customHeight="1" x14ac:dyDescent="0.35">
      <c r="B77" s="5"/>
      <c r="C77" s="248"/>
      <c r="D77" s="248"/>
      <c r="E77" s="248"/>
      <c r="F77" s="248"/>
      <c r="G77" s="198"/>
      <c r="H77" s="198"/>
      <c r="I77" s="198"/>
      <c r="J77" s="198"/>
    </row>
    <row r="78" spans="1:10" ht="14.25" customHeight="1" x14ac:dyDescent="0.35">
      <c r="A78" t="s">
        <v>110</v>
      </c>
      <c r="B78" s="263" t="s">
        <v>204</v>
      </c>
      <c r="C78" s="246">
        <v>918216</v>
      </c>
      <c r="D78" s="246">
        <v>1042766</v>
      </c>
      <c r="E78" s="246">
        <v>1508358</v>
      </c>
      <c r="F78" s="246">
        <v>1621183</v>
      </c>
      <c r="G78" s="246">
        <f>SUM(G79:G94)</f>
        <v>1899121.5307816183</v>
      </c>
      <c r="H78" s="246">
        <f t="shared" ref="H78:J78" si="51">SUM(H79:H94)</f>
        <v>1969204.5086496717</v>
      </c>
      <c r="I78" s="246">
        <f t="shared" si="51"/>
        <v>2467127.7257353845</v>
      </c>
      <c r="J78" s="246">
        <f t="shared" si="51"/>
        <v>1960212.0525618498</v>
      </c>
    </row>
    <row r="79" spans="1:10" ht="14.25" customHeight="1" x14ac:dyDescent="0.35">
      <c r="B79" s="5" t="s">
        <v>205</v>
      </c>
      <c r="C79" s="247">
        <v>309722</v>
      </c>
      <c r="D79" s="247">
        <v>234933</v>
      </c>
      <c r="E79" s="247">
        <v>202562</v>
      </c>
      <c r="F79" s="247">
        <v>274805</v>
      </c>
      <c r="G79" s="198">
        <f>-H185</f>
        <v>282000</v>
      </c>
      <c r="H79" s="198">
        <f t="shared" ref="H79:J79" si="52">-I185</f>
        <v>190000</v>
      </c>
      <c r="I79" s="198">
        <f t="shared" si="52"/>
        <v>572000</v>
      </c>
      <c r="J79" s="198">
        <f t="shared" si="52"/>
        <v>0</v>
      </c>
    </row>
    <row r="80" spans="1:10" ht="14.25" customHeight="1" x14ac:dyDescent="0.35">
      <c r="B80" s="5" t="s">
        <v>206</v>
      </c>
      <c r="C80" s="247">
        <v>13826</v>
      </c>
      <c r="D80" s="247">
        <v>58926</v>
      </c>
      <c r="E80" s="247">
        <v>169847</v>
      </c>
      <c r="F80" s="247">
        <v>296402</v>
      </c>
      <c r="G80" s="272">
        <f>F80</f>
        <v>296402</v>
      </c>
      <c r="H80" s="315">
        <f>G80</f>
        <v>296402</v>
      </c>
      <c r="I80" s="315">
        <f t="shared" ref="I80:J80" si="53">H80</f>
        <v>296402</v>
      </c>
      <c r="J80" s="315">
        <f t="shared" si="53"/>
        <v>296402</v>
      </c>
    </row>
    <row r="81" spans="1:11" ht="14.25" customHeight="1" x14ac:dyDescent="0.35">
      <c r="B81" s="5" t="s">
        <v>207</v>
      </c>
      <c r="C81" s="247">
        <v>112474</v>
      </c>
      <c r="D81" s="247">
        <v>121652</v>
      </c>
      <c r="E81" s="247">
        <v>128837</v>
      </c>
      <c r="F81" s="247">
        <v>181281</v>
      </c>
      <c r="G81" s="198">
        <f>G166</f>
        <v>235147.81359720969</v>
      </c>
      <c r="H81" s="198">
        <f t="shared" ref="H81:J81" si="54">H166</f>
        <v>284335.44611545349</v>
      </c>
      <c r="I81" s="198">
        <f t="shared" si="54"/>
        <v>320019.43814074161</v>
      </c>
      <c r="J81" s="198">
        <f t="shared" si="54"/>
        <v>340285.8036501091</v>
      </c>
      <c r="K81" s="277" t="s">
        <v>428</v>
      </c>
    </row>
    <row r="82" spans="1:11" ht="14.25" customHeight="1" x14ac:dyDescent="0.35">
      <c r="B82" s="5" t="s">
        <v>208</v>
      </c>
      <c r="C82" s="247">
        <v>10220</v>
      </c>
      <c r="D82" s="247">
        <v>7879</v>
      </c>
      <c r="E82" s="247">
        <v>7576</v>
      </c>
      <c r="F82" s="247">
        <v>12949</v>
      </c>
      <c r="G82" s="272">
        <f>F82</f>
        <v>12949</v>
      </c>
      <c r="H82" s="315">
        <f>G82</f>
        <v>12949</v>
      </c>
      <c r="I82" s="315">
        <f t="shared" ref="I82:J82" si="55">H82</f>
        <v>12949</v>
      </c>
      <c r="J82" s="315">
        <f t="shared" si="55"/>
        <v>12949</v>
      </c>
    </row>
    <row r="83" spans="1:11" ht="14.25" customHeight="1" x14ac:dyDescent="0.35">
      <c r="B83" s="5" t="s">
        <v>432</v>
      </c>
      <c r="C83" s="247">
        <f>SUM(C84:C85)</f>
        <v>67923</v>
      </c>
      <c r="D83" s="247">
        <f t="shared" ref="D83:F83" si="56">SUM(D84:D85)</f>
        <v>81590</v>
      </c>
      <c r="E83" s="247">
        <f t="shared" si="56"/>
        <v>123927</v>
      </c>
      <c r="F83" s="247">
        <f t="shared" si="56"/>
        <v>154908</v>
      </c>
      <c r="G83" s="198">
        <f>G178</f>
        <v>196296.37661607919</v>
      </c>
      <c r="H83" s="198">
        <f t="shared" ref="H83:J83" si="57">H178</f>
        <v>229574.96050210053</v>
      </c>
      <c r="I83" s="198">
        <f t="shared" si="57"/>
        <v>251942.00097074575</v>
      </c>
      <c r="J83" s="198">
        <f t="shared" si="57"/>
        <v>263278.20552483847</v>
      </c>
      <c r="K83" s="277" t="s">
        <v>428</v>
      </c>
    </row>
    <row r="84" spans="1:11" ht="14.25" hidden="1" customHeight="1" x14ac:dyDescent="0.35">
      <c r="B84" s="5" t="s">
        <v>209</v>
      </c>
      <c r="C84" s="247">
        <v>39233</v>
      </c>
      <c r="D84" s="247">
        <v>45411</v>
      </c>
      <c r="E84" s="247">
        <v>68360</v>
      </c>
      <c r="F84" s="247">
        <v>87815</v>
      </c>
      <c r="G84" s="198"/>
      <c r="H84" s="198"/>
      <c r="I84" s="198"/>
      <c r="J84" s="198"/>
      <c r="K84" s="277" t="s">
        <v>428</v>
      </c>
    </row>
    <row r="85" spans="1:11" ht="14.25" hidden="1" customHeight="1" x14ac:dyDescent="0.35">
      <c r="B85" s="5" t="s">
        <v>210</v>
      </c>
      <c r="C85" s="247">
        <v>28690</v>
      </c>
      <c r="D85" s="247">
        <v>36179</v>
      </c>
      <c r="E85" s="247">
        <v>55567</v>
      </c>
      <c r="F85" s="247">
        <v>67093</v>
      </c>
      <c r="G85" s="198"/>
      <c r="H85" s="198"/>
      <c r="I85" s="198"/>
      <c r="J85" s="198"/>
      <c r="K85" s="277" t="s">
        <v>428</v>
      </c>
    </row>
    <row r="86" spans="1:11" ht="14.25" hidden="1" customHeight="1" x14ac:dyDescent="0.35">
      <c r="B86" s="5" t="s">
        <v>211</v>
      </c>
      <c r="C86" s="247">
        <v>0</v>
      </c>
      <c r="D86" s="247">
        <v>0</v>
      </c>
      <c r="E86" s="247">
        <v>0</v>
      </c>
      <c r="F86" s="247">
        <v>0</v>
      </c>
      <c r="G86" s="270"/>
      <c r="H86" s="198"/>
      <c r="I86" s="198"/>
      <c r="J86" s="198"/>
    </row>
    <row r="87" spans="1:11" ht="14.25" hidden="1" customHeight="1" x14ac:dyDescent="0.35">
      <c r="B87" s="5" t="s">
        <v>212</v>
      </c>
      <c r="C87" s="247">
        <v>0</v>
      </c>
      <c r="D87" s="247">
        <v>0</v>
      </c>
      <c r="E87" s="247">
        <v>0</v>
      </c>
      <c r="F87" s="247">
        <v>0</v>
      </c>
      <c r="G87" s="270"/>
      <c r="H87" s="198"/>
      <c r="I87" s="198"/>
      <c r="J87" s="198"/>
    </row>
    <row r="88" spans="1:11" ht="14.25" customHeight="1" x14ac:dyDescent="0.35">
      <c r="B88" s="5" t="s">
        <v>213</v>
      </c>
      <c r="C88" s="247">
        <v>11324</v>
      </c>
      <c r="D88" s="247">
        <v>7456</v>
      </c>
      <c r="E88" s="247">
        <v>7911</v>
      </c>
      <c r="F88" s="247">
        <v>12686</v>
      </c>
      <c r="G88" s="272">
        <f t="shared" ref="G88:H94" si="58">F88</f>
        <v>12686</v>
      </c>
      <c r="H88" s="315">
        <f>G88</f>
        <v>12686</v>
      </c>
      <c r="I88" s="315">
        <f t="shared" ref="I88:J88" si="59">H88</f>
        <v>12686</v>
      </c>
      <c r="J88" s="315">
        <f t="shared" si="59"/>
        <v>12686</v>
      </c>
    </row>
    <row r="89" spans="1:11" ht="14.25" customHeight="1" x14ac:dyDescent="0.35">
      <c r="B89" s="5" t="s">
        <v>214</v>
      </c>
      <c r="C89" s="247">
        <v>113361</v>
      </c>
      <c r="D89" s="247">
        <v>146827</v>
      </c>
      <c r="E89" s="247">
        <v>194059</v>
      </c>
      <c r="F89" s="247">
        <v>131775</v>
      </c>
      <c r="G89" s="198">
        <f>G174</f>
        <v>279436.76946350269</v>
      </c>
      <c r="H89" s="198">
        <f t="shared" ref="H89:J89" si="60">H174</f>
        <v>337888.65518675186</v>
      </c>
      <c r="I89" s="198">
        <f t="shared" si="60"/>
        <v>380293.55489884596</v>
      </c>
      <c r="J89" s="198">
        <f t="shared" si="60"/>
        <v>404376.99254630291</v>
      </c>
      <c r="K89" s="277" t="s">
        <v>428</v>
      </c>
    </row>
    <row r="90" spans="1:11" ht="14.25" customHeight="1" x14ac:dyDescent="0.35">
      <c r="B90" s="5" t="s">
        <v>215</v>
      </c>
      <c r="C90" s="247">
        <v>28540</v>
      </c>
      <c r="D90" s="247">
        <v>69264</v>
      </c>
      <c r="E90" s="247">
        <v>66546</v>
      </c>
      <c r="F90" s="247">
        <v>83947</v>
      </c>
      <c r="G90" s="198">
        <f>G170</f>
        <v>111773.57110482677</v>
      </c>
      <c r="H90" s="198">
        <f t="shared" ref="H90:J90" si="61">H170</f>
        <v>132938.44684536595</v>
      </c>
      <c r="I90" s="198">
        <f t="shared" si="61"/>
        <v>148405.73172505139</v>
      </c>
      <c r="J90" s="198">
        <f t="shared" si="61"/>
        <v>157804.05084059932</v>
      </c>
      <c r="K90" s="277" t="s">
        <v>428</v>
      </c>
    </row>
    <row r="91" spans="1:11" ht="14.25" customHeight="1" x14ac:dyDescent="0.35">
      <c r="B91" s="5" t="s">
        <v>216</v>
      </c>
      <c r="C91" s="247">
        <v>84799</v>
      </c>
      <c r="D91" s="247">
        <v>120996</v>
      </c>
      <c r="E91" s="247">
        <v>184636</v>
      </c>
      <c r="F91" s="247">
        <v>222844</v>
      </c>
      <c r="G91" s="267">
        <f t="shared" si="58"/>
        <v>222844</v>
      </c>
      <c r="H91" s="198">
        <f>G91</f>
        <v>222844</v>
      </c>
      <c r="I91" s="198">
        <f t="shared" ref="I91:J91" si="62">H91</f>
        <v>222844</v>
      </c>
      <c r="J91" s="198">
        <f t="shared" si="62"/>
        <v>222844</v>
      </c>
    </row>
    <row r="92" spans="1:11" ht="14.25" customHeight="1" x14ac:dyDescent="0.35">
      <c r="B92" s="5" t="s">
        <v>217</v>
      </c>
      <c r="C92" s="247">
        <v>104287</v>
      </c>
      <c r="D92" s="247">
        <v>81162</v>
      </c>
      <c r="E92" s="247">
        <v>299399</v>
      </c>
      <c r="F92" s="247">
        <v>11519</v>
      </c>
      <c r="G92" s="268">
        <f t="shared" si="58"/>
        <v>11519</v>
      </c>
      <c r="H92" s="198">
        <f t="shared" si="58"/>
        <v>11519</v>
      </c>
      <c r="I92" s="198">
        <f t="shared" ref="I92:J92" si="63">H92</f>
        <v>11519</v>
      </c>
      <c r="J92" s="198">
        <f t="shared" si="63"/>
        <v>11519</v>
      </c>
    </row>
    <row r="93" spans="1:11" ht="14.25" customHeight="1" x14ac:dyDescent="0.35">
      <c r="B93" s="5" t="s">
        <v>218</v>
      </c>
      <c r="C93" s="247">
        <v>28392</v>
      </c>
      <c r="D93" s="247">
        <v>24259</v>
      </c>
      <c r="E93" s="247">
        <v>21964</v>
      </c>
      <c r="F93" s="247">
        <v>23533</v>
      </c>
      <c r="G93" s="268">
        <f t="shared" si="58"/>
        <v>23533</v>
      </c>
      <c r="H93" s="198">
        <f t="shared" si="58"/>
        <v>23533</v>
      </c>
      <c r="I93" s="198">
        <f t="shared" ref="I93:J93" si="64">H93</f>
        <v>23533</v>
      </c>
      <c r="J93" s="198">
        <f t="shared" si="64"/>
        <v>23533</v>
      </c>
    </row>
    <row r="94" spans="1:11" ht="14.25" customHeight="1" x14ac:dyDescent="0.35">
      <c r="B94" s="5" t="s">
        <v>219</v>
      </c>
      <c r="C94" s="247">
        <v>33348</v>
      </c>
      <c r="D94" s="247">
        <v>87822</v>
      </c>
      <c r="E94" s="247">
        <v>101094</v>
      </c>
      <c r="F94" s="247">
        <v>214534</v>
      </c>
      <c r="G94" s="269">
        <f t="shared" si="58"/>
        <v>214534</v>
      </c>
      <c r="H94" s="198">
        <f t="shared" si="58"/>
        <v>214534</v>
      </c>
      <c r="I94" s="198">
        <f t="shared" ref="I94:J94" si="65">H94</f>
        <v>214534</v>
      </c>
      <c r="J94" s="198">
        <f t="shared" si="65"/>
        <v>214534</v>
      </c>
    </row>
    <row r="95" spans="1:11" ht="14.25" customHeight="1" x14ac:dyDescent="0.35">
      <c r="B95" s="5"/>
      <c r="C95" s="247"/>
      <c r="D95" s="247"/>
      <c r="E95" s="247"/>
      <c r="F95" s="247"/>
      <c r="G95" s="198"/>
      <c r="H95" s="198"/>
      <c r="I95" s="198"/>
      <c r="J95" s="198"/>
    </row>
    <row r="96" spans="1:11" ht="14.25" customHeight="1" x14ac:dyDescent="0.35">
      <c r="A96" t="s">
        <v>110</v>
      </c>
      <c r="B96" s="263" t="s">
        <v>220</v>
      </c>
      <c r="C96" s="246">
        <v>4121504</v>
      </c>
      <c r="D96" s="246">
        <v>4418246</v>
      </c>
      <c r="E96" s="246">
        <v>6335297</v>
      </c>
      <c r="F96" s="246">
        <v>9278301</v>
      </c>
      <c r="G96" s="246">
        <f>SUM(G97:G107)</f>
        <v>8996301</v>
      </c>
      <c r="H96" s="246">
        <f t="shared" ref="H96:J96" si="66">SUM(H97:H107)</f>
        <v>9006301</v>
      </c>
      <c r="I96" s="246">
        <f t="shared" si="66"/>
        <v>8834301</v>
      </c>
      <c r="J96" s="246">
        <f t="shared" si="66"/>
        <v>9334301</v>
      </c>
    </row>
    <row r="97" spans="1:10" ht="14.25" customHeight="1" x14ac:dyDescent="0.35">
      <c r="B97" s="5" t="s">
        <v>205</v>
      </c>
      <c r="C97" s="247">
        <v>1080104</v>
      </c>
      <c r="D97" s="247">
        <v>1088111</v>
      </c>
      <c r="E97" s="247">
        <v>1347099</v>
      </c>
      <c r="F97" s="247">
        <v>2483542</v>
      </c>
      <c r="G97" s="198">
        <f>G186-G79</f>
        <v>2201542</v>
      </c>
      <c r="H97" s="198">
        <f t="shared" ref="H97:J97" si="67">H186-H79</f>
        <v>2211542</v>
      </c>
      <c r="I97" s="198">
        <f t="shared" si="67"/>
        <v>2039542</v>
      </c>
      <c r="J97" s="198">
        <f t="shared" si="67"/>
        <v>2539542</v>
      </c>
    </row>
    <row r="98" spans="1:10" ht="14.25" customHeight="1" x14ac:dyDescent="0.35">
      <c r="B98" s="5" t="s">
        <v>206</v>
      </c>
      <c r="C98" s="247">
        <v>74494</v>
      </c>
      <c r="D98" s="247">
        <v>128260</v>
      </c>
      <c r="E98" s="247">
        <v>524452</v>
      </c>
      <c r="F98" s="247">
        <v>900748</v>
      </c>
      <c r="G98" s="267">
        <f t="shared" ref="G98:H107" si="68">F98</f>
        <v>900748</v>
      </c>
      <c r="H98" s="315">
        <f>G98</f>
        <v>900748</v>
      </c>
      <c r="I98" s="315">
        <f t="shared" ref="I98:J98" si="69">H98</f>
        <v>900748</v>
      </c>
      <c r="J98" s="315">
        <f t="shared" si="69"/>
        <v>900748</v>
      </c>
    </row>
    <row r="99" spans="1:10" ht="14.25" customHeight="1" x14ac:dyDescent="0.35">
      <c r="B99" s="5" t="s">
        <v>207</v>
      </c>
      <c r="C99" s="247">
        <v>9471</v>
      </c>
      <c r="D99" s="247">
        <v>10004</v>
      </c>
      <c r="E99" s="247">
        <v>11116</v>
      </c>
      <c r="F99" s="247">
        <v>14082</v>
      </c>
      <c r="G99" s="268">
        <f t="shared" si="68"/>
        <v>14082</v>
      </c>
      <c r="H99" s="315">
        <f t="shared" si="68"/>
        <v>14082</v>
      </c>
      <c r="I99" s="315">
        <f t="shared" ref="I99:J99" si="70">H99</f>
        <v>14082</v>
      </c>
      <c r="J99" s="315">
        <f t="shared" si="70"/>
        <v>14082</v>
      </c>
    </row>
    <row r="100" spans="1:10" x14ac:dyDescent="0.35">
      <c r="B100" s="5" t="s">
        <v>210</v>
      </c>
      <c r="C100" s="247">
        <v>12737</v>
      </c>
      <c r="D100" s="247">
        <v>18589</v>
      </c>
      <c r="E100" s="247">
        <v>28523</v>
      </c>
      <c r="F100" s="247">
        <v>60531</v>
      </c>
      <c r="G100" s="268">
        <f t="shared" si="68"/>
        <v>60531</v>
      </c>
      <c r="H100" s="315">
        <f t="shared" si="68"/>
        <v>60531</v>
      </c>
      <c r="I100" s="315">
        <f t="shared" ref="I100:J100" si="71">H100</f>
        <v>60531</v>
      </c>
      <c r="J100" s="315">
        <f t="shared" si="71"/>
        <v>60531</v>
      </c>
    </row>
    <row r="101" spans="1:10" hidden="1" x14ac:dyDescent="0.35">
      <c r="B101" s="5" t="s">
        <v>212</v>
      </c>
      <c r="C101" s="247">
        <v>0</v>
      </c>
      <c r="D101" s="247">
        <v>0</v>
      </c>
      <c r="E101" s="247">
        <v>0</v>
      </c>
      <c r="F101" s="247">
        <v>0</v>
      </c>
      <c r="G101" s="268">
        <f t="shared" si="68"/>
        <v>0</v>
      </c>
      <c r="H101" s="315">
        <f t="shared" si="68"/>
        <v>0</v>
      </c>
      <c r="I101" s="315">
        <f t="shared" ref="I101:J101" si="72">H101</f>
        <v>0</v>
      </c>
      <c r="J101" s="315">
        <f t="shared" si="72"/>
        <v>0</v>
      </c>
    </row>
    <row r="102" spans="1:10" ht="18" customHeight="1" x14ac:dyDescent="0.45">
      <c r="A102" s="169" t="s">
        <v>110</v>
      </c>
      <c r="B102" s="5" t="s">
        <v>213</v>
      </c>
      <c r="C102" s="247">
        <v>19821</v>
      </c>
      <c r="D102" s="247">
        <v>13648</v>
      </c>
      <c r="E102" s="247">
        <v>75773</v>
      </c>
      <c r="F102" s="247">
        <v>76290</v>
      </c>
      <c r="G102" s="268">
        <f t="shared" si="68"/>
        <v>76290</v>
      </c>
      <c r="H102" s="315">
        <f t="shared" si="68"/>
        <v>76290</v>
      </c>
      <c r="I102" s="315">
        <f t="shared" ref="I102:J102" si="73">H102</f>
        <v>76290</v>
      </c>
      <c r="J102" s="315">
        <f t="shared" si="73"/>
        <v>76290</v>
      </c>
    </row>
    <row r="103" spans="1:10" x14ac:dyDescent="0.35">
      <c r="B103" s="5" t="s">
        <v>214</v>
      </c>
      <c r="C103" s="247">
        <v>2388485</v>
      </c>
      <c r="D103" s="247">
        <v>2668090</v>
      </c>
      <c r="E103" s="247">
        <v>3655700</v>
      </c>
      <c r="F103" s="247">
        <v>5088473</v>
      </c>
      <c r="G103" s="268">
        <f t="shared" si="68"/>
        <v>5088473</v>
      </c>
      <c r="H103" s="315">
        <f t="shared" si="68"/>
        <v>5088473</v>
      </c>
      <c r="I103" s="315">
        <f t="shared" ref="I103:J103" si="74">H103</f>
        <v>5088473</v>
      </c>
      <c r="J103" s="315">
        <f t="shared" si="74"/>
        <v>5088473</v>
      </c>
    </row>
    <row r="104" spans="1:10" ht="14.25" customHeight="1" x14ac:dyDescent="0.35">
      <c r="B104" s="5" t="s">
        <v>215</v>
      </c>
      <c r="C104" s="247">
        <v>398915</v>
      </c>
      <c r="D104" s="247">
        <v>378427</v>
      </c>
      <c r="E104" s="247">
        <v>568086</v>
      </c>
      <c r="F104" s="247">
        <v>521793</v>
      </c>
      <c r="G104" s="268">
        <f t="shared" si="68"/>
        <v>521793</v>
      </c>
      <c r="H104" s="315">
        <f t="shared" si="68"/>
        <v>521793</v>
      </c>
      <c r="I104" s="315">
        <f t="shared" ref="I104:J104" si="75">H104</f>
        <v>521793</v>
      </c>
      <c r="J104" s="315">
        <f t="shared" si="75"/>
        <v>521793</v>
      </c>
    </row>
    <row r="105" spans="1:10" ht="14.25" customHeight="1" x14ac:dyDescent="0.35">
      <c r="B105" s="5" t="s">
        <v>218</v>
      </c>
      <c r="C105" s="247">
        <v>13887</v>
      </c>
      <c r="D105" s="247">
        <v>16303</v>
      </c>
      <c r="E105" s="247">
        <v>21072</v>
      </c>
      <c r="F105" s="247">
        <v>24866</v>
      </c>
      <c r="G105" s="268">
        <f t="shared" si="68"/>
        <v>24866</v>
      </c>
      <c r="H105" s="315">
        <f t="shared" si="68"/>
        <v>24866</v>
      </c>
      <c r="I105" s="315">
        <f t="shared" ref="I105:J105" si="76">H105</f>
        <v>24866</v>
      </c>
      <c r="J105" s="315">
        <f t="shared" si="76"/>
        <v>24866</v>
      </c>
    </row>
    <row r="106" spans="1:10" ht="14.25" customHeight="1" x14ac:dyDescent="0.35">
      <c r="B106" s="5" t="s">
        <v>221</v>
      </c>
      <c r="C106" s="247">
        <v>26198</v>
      </c>
      <c r="D106" s="247">
        <v>27657</v>
      </c>
      <c r="E106" s="247">
        <v>34319</v>
      </c>
      <c r="F106" s="247">
        <v>39280</v>
      </c>
      <c r="G106" s="268">
        <f t="shared" si="68"/>
        <v>39280</v>
      </c>
      <c r="H106" s="315">
        <f t="shared" si="68"/>
        <v>39280</v>
      </c>
      <c r="I106" s="315">
        <f t="shared" ref="I106:J106" si="77">H106</f>
        <v>39280</v>
      </c>
      <c r="J106" s="315">
        <f t="shared" si="77"/>
        <v>39280</v>
      </c>
    </row>
    <row r="107" spans="1:10" ht="14.25" customHeight="1" x14ac:dyDescent="0.35">
      <c r="B107" s="5" t="s">
        <v>216</v>
      </c>
      <c r="C107" s="247">
        <v>97392</v>
      </c>
      <c r="D107" s="247">
        <v>69157</v>
      </c>
      <c r="E107" s="247">
        <v>69157</v>
      </c>
      <c r="F107" s="247">
        <v>68696</v>
      </c>
      <c r="G107" s="269">
        <f t="shared" si="68"/>
        <v>68696</v>
      </c>
      <c r="H107" s="315">
        <f t="shared" si="68"/>
        <v>68696</v>
      </c>
      <c r="I107" s="315">
        <f t="shared" ref="I107:J107" si="78">H107</f>
        <v>68696</v>
      </c>
      <c r="J107" s="315">
        <f t="shared" si="78"/>
        <v>68696</v>
      </c>
    </row>
    <row r="108" spans="1:10" ht="14.25" hidden="1" customHeight="1" x14ac:dyDescent="0.35">
      <c r="B108" s="5" t="s">
        <v>222</v>
      </c>
      <c r="C108" s="247">
        <v>0</v>
      </c>
      <c r="D108" s="247">
        <v>0</v>
      </c>
      <c r="E108" s="247">
        <v>0</v>
      </c>
      <c r="F108" s="247">
        <v>0</v>
      </c>
      <c r="G108" s="210"/>
      <c r="H108" s="210"/>
      <c r="I108" s="210"/>
      <c r="J108" s="210"/>
    </row>
    <row r="109" spans="1:10" ht="14.25" customHeight="1" x14ac:dyDescent="0.35">
      <c r="B109" s="5"/>
      <c r="C109" s="247"/>
      <c r="D109" s="247"/>
      <c r="E109" s="247"/>
      <c r="F109" s="247"/>
      <c r="G109" s="210"/>
      <c r="H109" s="210"/>
      <c r="I109" s="210"/>
      <c r="J109" s="210"/>
    </row>
    <row r="110" spans="1:10" ht="14.25" customHeight="1" x14ac:dyDescent="0.35">
      <c r="B110" s="250" t="s">
        <v>223</v>
      </c>
      <c r="C110" s="251">
        <v>1289981</v>
      </c>
      <c r="D110" s="251">
        <v>1953405</v>
      </c>
      <c r="E110" s="251">
        <v>2015457</v>
      </c>
      <c r="F110" s="251">
        <v>1916621</v>
      </c>
      <c r="G110" s="265">
        <f>SUM(G111:G117)</f>
        <v>2770587.9781384338</v>
      </c>
      <c r="H110" s="251">
        <f t="shared" ref="H110:J110" si="79">SUM(H111:H117)</f>
        <v>3432395.2217562706</v>
      </c>
      <c r="I110" s="251">
        <f t="shared" si="79"/>
        <v>4038870.1069091666</v>
      </c>
      <c r="J110" s="251">
        <f t="shared" si="79"/>
        <v>4560000.6256921636</v>
      </c>
    </row>
    <row r="111" spans="1:10" ht="14.25" customHeight="1" x14ac:dyDescent="0.35">
      <c r="B111" s="5" t="s">
        <v>224</v>
      </c>
      <c r="C111" s="247">
        <v>752982</v>
      </c>
      <c r="D111" s="247">
        <v>1181857</v>
      </c>
      <c r="E111" s="247">
        <v>1181857</v>
      </c>
      <c r="F111" s="247">
        <v>1181857</v>
      </c>
      <c r="G111" s="267">
        <f>F111</f>
        <v>1181857</v>
      </c>
      <c r="H111" s="198">
        <f>G111</f>
        <v>1181857</v>
      </c>
      <c r="I111" s="198">
        <f t="shared" ref="I111:J111" si="80">H111</f>
        <v>1181857</v>
      </c>
      <c r="J111" s="198">
        <f t="shared" si="80"/>
        <v>1181857</v>
      </c>
    </row>
    <row r="112" spans="1:10" ht="14.25" customHeight="1" x14ac:dyDescent="0.35">
      <c r="B112" s="5" t="s">
        <v>225</v>
      </c>
      <c r="C112" s="247"/>
      <c r="D112" s="247">
        <v>-21994</v>
      </c>
      <c r="E112" s="247">
        <v>-21994</v>
      </c>
      <c r="F112" s="247">
        <v>-21994</v>
      </c>
      <c r="G112" s="268">
        <f t="shared" ref="G112:H116" si="81">F112</f>
        <v>-21994</v>
      </c>
      <c r="H112" s="198">
        <f t="shared" si="81"/>
        <v>-21994</v>
      </c>
      <c r="I112" s="198">
        <f t="shared" ref="I112:J112" si="82">H112</f>
        <v>-21994</v>
      </c>
      <c r="J112" s="198">
        <f t="shared" si="82"/>
        <v>-21994</v>
      </c>
    </row>
    <row r="113" spans="1:11" ht="14.25" customHeight="1" x14ac:dyDescent="0.35">
      <c r="B113" s="5" t="s">
        <v>226</v>
      </c>
      <c r="C113" s="247">
        <v>-9749</v>
      </c>
      <c r="D113" s="247">
        <v>-7748</v>
      </c>
      <c r="E113" s="247">
        <v>-9536</v>
      </c>
      <c r="F113" s="247">
        <v>-22571</v>
      </c>
      <c r="G113" s="268">
        <f t="shared" si="81"/>
        <v>-22571</v>
      </c>
      <c r="H113" s="198">
        <f t="shared" si="81"/>
        <v>-22571</v>
      </c>
      <c r="I113" s="198">
        <f t="shared" ref="I113:J113" si="83">H113</f>
        <v>-22571</v>
      </c>
      <c r="J113" s="198">
        <f t="shared" si="83"/>
        <v>-22571</v>
      </c>
    </row>
    <row r="114" spans="1:11" ht="14.25" customHeight="1" x14ac:dyDescent="0.35">
      <c r="B114" s="5" t="s">
        <v>227</v>
      </c>
      <c r="C114" s="247">
        <v>148323</v>
      </c>
      <c r="D114" s="247">
        <v>184240</v>
      </c>
      <c r="E114" s="247">
        <v>185178</v>
      </c>
      <c r="F114" s="247">
        <v>192734</v>
      </c>
      <c r="G114" s="268">
        <f t="shared" si="81"/>
        <v>192734</v>
      </c>
      <c r="H114" s="198">
        <f t="shared" si="81"/>
        <v>192734</v>
      </c>
      <c r="I114" s="198">
        <f t="shared" ref="I114:J114" si="84">H114</f>
        <v>192734</v>
      </c>
      <c r="J114" s="198">
        <f t="shared" si="84"/>
        <v>192734</v>
      </c>
    </row>
    <row r="115" spans="1:11" ht="14.25" hidden="1" customHeight="1" x14ac:dyDescent="0.35">
      <c r="B115" s="5" t="s">
        <v>228</v>
      </c>
      <c r="C115" s="247">
        <v>0</v>
      </c>
      <c r="D115" s="247">
        <v>0</v>
      </c>
      <c r="E115" s="247">
        <v>0</v>
      </c>
      <c r="F115" s="247">
        <v>0</v>
      </c>
      <c r="G115" s="268">
        <f t="shared" si="81"/>
        <v>0</v>
      </c>
      <c r="H115" s="198">
        <f t="shared" si="81"/>
        <v>0</v>
      </c>
      <c r="I115" s="198">
        <f t="shared" ref="I115:J115" si="85">H115</f>
        <v>0</v>
      </c>
      <c r="J115" s="198">
        <f t="shared" si="85"/>
        <v>0</v>
      </c>
    </row>
    <row r="116" spans="1:11" ht="14.25" customHeight="1" x14ac:dyDescent="0.35">
      <c r="B116" s="5" t="s">
        <v>229</v>
      </c>
      <c r="C116" s="247">
        <v>0</v>
      </c>
      <c r="D116" s="247">
        <v>-31760</v>
      </c>
      <c r="E116" s="247">
        <v>-31759</v>
      </c>
      <c r="F116" s="247">
        <v>238956</v>
      </c>
      <c r="G116" s="269">
        <f t="shared" si="81"/>
        <v>238956</v>
      </c>
      <c r="H116" s="198">
        <f t="shared" si="81"/>
        <v>238956</v>
      </c>
      <c r="I116" s="198">
        <f t="shared" ref="I116:J116" si="86">H116</f>
        <v>238956</v>
      </c>
      <c r="J116" s="198">
        <f t="shared" si="86"/>
        <v>238956</v>
      </c>
    </row>
    <row r="117" spans="1:11" ht="14.25" customHeight="1" x14ac:dyDescent="0.35">
      <c r="B117" s="5" t="s">
        <v>230</v>
      </c>
      <c r="C117" s="247">
        <v>398425</v>
      </c>
      <c r="D117" s="247">
        <v>648810</v>
      </c>
      <c r="E117" s="247">
        <v>711711</v>
      </c>
      <c r="F117" s="247">
        <v>347639</v>
      </c>
      <c r="G117" s="198">
        <f>F117+G37+G133</f>
        <v>1201605.9781384338</v>
      </c>
      <c r="H117" s="198">
        <f t="shared" ref="H117" si="87">G117+H37+H133</f>
        <v>1863413.2217562706</v>
      </c>
      <c r="I117" s="198">
        <f t="shared" ref="I117:J117" si="88">H117+I37+I133</f>
        <v>2469888.1069091666</v>
      </c>
      <c r="J117" s="198">
        <f t="shared" si="88"/>
        <v>2991018.6256921636</v>
      </c>
    </row>
    <row r="118" spans="1:11" ht="14.25" hidden="1" customHeight="1" x14ac:dyDescent="0.35">
      <c r="B118" s="5" t="s">
        <v>231</v>
      </c>
      <c r="C118" s="247">
        <v>0</v>
      </c>
      <c r="D118" s="247">
        <v>0</v>
      </c>
      <c r="E118" s="247">
        <v>0</v>
      </c>
      <c r="F118" s="247">
        <v>0</v>
      </c>
      <c r="G118" s="201"/>
      <c r="H118" s="201"/>
      <c r="I118" s="201"/>
      <c r="J118" s="201"/>
    </row>
    <row r="119" spans="1:11" ht="14.25" hidden="1" customHeight="1" x14ac:dyDescent="0.35">
      <c r="B119" s="5" t="s">
        <v>232</v>
      </c>
      <c r="C119" s="247">
        <v>0</v>
      </c>
      <c r="D119" s="247">
        <v>0</v>
      </c>
      <c r="E119" s="247">
        <v>0</v>
      </c>
      <c r="F119" s="247">
        <v>0</v>
      </c>
      <c r="G119" s="201"/>
      <c r="H119" s="201"/>
      <c r="I119" s="201"/>
      <c r="J119" s="201"/>
    </row>
    <row r="120" spans="1:11" ht="14.25" customHeight="1" x14ac:dyDescent="0.35">
      <c r="B120" s="5" t="s">
        <v>233</v>
      </c>
      <c r="C120" s="247">
        <v>159714</v>
      </c>
      <c r="D120" s="247">
        <v>157181</v>
      </c>
      <c r="E120" s="247">
        <v>208294</v>
      </c>
      <c r="F120" s="247">
        <v>403530</v>
      </c>
      <c r="G120" s="302">
        <f>F120</f>
        <v>403530</v>
      </c>
      <c r="H120" s="316">
        <f>G120</f>
        <v>403530</v>
      </c>
      <c r="I120" s="316">
        <f t="shared" ref="I120:J120" si="89">H120</f>
        <v>403530</v>
      </c>
      <c r="J120" s="316">
        <f t="shared" si="89"/>
        <v>403530</v>
      </c>
    </row>
    <row r="121" spans="1:11" ht="14.25" customHeight="1" x14ac:dyDescent="0.35">
      <c r="A121" t="s">
        <v>110</v>
      </c>
      <c r="B121" s="253" t="s">
        <v>234</v>
      </c>
      <c r="C121" s="251">
        <v>6489415</v>
      </c>
      <c r="D121" s="251">
        <v>7571598</v>
      </c>
      <c r="E121" s="251">
        <v>10067406</v>
      </c>
      <c r="F121" s="251">
        <v>13219635</v>
      </c>
      <c r="G121" s="273">
        <f>G110+G96+G78+G120</f>
        <v>14069540.508920051</v>
      </c>
      <c r="H121" s="273">
        <f t="shared" ref="H121:J121" si="90">H110+H96+H78+H120</f>
        <v>14811430.730405942</v>
      </c>
      <c r="I121" s="273">
        <f t="shared" si="90"/>
        <v>15743828.832644552</v>
      </c>
      <c r="J121" s="273">
        <f t="shared" si="90"/>
        <v>16258043.678254012</v>
      </c>
    </row>
    <row r="122" spans="1:11" x14ac:dyDescent="0.35">
      <c r="C122" s="254" t="b">
        <f>IF(ROUND(C76, 1)=ROUND(C121, 1), TRUE, FALSE)</f>
        <v>1</v>
      </c>
      <c r="D122" s="254" t="b">
        <f t="shared" ref="D122:J122" si="91">IF(ROUND(D76, 1)=ROUND(D121, 1), TRUE, FALSE)</f>
        <v>1</v>
      </c>
      <c r="E122" s="254" t="b">
        <f t="shared" si="91"/>
        <v>1</v>
      </c>
      <c r="F122" s="254" t="b">
        <f t="shared" si="91"/>
        <v>1</v>
      </c>
      <c r="G122" s="254" t="b">
        <f t="shared" si="91"/>
        <v>1</v>
      </c>
      <c r="H122" s="254" t="b">
        <f t="shared" si="91"/>
        <v>1</v>
      </c>
      <c r="I122" s="254" t="b">
        <f t="shared" si="91"/>
        <v>1</v>
      </c>
      <c r="J122" s="254" t="b">
        <f t="shared" si="91"/>
        <v>1</v>
      </c>
    </row>
    <row r="123" spans="1:11" ht="19" thickBot="1" x14ac:dyDescent="0.5">
      <c r="A123" s="169" t="s">
        <v>110</v>
      </c>
      <c r="B123" s="172" t="s">
        <v>353</v>
      </c>
      <c r="C123" s="185"/>
      <c r="D123" s="185"/>
      <c r="E123" s="185"/>
      <c r="F123" s="185"/>
      <c r="G123" s="185"/>
      <c r="H123" s="185"/>
      <c r="I123" s="185"/>
      <c r="J123" s="185"/>
    </row>
    <row r="124" spans="1:11" x14ac:dyDescent="0.35">
      <c r="C124"/>
      <c r="D124"/>
      <c r="E124"/>
      <c r="F124"/>
      <c r="G124"/>
      <c r="H124"/>
      <c r="I124"/>
      <c r="J124"/>
    </row>
    <row r="125" spans="1:11" s="252" customFormat="1" x14ac:dyDescent="0.35">
      <c r="A125"/>
      <c r="B125" s="173" t="s">
        <v>354</v>
      </c>
      <c r="C125" s="294"/>
      <c r="D125" s="294"/>
      <c r="E125" s="294"/>
      <c r="F125" s="294"/>
      <c r="G125" s="271">
        <f>G37</f>
        <v>1084402.5119218207</v>
      </c>
      <c r="H125" s="271">
        <f t="shared" ref="H125:J125" si="92">H37</f>
        <v>1350627.027791504</v>
      </c>
      <c r="I125" s="271">
        <f t="shared" si="92"/>
        <v>1497468.8522293719</v>
      </c>
      <c r="J125" s="271">
        <f t="shared" si="92"/>
        <v>1628532.8711968658</v>
      </c>
      <c r="K125" s="295"/>
    </row>
    <row r="126" spans="1:11" x14ac:dyDescent="0.35">
      <c r="B126" s="5" t="s">
        <v>355</v>
      </c>
      <c r="C126" s="209"/>
      <c r="D126" s="209"/>
      <c r="E126" s="209"/>
      <c r="F126" s="209"/>
      <c r="G126" s="198">
        <f>-G199</f>
        <v>105429.43475</v>
      </c>
      <c r="H126" s="198">
        <f t="shared" ref="H126:J126" si="93">-H199</f>
        <v>105337.76456038933</v>
      </c>
      <c r="I126" s="198">
        <f t="shared" si="93"/>
        <v>113356.12724126075</v>
      </c>
      <c r="J126" s="198">
        <f t="shared" si="93"/>
        <v>124024.70931922864</v>
      </c>
    </row>
    <row r="127" spans="1:11" x14ac:dyDescent="0.35">
      <c r="B127" s="5" t="s">
        <v>356</v>
      </c>
      <c r="C127" s="212">
        <f>-C145</f>
        <v>0</v>
      </c>
      <c r="D127" s="212">
        <f t="shared" ref="D127:J127" si="94">-D145</f>
        <v>-524734.40780003835</v>
      </c>
      <c r="E127" s="212">
        <f t="shared" si="94"/>
        <v>-610559.59219996165</v>
      </c>
      <c r="F127" s="212">
        <f t="shared" si="94"/>
        <v>-857854</v>
      </c>
      <c r="G127" s="212">
        <f t="shared" si="94"/>
        <v>-381683.12039822713</v>
      </c>
      <c r="H127" s="212">
        <f t="shared" si="94"/>
        <v>-685863.78973178612</v>
      </c>
      <c r="I127" s="212">
        <f t="shared" si="94"/>
        <v>-501025.24080396676</v>
      </c>
      <c r="J127" s="212">
        <f t="shared" si="94"/>
        <v>-295046.86429311242</v>
      </c>
    </row>
    <row r="128" spans="1:11" s="252" customFormat="1" x14ac:dyDescent="0.35">
      <c r="A128"/>
      <c r="B128" s="173" t="s">
        <v>357</v>
      </c>
      <c r="C128" s="264"/>
      <c r="D128" s="264"/>
      <c r="E128" s="264"/>
      <c r="F128" s="264"/>
      <c r="G128" s="205">
        <f>G125+G126+G127</f>
        <v>808148.82627359359</v>
      </c>
      <c r="H128" s="205">
        <f t="shared" ref="H128:J128" si="95">H125+H126+H127</f>
        <v>770101.00262010726</v>
      </c>
      <c r="I128" s="205">
        <f t="shared" si="95"/>
        <v>1109799.738666666</v>
      </c>
      <c r="J128" s="205">
        <f t="shared" si="95"/>
        <v>1457510.7162229819</v>
      </c>
      <c r="K128" s="295"/>
    </row>
    <row r="129" spans="1:12" x14ac:dyDescent="0.35">
      <c r="G129" s="210"/>
      <c r="H129" s="210"/>
      <c r="I129" s="210"/>
      <c r="J129" s="210"/>
    </row>
    <row r="130" spans="1:12" x14ac:dyDescent="0.35">
      <c r="B130" s="5" t="s">
        <v>358</v>
      </c>
      <c r="C130" s="209"/>
      <c r="D130" s="209"/>
      <c r="E130" s="209"/>
      <c r="F130" s="209"/>
      <c r="G130" s="198">
        <f>-G198</f>
        <v>-105203.22823646353</v>
      </c>
      <c r="H130" s="198">
        <f>-H198</f>
        <v>-125123.97722139221</v>
      </c>
      <c r="I130" s="198">
        <f>-I198</f>
        <v>-139682.05463908403</v>
      </c>
      <c r="J130" s="198">
        <f>-J198</f>
        <v>-148527.91597445126</v>
      </c>
    </row>
    <row r="131" spans="1:12" s="252" customFormat="1" x14ac:dyDescent="0.35">
      <c r="A131"/>
      <c r="B131" s="173" t="s">
        <v>359</v>
      </c>
      <c r="C131" s="264"/>
      <c r="D131" s="264"/>
      <c r="E131" s="264"/>
      <c r="F131" s="264"/>
      <c r="G131" s="205">
        <f>G130</f>
        <v>-105203.22823646353</v>
      </c>
      <c r="H131" s="205">
        <f>H130</f>
        <v>-125123.97722139221</v>
      </c>
      <c r="I131" s="205">
        <f>I130</f>
        <v>-139682.05463908403</v>
      </c>
      <c r="J131" s="205">
        <f>J130</f>
        <v>-148527.91597445126</v>
      </c>
      <c r="K131" s="295"/>
    </row>
    <row r="132" spans="1:12" x14ac:dyDescent="0.35">
      <c r="G132" s="210"/>
      <c r="H132" s="210"/>
      <c r="I132" s="210"/>
      <c r="J132" s="210"/>
    </row>
    <row r="133" spans="1:12" x14ac:dyDescent="0.35">
      <c r="B133" s="5" t="s">
        <v>360</v>
      </c>
      <c r="C133" s="209"/>
      <c r="D133" s="209"/>
      <c r="E133" s="209"/>
      <c r="F133" s="209"/>
      <c r="G133" s="198">
        <f>-G39*G12</f>
        <v>-230435.5337833869</v>
      </c>
      <c r="H133" s="198">
        <f>-H39*H12</f>
        <v>-688819.78417366708</v>
      </c>
      <c r="I133" s="198">
        <f>-I39*I12</f>
        <v>-890993.96707647631</v>
      </c>
      <c r="J133" s="198">
        <f>-J39*J12</f>
        <v>-1107402.3524138688</v>
      </c>
    </row>
    <row r="134" spans="1:12" x14ac:dyDescent="0.35">
      <c r="B134" s="5" t="s">
        <v>361</v>
      </c>
      <c r="C134" s="212"/>
      <c r="D134" s="212"/>
      <c r="E134" s="212"/>
      <c r="F134" s="212"/>
      <c r="G134" s="198">
        <f>G185+G184</f>
        <v>-274805</v>
      </c>
      <c r="H134" s="198">
        <f t="shared" ref="H134:J134" si="96">H185+H184</f>
        <v>-82000</v>
      </c>
      <c r="I134" s="198">
        <f t="shared" si="96"/>
        <v>210000</v>
      </c>
      <c r="J134" s="198">
        <f t="shared" si="96"/>
        <v>-72000</v>
      </c>
    </row>
    <row r="135" spans="1:12" s="252" customFormat="1" x14ac:dyDescent="0.35">
      <c r="A135"/>
      <c r="B135" s="173" t="s">
        <v>362</v>
      </c>
      <c r="C135" s="264"/>
      <c r="D135" s="264"/>
      <c r="E135" s="264"/>
      <c r="F135" s="264"/>
      <c r="G135" s="205">
        <f>G134+G133</f>
        <v>-505240.53378338693</v>
      </c>
      <c r="H135" s="205">
        <f t="shared" ref="H135:J135" si="97">H134+H133</f>
        <v>-770819.78417366708</v>
      </c>
      <c r="I135" s="205">
        <f t="shared" si="97"/>
        <v>-680993.96707647631</v>
      </c>
      <c r="J135" s="205">
        <f t="shared" si="97"/>
        <v>-1179402.3524138688</v>
      </c>
      <c r="K135" s="295"/>
    </row>
    <row r="136" spans="1:12" x14ac:dyDescent="0.35">
      <c r="G136" s="210"/>
      <c r="H136" s="210"/>
      <c r="I136" s="210"/>
      <c r="J136" s="210"/>
    </row>
    <row r="137" spans="1:12" x14ac:dyDescent="0.35">
      <c r="B137" s="9" t="s">
        <v>363</v>
      </c>
      <c r="C137" s="209"/>
      <c r="D137" s="198"/>
      <c r="E137" s="198"/>
      <c r="F137" s="198"/>
      <c r="G137" s="266">
        <f>F139</f>
        <v>1199343</v>
      </c>
      <c r="H137" s="266">
        <f t="shared" ref="H137:J137" si="98">G139</f>
        <v>1397048.0642537433</v>
      </c>
      <c r="I137" s="266">
        <f t="shared" si="98"/>
        <v>1271205.3054787912</v>
      </c>
      <c r="J137" s="266">
        <f t="shared" si="98"/>
        <v>1560329.022429897</v>
      </c>
    </row>
    <row r="138" spans="1:12" x14ac:dyDescent="0.35">
      <c r="B138" s="5" t="s">
        <v>364</v>
      </c>
      <c r="C138" s="200"/>
      <c r="D138" s="200"/>
      <c r="E138" s="200"/>
      <c r="F138" s="200"/>
      <c r="G138" s="201">
        <f>G135+G131+G128</f>
        <v>197705.06425374316</v>
      </c>
      <c r="H138" s="201">
        <f t="shared" ref="H138:J138" si="99">H135+H131+H128</f>
        <v>-125842.75877495203</v>
      </c>
      <c r="I138" s="201">
        <f t="shared" si="99"/>
        <v>289123.71695110563</v>
      </c>
      <c r="J138" s="201">
        <f t="shared" si="99"/>
        <v>129580.44783466193</v>
      </c>
    </row>
    <row r="139" spans="1:12" x14ac:dyDescent="0.35">
      <c r="B139" s="173" t="s">
        <v>365</v>
      </c>
      <c r="C139" s="204"/>
      <c r="D139" s="204"/>
      <c r="E139" s="204"/>
      <c r="F139" s="204">
        <f>F50</f>
        <v>1199343</v>
      </c>
      <c r="G139" s="204">
        <f>G137+G138</f>
        <v>1397048.0642537433</v>
      </c>
      <c r="H139" s="204">
        <f t="shared" ref="H139:J139" si="100">H137+H138</f>
        <v>1271205.3054787912</v>
      </c>
      <c r="I139" s="204">
        <f t="shared" si="100"/>
        <v>1560329.022429897</v>
      </c>
      <c r="J139" s="204">
        <f t="shared" si="100"/>
        <v>1689909.4702645589</v>
      </c>
    </row>
    <row r="140" spans="1:12" x14ac:dyDescent="0.35">
      <c r="C140" s="254"/>
      <c r="D140" s="254"/>
      <c r="E140" s="254"/>
      <c r="F140" s="254"/>
      <c r="G140" s="254"/>
      <c r="H140" s="254"/>
      <c r="I140" s="254"/>
      <c r="J140" s="254"/>
    </row>
    <row r="141" spans="1:12" ht="14.25" customHeight="1" x14ac:dyDescent="0.35">
      <c r="B141" s="245"/>
      <c r="C141" s="246"/>
      <c r="D141" s="246"/>
      <c r="E141" s="246"/>
      <c r="F141" s="246"/>
      <c r="G141" s="210"/>
      <c r="H141" s="210"/>
      <c r="I141" s="210"/>
      <c r="J141" s="210"/>
    </row>
    <row r="142" spans="1:12" ht="18" customHeight="1" thickBot="1" x14ac:dyDescent="0.5">
      <c r="A142" s="169" t="s">
        <v>110</v>
      </c>
      <c r="B142" s="172" t="s">
        <v>366</v>
      </c>
      <c r="C142" s="213"/>
      <c r="D142" s="213"/>
      <c r="E142" s="213"/>
      <c r="F142" s="213"/>
      <c r="G142" s="214"/>
      <c r="H142" s="214"/>
      <c r="I142" s="214"/>
      <c r="J142" s="214"/>
      <c r="K142" s="276"/>
      <c r="L142" s="5"/>
    </row>
    <row r="143" spans="1:12" ht="14.25" customHeight="1" x14ac:dyDescent="0.35">
      <c r="A143" s="5"/>
      <c r="B143" s="5"/>
      <c r="C143" s="215"/>
      <c r="D143" s="215"/>
      <c r="E143" s="215"/>
      <c r="F143" s="215"/>
      <c r="G143" s="216"/>
      <c r="H143" s="216"/>
      <c r="I143" s="216"/>
      <c r="J143" s="216"/>
    </row>
    <row r="144" spans="1:12" s="284" customFormat="1" ht="14.25" customHeight="1" x14ac:dyDescent="0.35">
      <c r="A144" s="5"/>
      <c r="B144" s="281" t="s">
        <v>367</v>
      </c>
      <c r="C144" s="282">
        <f>C149-C164</f>
        <v>1024331</v>
      </c>
      <c r="D144" s="282">
        <f t="shared" ref="D144:J144" si="101">D149-D164</f>
        <v>1549065.4078000383</v>
      </c>
      <c r="E144" s="282">
        <f t="shared" si="101"/>
        <v>2159625</v>
      </c>
      <c r="F144" s="282">
        <f t="shared" si="101"/>
        <v>3017479</v>
      </c>
      <c r="G144" s="282">
        <f t="shared" si="101"/>
        <v>3399162.1203982271</v>
      </c>
      <c r="H144" s="282">
        <f t="shared" si="101"/>
        <v>4085025.9101300132</v>
      </c>
      <c r="I144" s="282">
        <f t="shared" si="101"/>
        <v>4586051.15093398</v>
      </c>
      <c r="J144" s="282">
        <f t="shared" si="101"/>
        <v>4881098.0152270924</v>
      </c>
      <c r="K144" s="283"/>
      <c r="L144" s="280"/>
    </row>
    <row r="145" spans="1:12" ht="14.25" customHeight="1" x14ac:dyDescent="0.35">
      <c r="A145" s="5"/>
      <c r="B145" s="174" t="s">
        <v>368</v>
      </c>
      <c r="C145" s="212"/>
      <c r="D145" s="212">
        <f>D144-C144</f>
        <v>524734.40780003835</v>
      </c>
      <c r="E145" s="212">
        <f t="shared" ref="E145:F145" si="102">E144-D144</f>
        <v>610559.59219996165</v>
      </c>
      <c r="F145" s="212">
        <f t="shared" si="102"/>
        <v>857854</v>
      </c>
      <c r="G145" s="212">
        <f t="shared" ref="G145" si="103">G144-F144</f>
        <v>381683.12039822713</v>
      </c>
      <c r="H145" s="212">
        <f t="shared" ref="H145" si="104">H144-G144</f>
        <v>685863.78973178612</v>
      </c>
      <c r="I145" s="212">
        <f t="shared" ref="I145" si="105">I144-H144</f>
        <v>501025.24080396676</v>
      </c>
      <c r="J145" s="212">
        <f t="shared" ref="J145" si="106">J144-I144</f>
        <v>295046.86429311242</v>
      </c>
      <c r="K145" s="276"/>
      <c r="L145" s="5"/>
    </row>
    <row r="146" spans="1:12" ht="14.25" customHeight="1" x14ac:dyDescent="0.35">
      <c r="A146" s="5"/>
      <c r="B146" s="5"/>
      <c r="C146" s="215"/>
      <c r="D146" s="215"/>
      <c r="E146" s="215"/>
      <c r="F146" s="215"/>
      <c r="G146" s="215"/>
      <c r="H146" s="215"/>
      <c r="I146" s="215"/>
      <c r="J146" s="215"/>
      <c r="K146" s="276"/>
      <c r="L146" s="5"/>
    </row>
    <row r="147" spans="1:12" ht="14.25" customHeight="1" x14ac:dyDescent="0.35">
      <c r="A147" s="5"/>
      <c r="B147" s="5" t="s">
        <v>369</v>
      </c>
      <c r="C147" s="285">
        <v>365</v>
      </c>
      <c r="D147" s="206"/>
      <c r="E147" s="206"/>
      <c r="F147" s="206"/>
      <c r="G147" s="217"/>
      <c r="H147" s="217"/>
      <c r="I147" s="217"/>
      <c r="J147" s="217"/>
      <c r="K147" s="276"/>
      <c r="L147" s="5"/>
    </row>
    <row r="148" spans="1:12" ht="14.25" customHeight="1" x14ac:dyDescent="0.35">
      <c r="A148" s="5"/>
      <c r="B148" s="5"/>
      <c r="C148" s="215"/>
      <c r="D148" s="215"/>
      <c r="E148" s="215"/>
      <c r="F148" s="215"/>
      <c r="G148" s="215"/>
      <c r="H148" s="215"/>
      <c r="I148" s="215"/>
      <c r="J148" s="215"/>
      <c r="K148" s="276"/>
      <c r="L148" s="5"/>
    </row>
    <row r="149" spans="1:12" s="284" customFormat="1" ht="14.25" customHeight="1" x14ac:dyDescent="0.35">
      <c r="A149" s="5"/>
      <c r="B149" s="281" t="s">
        <v>370</v>
      </c>
      <c r="C149" s="282">
        <f>C151+C156+C160</f>
        <v>1346629</v>
      </c>
      <c r="D149" s="282">
        <f t="shared" ref="D149:J149" si="107">D151+D156+D160</f>
        <v>1968398.4078000383</v>
      </c>
      <c r="E149" s="282">
        <f t="shared" si="107"/>
        <v>2672994</v>
      </c>
      <c r="F149" s="282">
        <f t="shared" si="107"/>
        <v>3569390</v>
      </c>
      <c r="G149" s="282">
        <f t="shared" si="107"/>
        <v>4221816.6511798454</v>
      </c>
      <c r="H149" s="282">
        <f t="shared" si="107"/>
        <v>5069763.4187796852</v>
      </c>
      <c r="I149" s="282">
        <f t="shared" si="107"/>
        <v>5686711.876669365</v>
      </c>
      <c r="J149" s="282">
        <f t="shared" si="107"/>
        <v>6046843.0677889418</v>
      </c>
      <c r="K149" s="283"/>
      <c r="L149" s="280"/>
    </row>
    <row r="150" spans="1:12" ht="14.25" customHeight="1" x14ac:dyDescent="0.35">
      <c r="A150" s="5"/>
      <c r="B150" s="5"/>
      <c r="C150" s="215"/>
      <c r="D150" s="215"/>
      <c r="E150" s="215"/>
      <c r="F150" s="215"/>
      <c r="G150" s="215"/>
      <c r="H150" s="215"/>
      <c r="I150" s="215"/>
      <c r="J150" s="215"/>
      <c r="K150" s="276"/>
      <c r="L150" s="5"/>
    </row>
    <row r="151" spans="1:12" ht="14.25" customHeight="1" x14ac:dyDescent="0.35">
      <c r="A151" s="5"/>
      <c r="B151" s="5" t="s">
        <v>371</v>
      </c>
      <c r="C151" s="212">
        <f>C52</f>
        <v>363372</v>
      </c>
      <c r="D151" s="212">
        <f t="shared" ref="D151:F151" si="108">D52</f>
        <v>521946.46011000033</v>
      </c>
      <c r="E151" s="212">
        <f t="shared" si="108"/>
        <v>992821</v>
      </c>
      <c r="F151" s="212">
        <f t="shared" si="108"/>
        <v>1438700</v>
      </c>
      <c r="G151" s="212">
        <f>G153*G19/$C$147</f>
        <v>1715408.2946964139</v>
      </c>
      <c r="H151" s="212">
        <f>H153*H19/$C$147</f>
        <v>2040229.2970377444</v>
      </c>
      <c r="I151" s="212">
        <f>I153*I19/$C$147</f>
        <v>2277608.3886850998</v>
      </c>
      <c r="J151" s="212">
        <f>J153*J19/$C$147</f>
        <v>2421846.0148757743</v>
      </c>
      <c r="K151" s="276"/>
      <c r="L151" s="5"/>
    </row>
    <row r="152" spans="1:12" ht="14.25" customHeight="1" x14ac:dyDescent="0.35">
      <c r="A152" s="5"/>
      <c r="B152" s="174" t="s">
        <v>372</v>
      </c>
      <c r="C152" s="212"/>
      <c r="D152" s="212">
        <f>D151-C151</f>
        <v>158574.46011000033</v>
      </c>
      <c r="E152" s="212">
        <f t="shared" ref="E152:F152" si="109">E151-D151</f>
        <v>470874.53988999967</v>
      </c>
      <c r="F152" s="212">
        <f t="shared" si="109"/>
        <v>445879</v>
      </c>
      <c r="G152" s="212">
        <f t="shared" ref="G152" si="110">G151-F151</f>
        <v>276708.29469641391</v>
      </c>
      <c r="H152" s="212">
        <f t="shared" ref="H152" si="111">H151-G151</f>
        <v>324821.00234133052</v>
      </c>
      <c r="I152" s="212">
        <f t="shared" ref="I152" si="112">I151-H151</f>
        <v>237379.09164735535</v>
      </c>
      <c r="J152" s="212">
        <f t="shared" ref="J152" si="113">J151-I151</f>
        <v>144237.62619067449</v>
      </c>
      <c r="K152" s="276"/>
      <c r="L152" s="5"/>
    </row>
    <row r="153" spans="1:12" ht="14.25" customHeight="1" x14ac:dyDescent="0.35">
      <c r="A153" s="5"/>
      <c r="B153" s="5" t="s">
        <v>373</v>
      </c>
      <c r="C153" s="286">
        <f>C151/C19*$C$147</f>
        <v>61.328862821693733</v>
      </c>
      <c r="D153" s="286">
        <f>D151/D19*$C$147</f>
        <v>80.889874774125886</v>
      </c>
      <c r="E153" s="286">
        <f>E151/E19*$C$147</f>
        <v>108.22246130322208</v>
      </c>
      <c r="F153" s="286">
        <f>F151/F19*$C$147</f>
        <v>120.91285579027256</v>
      </c>
      <c r="G153" s="287">
        <f>AVERAGE(E153:F153)</f>
        <v>114.56765854674731</v>
      </c>
      <c r="H153" s="288">
        <f>G153</f>
        <v>114.56765854674731</v>
      </c>
      <c r="I153" s="288">
        <f t="shared" ref="I153:J153" si="114">AVERAGE(G153:H153)</f>
        <v>114.56765854674731</v>
      </c>
      <c r="J153" s="289">
        <f t="shared" si="114"/>
        <v>114.56765854674731</v>
      </c>
      <c r="K153" s="276"/>
      <c r="L153" s="5"/>
    </row>
    <row r="154" spans="1:12" ht="14.25" customHeight="1" x14ac:dyDescent="0.35">
      <c r="A154" s="5"/>
      <c r="B154" s="5" t="s">
        <v>374</v>
      </c>
      <c r="C154" s="195"/>
      <c r="D154" s="195"/>
      <c r="E154" s="195"/>
      <c r="F154" s="195"/>
      <c r="G154" s="195"/>
      <c r="H154" s="195"/>
      <c r="I154" s="195"/>
      <c r="J154" s="195"/>
      <c r="K154" s="276"/>
      <c r="L154" s="5"/>
    </row>
    <row r="155" spans="1:12" ht="14.25" customHeight="1" x14ac:dyDescent="0.35">
      <c r="A155" s="5"/>
      <c r="B155" s="175"/>
      <c r="C155" s="195"/>
      <c r="D155" s="195"/>
      <c r="E155" s="195"/>
      <c r="F155" s="195"/>
      <c r="G155" s="195"/>
      <c r="H155" s="195"/>
      <c r="I155" s="195"/>
      <c r="J155" s="195"/>
      <c r="K155" s="276"/>
      <c r="L155" s="5"/>
    </row>
    <row r="156" spans="1:12" ht="14.25" customHeight="1" x14ac:dyDescent="0.35">
      <c r="A156" s="5"/>
      <c r="B156" s="5" t="s">
        <v>375</v>
      </c>
      <c r="C156" s="212">
        <f>C53</f>
        <v>960135</v>
      </c>
      <c r="D156" s="212">
        <f t="shared" ref="D156:F156" si="115">D53</f>
        <v>1420698.947690038</v>
      </c>
      <c r="E156" s="212">
        <f t="shared" si="115"/>
        <v>1643111</v>
      </c>
      <c r="F156" s="212">
        <f t="shared" si="115"/>
        <v>2086835</v>
      </c>
      <c r="G156" s="212">
        <f>G158*-G20/$C$147</f>
        <v>2447966.0904315161</v>
      </c>
      <c r="H156" s="212">
        <f>H158*-H20/$C$147</f>
        <v>2960025.5250113336</v>
      </c>
      <c r="I156" s="212">
        <f>I158*-I20/$C$147</f>
        <v>3331507.6200937191</v>
      </c>
      <c r="J156" s="212">
        <f>J158*-J20/$C$147</f>
        <v>3542487.1515819561</v>
      </c>
      <c r="K156" s="276"/>
      <c r="L156" s="5"/>
    </row>
    <row r="157" spans="1:12" ht="14.25" customHeight="1" x14ac:dyDescent="0.35">
      <c r="A157" s="5"/>
      <c r="B157" s="174" t="s">
        <v>372</v>
      </c>
      <c r="C157" s="218"/>
      <c r="D157" s="212">
        <f>D156-C156</f>
        <v>460563.94769003801</v>
      </c>
      <c r="E157" s="212">
        <f t="shared" ref="E157:J157" si="116">E156-D156</f>
        <v>222412.05230996199</v>
      </c>
      <c r="F157" s="212">
        <f t="shared" si="116"/>
        <v>443724</v>
      </c>
      <c r="G157" s="212">
        <f t="shared" si="116"/>
        <v>361131.09043151606</v>
      </c>
      <c r="H157" s="212">
        <f t="shared" si="116"/>
        <v>512059.43457981758</v>
      </c>
      <c r="I157" s="212">
        <f t="shared" si="116"/>
        <v>371482.09508238547</v>
      </c>
      <c r="J157" s="212">
        <f t="shared" si="116"/>
        <v>210979.53148823697</v>
      </c>
      <c r="K157" s="276"/>
      <c r="L157" s="5"/>
    </row>
    <row r="158" spans="1:12" ht="14.25" customHeight="1" x14ac:dyDescent="0.35">
      <c r="A158" s="5"/>
      <c r="B158" s="174" t="s">
        <v>376</v>
      </c>
      <c r="C158" s="219">
        <f>C156/C20*-$C$147</f>
        <v>245.259627921234</v>
      </c>
      <c r="D158" s="219">
        <f>D156/D20*-$C$147</f>
        <v>334.50679902752654</v>
      </c>
      <c r="E158" s="219">
        <f>E156/E20*-$C$147</f>
        <v>281.54918227880307</v>
      </c>
      <c r="F158" s="219">
        <f>F156/F20*-$C$147</f>
        <v>290.6576321906013</v>
      </c>
      <c r="G158" s="290">
        <f>AVERAGE(C158,E158:F158)</f>
        <v>272.4888141302128</v>
      </c>
      <c r="H158" s="291">
        <f>G158</f>
        <v>272.4888141302128</v>
      </c>
      <c r="I158" s="291">
        <f t="shared" ref="I158:J158" si="117">H158</f>
        <v>272.4888141302128</v>
      </c>
      <c r="J158" s="292">
        <f t="shared" si="117"/>
        <v>272.4888141302128</v>
      </c>
      <c r="K158" s="276"/>
      <c r="L158" s="5"/>
    </row>
    <row r="159" spans="1:12" ht="14.25" customHeight="1" x14ac:dyDescent="0.35">
      <c r="A159" s="5"/>
      <c r="B159" s="174"/>
      <c r="C159" s="219"/>
      <c r="D159" s="219"/>
      <c r="E159" s="219"/>
      <c r="F159" s="219"/>
      <c r="G159" s="219"/>
      <c r="H159" s="219"/>
      <c r="I159" s="219"/>
      <c r="J159" s="219"/>
      <c r="K159" s="276"/>
      <c r="L159" s="5"/>
    </row>
    <row r="160" spans="1:12" ht="14.25" customHeight="1" x14ac:dyDescent="0.35">
      <c r="A160" s="5"/>
      <c r="B160" s="5" t="s">
        <v>430</v>
      </c>
      <c r="C160" s="212">
        <f>C56</f>
        <v>23122</v>
      </c>
      <c r="D160" s="212">
        <f t="shared" ref="D160:F160" si="118">D56</f>
        <v>25753</v>
      </c>
      <c r="E160" s="212">
        <f t="shared" si="118"/>
        <v>37062</v>
      </c>
      <c r="F160" s="212">
        <f t="shared" si="118"/>
        <v>43855</v>
      </c>
      <c r="G160" s="212">
        <f>G162*G36/-$C$147</f>
        <v>58442.266051915802</v>
      </c>
      <c r="H160" s="212">
        <f t="shared" ref="H160:J160" si="119">H162*H36/-$C$147</f>
        <v>69508.596730607998</v>
      </c>
      <c r="I160" s="212">
        <f t="shared" si="119"/>
        <v>77595.867890546069</v>
      </c>
      <c r="J160" s="212">
        <f t="shared" si="119"/>
        <v>82509.901331210989</v>
      </c>
      <c r="K160" s="276"/>
      <c r="L160" s="5"/>
    </row>
    <row r="161" spans="1:12" ht="14.25" customHeight="1" x14ac:dyDescent="0.35">
      <c r="A161" s="5"/>
      <c r="B161" s="174" t="s">
        <v>372</v>
      </c>
      <c r="C161" s="219"/>
      <c r="D161" s="212">
        <f>D160-C160</f>
        <v>2631</v>
      </c>
      <c r="E161" s="212">
        <f t="shared" ref="E161:F161" si="120">E160-D160</f>
        <v>11309</v>
      </c>
      <c r="F161" s="212">
        <f t="shared" si="120"/>
        <v>6793</v>
      </c>
      <c r="G161" s="212">
        <f t="shared" ref="G161" si="121">G160-F160</f>
        <v>14587.266051915802</v>
      </c>
      <c r="H161" s="212">
        <f t="shared" ref="H161" si="122">H160-G160</f>
        <v>11066.330678692197</v>
      </c>
      <c r="I161" s="212">
        <f t="shared" ref="I161" si="123">I160-H160</f>
        <v>8087.2711599380709</v>
      </c>
      <c r="J161" s="212">
        <f t="shared" ref="J161" si="124">J160-I160</f>
        <v>4914.0334406649199</v>
      </c>
      <c r="K161" s="276"/>
      <c r="L161" s="5"/>
    </row>
    <row r="162" spans="1:12" ht="14.25" customHeight="1" x14ac:dyDescent="0.35">
      <c r="A162" s="5"/>
      <c r="B162" s="5" t="s">
        <v>431</v>
      </c>
      <c r="C162" s="286">
        <f>C160/C36*-$C$147</f>
        <v>184.08432578632815</v>
      </c>
      <c r="D162" s="286">
        <f t="shared" ref="D162:F162" si="125">D160/D36*-$C$147</f>
        <v>188.06629010440793</v>
      </c>
      <c r="E162" s="286">
        <f t="shared" si="125"/>
        <v>209.30736518848107</v>
      </c>
      <c r="F162" s="286">
        <f t="shared" si="125"/>
        <v>162.01000981751568</v>
      </c>
      <c r="G162" s="287">
        <f>AVERAGE(C162:F162)</f>
        <v>185.86699772418319</v>
      </c>
      <c r="H162" s="288">
        <f>G162</f>
        <v>185.86699772418319</v>
      </c>
      <c r="I162" s="288">
        <f t="shared" ref="I162:J162" si="126">H162</f>
        <v>185.86699772418319</v>
      </c>
      <c r="J162" s="289">
        <f t="shared" si="126"/>
        <v>185.86699772418319</v>
      </c>
      <c r="K162" s="276"/>
      <c r="L162" s="5"/>
    </row>
    <row r="163" spans="1:12" ht="14.25" customHeight="1" x14ac:dyDescent="0.35">
      <c r="A163" s="5"/>
      <c r="B163" s="5"/>
      <c r="C163" s="215"/>
      <c r="D163" s="215"/>
      <c r="E163" s="215"/>
      <c r="F163" s="215"/>
      <c r="G163" s="215"/>
      <c r="H163" s="215"/>
      <c r="I163" s="215"/>
      <c r="J163" s="215"/>
      <c r="K163" s="276"/>
      <c r="L163" s="5"/>
    </row>
    <row r="164" spans="1:12" s="284" customFormat="1" ht="14.25" customHeight="1" x14ac:dyDescent="0.35">
      <c r="A164" s="5"/>
      <c r="B164" s="281" t="s">
        <v>377</v>
      </c>
      <c r="C164" s="282">
        <f>C166+C170+C174+C178</f>
        <v>322298</v>
      </c>
      <c r="D164" s="282">
        <f t="shared" ref="D164:J164" si="127">D166+D170+D174+D178</f>
        <v>419333</v>
      </c>
      <c r="E164" s="282">
        <f t="shared" si="127"/>
        <v>513369</v>
      </c>
      <c r="F164" s="282">
        <f t="shared" si="127"/>
        <v>551911</v>
      </c>
      <c r="G164" s="282">
        <f t="shared" si="127"/>
        <v>822654.53078161832</v>
      </c>
      <c r="H164" s="282">
        <f t="shared" si="127"/>
        <v>984737.5086496718</v>
      </c>
      <c r="I164" s="282">
        <f t="shared" si="127"/>
        <v>1100660.7257353847</v>
      </c>
      <c r="J164" s="282">
        <f t="shared" si="127"/>
        <v>1165745.0525618498</v>
      </c>
      <c r="K164" s="283"/>
      <c r="L164" s="280"/>
    </row>
    <row r="165" spans="1:12" ht="14.25" customHeight="1" x14ac:dyDescent="0.35">
      <c r="A165" s="5"/>
      <c r="B165" s="5"/>
      <c r="C165" s="215"/>
      <c r="D165" s="215"/>
      <c r="E165" s="215"/>
      <c r="F165" s="215"/>
      <c r="G165" s="215"/>
      <c r="H165" s="215"/>
      <c r="I165" s="215"/>
      <c r="J165" s="215"/>
      <c r="K165" s="276"/>
      <c r="L165" s="5"/>
    </row>
    <row r="166" spans="1:12" ht="14.25" customHeight="1" x14ac:dyDescent="0.35">
      <c r="A166" s="5"/>
      <c r="B166" s="5" t="s">
        <v>378</v>
      </c>
      <c r="C166" s="212">
        <f>C81</f>
        <v>112474</v>
      </c>
      <c r="D166" s="212">
        <f t="shared" ref="D166:F166" si="128">D81</f>
        <v>121652</v>
      </c>
      <c r="E166" s="212">
        <f t="shared" si="128"/>
        <v>128837</v>
      </c>
      <c r="F166" s="212">
        <f t="shared" si="128"/>
        <v>181281</v>
      </c>
      <c r="G166" s="198">
        <f>G168*G20/-$C$147</f>
        <v>235147.81359720969</v>
      </c>
      <c r="H166" s="198">
        <f>H168*H20/-$C$147</f>
        <v>284335.44611545349</v>
      </c>
      <c r="I166" s="198">
        <f>I168*I20/-$C$147</f>
        <v>320019.43814074161</v>
      </c>
      <c r="J166" s="198">
        <f>J168*J20/-$C$147</f>
        <v>340285.8036501091</v>
      </c>
      <c r="K166" s="276"/>
      <c r="L166" s="5"/>
    </row>
    <row r="167" spans="1:12" ht="14.25" customHeight="1" x14ac:dyDescent="0.35">
      <c r="A167" s="5"/>
      <c r="B167" s="174" t="s">
        <v>372</v>
      </c>
      <c r="C167" s="218"/>
      <c r="D167" s="212">
        <f>D166-C166</f>
        <v>9178</v>
      </c>
      <c r="E167" s="212">
        <f t="shared" ref="E167:F167" si="129">E166-D166</f>
        <v>7185</v>
      </c>
      <c r="F167" s="212">
        <f t="shared" si="129"/>
        <v>52444</v>
      </c>
      <c r="G167" s="212">
        <f t="shared" ref="G167" si="130">G166-F166</f>
        <v>53866.813597209693</v>
      </c>
      <c r="H167" s="212">
        <f t="shared" ref="H167" si="131">H166-G166</f>
        <v>49187.632518243801</v>
      </c>
      <c r="I167" s="212">
        <f t="shared" ref="I167" si="132">I166-H166</f>
        <v>35683.992025288113</v>
      </c>
      <c r="J167" s="212">
        <f t="shared" ref="J167" si="133">J166-I166</f>
        <v>20266.36550936749</v>
      </c>
      <c r="K167" s="276"/>
      <c r="L167" s="5"/>
    </row>
    <row r="168" spans="1:12" ht="14.25" customHeight="1" x14ac:dyDescent="0.35">
      <c r="A168" s="5"/>
      <c r="B168" s="174" t="s">
        <v>376</v>
      </c>
      <c r="C168" s="219">
        <f>C166/C20*-$C$147</f>
        <v>28.730679946895879</v>
      </c>
      <c r="D168" s="219">
        <f>D166/D20*-$C$147</f>
        <v>28.643240132936999</v>
      </c>
      <c r="E168" s="219">
        <f>E166/E20*-$C$147</f>
        <v>22.076385586399308</v>
      </c>
      <c r="F168" s="219">
        <f>F166/F20*-$C$147</f>
        <v>25.249100298367811</v>
      </c>
      <c r="G168" s="287">
        <f>AVERAGE(C168:F168)</f>
        <v>26.174851491149997</v>
      </c>
      <c r="H168" s="288">
        <f>G168</f>
        <v>26.174851491149997</v>
      </c>
      <c r="I168" s="288">
        <f t="shared" ref="I168:J168" si="134">H168</f>
        <v>26.174851491149997</v>
      </c>
      <c r="J168" s="289">
        <f t="shared" si="134"/>
        <v>26.174851491149997</v>
      </c>
      <c r="K168" s="276"/>
      <c r="L168" s="5"/>
    </row>
    <row r="169" spans="1:12" ht="14.25" customHeight="1" x14ac:dyDescent="0.35">
      <c r="A169" s="5"/>
      <c r="B169" s="5"/>
      <c r="C169" s="215"/>
      <c r="D169" s="215"/>
      <c r="E169" s="215"/>
      <c r="F169" s="215"/>
      <c r="G169" s="215"/>
      <c r="H169" s="215"/>
      <c r="I169" s="215"/>
      <c r="J169" s="215"/>
      <c r="K169" s="276"/>
      <c r="L169" s="5"/>
    </row>
    <row r="170" spans="1:12" ht="14.25" customHeight="1" x14ac:dyDescent="0.35">
      <c r="A170" s="5"/>
      <c r="B170" s="5" t="s">
        <v>379</v>
      </c>
      <c r="C170" s="212">
        <f>C90</f>
        <v>28540</v>
      </c>
      <c r="D170" s="212">
        <f t="shared" ref="D170:F170" si="135">D90</f>
        <v>69264</v>
      </c>
      <c r="E170" s="212">
        <f t="shared" si="135"/>
        <v>66546</v>
      </c>
      <c r="F170" s="212">
        <f t="shared" si="135"/>
        <v>83947</v>
      </c>
      <c r="G170" s="212">
        <f>G172*G19/$C$147</f>
        <v>111773.57110482677</v>
      </c>
      <c r="H170" s="212">
        <f>H172*H19/$C$147</f>
        <v>132938.44684536595</v>
      </c>
      <c r="I170" s="212">
        <f>I172*I19/$C$147</f>
        <v>148405.73172505139</v>
      </c>
      <c r="J170" s="212">
        <f>J172*J19/$C$147</f>
        <v>157804.05084059932</v>
      </c>
      <c r="K170" s="276"/>
      <c r="L170" s="5"/>
    </row>
    <row r="171" spans="1:12" ht="14.25" customHeight="1" x14ac:dyDescent="0.35">
      <c r="A171" s="5"/>
      <c r="B171" s="174" t="s">
        <v>372</v>
      </c>
      <c r="C171" s="218"/>
      <c r="D171" s="212">
        <f>D170-C170</f>
        <v>40724</v>
      </c>
      <c r="E171" s="212">
        <f t="shared" ref="E171:J171" si="136">E170-D170</f>
        <v>-2718</v>
      </c>
      <c r="F171" s="212">
        <f t="shared" si="136"/>
        <v>17401</v>
      </c>
      <c r="G171" s="212">
        <f t="shared" si="136"/>
        <v>27826.571104826769</v>
      </c>
      <c r="H171" s="212">
        <f t="shared" si="136"/>
        <v>21164.875740539181</v>
      </c>
      <c r="I171" s="212">
        <f t="shared" si="136"/>
        <v>15467.284879685438</v>
      </c>
      <c r="J171" s="212">
        <f t="shared" si="136"/>
        <v>9398.319115547929</v>
      </c>
      <c r="K171" s="276"/>
      <c r="L171" s="5"/>
    </row>
    <row r="172" spans="1:12" ht="14.25" customHeight="1" x14ac:dyDescent="0.35">
      <c r="A172" s="5"/>
      <c r="B172" s="174" t="s">
        <v>380</v>
      </c>
      <c r="C172" s="219">
        <f>C170/C19*$C$147</f>
        <v>4.8168976831763013</v>
      </c>
      <c r="D172" s="219">
        <f>D170/D19*$C$147</f>
        <v>10.734350579126973</v>
      </c>
      <c r="E172" s="219">
        <f>E170/E19*$C$147</f>
        <v>7.2538472795037743</v>
      </c>
      <c r="F172" s="219">
        <f>F170/F19*$C$147</f>
        <v>7.0551689059748446</v>
      </c>
      <c r="G172" s="290">
        <f>AVERAGE(C172:F172)</f>
        <v>7.4650661119454735</v>
      </c>
      <c r="H172" s="288">
        <f>G172</f>
        <v>7.4650661119454735</v>
      </c>
      <c r="I172" s="288">
        <f t="shared" ref="I172:J172" si="137">H172</f>
        <v>7.4650661119454735</v>
      </c>
      <c r="J172" s="289">
        <f t="shared" si="137"/>
        <v>7.4650661119454735</v>
      </c>
      <c r="K172" s="276"/>
      <c r="L172" s="5"/>
    </row>
    <row r="173" spans="1:12" ht="14.25" customHeight="1" x14ac:dyDescent="0.35">
      <c r="A173" s="5"/>
      <c r="B173" s="5"/>
      <c r="C173" s="215"/>
      <c r="D173" s="215"/>
      <c r="E173" s="215"/>
      <c r="F173" s="215"/>
      <c r="G173" s="215"/>
      <c r="H173" s="215"/>
      <c r="I173" s="215"/>
      <c r="J173" s="215"/>
      <c r="K173" s="276"/>
      <c r="L173" s="5"/>
    </row>
    <row r="174" spans="1:12" ht="14.25" customHeight="1" x14ac:dyDescent="0.35">
      <c r="A174" s="5"/>
      <c r="B174" s="5" t="s">
        <v>381</v>
      </c>
      <c r="C174" s="212">
        <f>C89</f>
        <v>113361</v>
      </c>
      <c r="D174" s="212">
        <f t="shared" ref="D174:F174" si="138">D89</f>
        <v>146827</v>
      </c>
      <c r="E174" s="212">
        <f t="shared" si="138"/>
        <v>194059</v>
      </c>
      <c r="F174" s="212">
        <f t="shared" si="138"/>
        <v>131775</v>
      </c>
      <c r="G174" s="198">
        <f>G176*G20/-$C$147</f>
        <v>279436.76946350269</v>
      </c>
      <c r="H174" s="198">
        <f>H176*H20/-$C$147</f>
        <v>337888.65518675186</v>
      </c>
      <c r="I174" s="198">
        <f>I176*I20/-$C$147</f>
        <v>380293.55489884596</v>
      </c>
      <c r="J174" s="198">
        <f>J176*J20/-$C$147</f>
        <v>404376.99254630291</v>
      </c>
      <c r="K174" s="276"/>
      <c r="L174" s="5"/>
    </row>
    <row r="175" spans="1:12" ht="14.25" customHeight="1" x14ac:dyDescent="0.35">
      <c r="A175" s="5"/>
      <c r="B175" s="174" t="s">
        <v>372</v>
      </c>
      <c r="C175" s="218"/>
      <c r="D175" s="212">
        <f>D174-C174</f>
        <v>33466</v>
      </c>
      <c r="E175" s="212">
        <f t="shared" ref="E175:F175" si="139">E174-D174</f>
        <v>47232</v>
      </c>
      <c r="F175" s="212">
        <f t="shared" si="139"/>
        <v>-62284</v>
      </c>
      <c r="G175" s="212">
        <f t="shared" ref="G175" si="140">G174-F174</f>
        <v>147661.76946350269</v>
      </c>
      <c r="H175" s="212">
        <f t="shared" ref="H175" si="141">H174-G174</f>
        <v>58451.885723249172</v>
      </c>
      <c r="I175" s="212">
        <f t="shared" ref="I175" si="142">I174-H174</f>
        <v>42404.899712094106</v>
      </c>
      <c r="J175" s="212">
        <f t="shared" ref="J175" si="143">J174-I174</f>
        <v>24083.437647456944</v>
      </c>
      <c r="K175" s="276"/>
      <c r="L175" s="5"/>
    </row>
    <row r="176" spans="1:12" ht="14.25" customHeight="1" x14ac:dyDescent="0.35">
      <c r="A176" s="5"/>
      <c r="B176" s="174" t="s">
        <v>376</v>
      </c>
      <c r="C176" s="219">
        <f>C174/C20*-$C$147</f>
        <v>28.957257761438768</v>
      </c>
      <c r="D176" s="219">
        <f>D174/D20*-$C$147</f>
        <v>34.570751150813308</v>
      </c>
      <c r="E176" s="219">
        <f>E174/E20*-$C$147</f>
        <v>33.252259137600717</v>
      </c>
      <c r="F176" s="219">
        <f>F174/F20*-$C$147</f>
        <v>18.353827438161851</v>
      </c>
      <c r="G176" s="287">
        <f>MEDIAN(C176:F176)</f>
        <v>31.104758449519743</v>
      </c>
      <c r="H176" s="288">
        <f>G176</f>
        <v>31.104758449519743</v>
      </c>
      <c r="I176" s="288">
        <f t="shared" ref="I176:J176" si="144">H176</f>
        <v>31.104758449519743</v>
      </c>
      <c r="J176" s="289">
        <f t="shared" si="144"/>
        <v>31.104758449519743</v>
      </c>
      <c r="K176" s="276"/>
      <c r="L176" s="5"/>
    </row>
    <row r="177" spans="1:12" ht="14.25" customHeight="1" x14ac:dyDescent="0.35">
      <c r="A177" s="5"/>
      <c r="B177" s="5"/>
      <c r="C177" s="215"/>
      <c r="D177" s="215"/>
      <c r="E177" s="215"/>
      <c r="F177" s="215"/>
      <c r="G177" s="215"/>
      <c r="H177" s="215"/>
      <c r="I177" s="215"/>
      <c r="J177" s="215"/>
      <c r="K177" s="276"/>
      <c r="L177" s="5"/>
    </row>
    <row r="178" spans="1:12" ht="14.25" customHeight="1" x14ac:dyDescent="0.35">
      <c r="A178" s="5"/>
      <c r="B178" s="5" t="s">
        <v>382</v>
      </c>
      <c r="C178" s="212">
        <f>C83</f>
        <v>67923</v>
      </c>
      <c r="D178" s="212">
        <f t="shared" ref="D178:F178" si="145">D83</f>
        <v>81590</v>
      </c>
      <c r="E178" s="212">
        <f t="shared" si="145"/>
        <v>123927</v>
      </c>
      <c r="F178" s="212">
        <f t="shared" si="145"/>
        <v>154908</v>
      </c>
      <c r="G178" s="198">
        <f>G180*G25/-$C$147</f>
        <v>196296.37661607919</v>
      </c>
      <c r="H178" s="198">
        <f>H180*H25/-$C$147</f>
        <v>229574.96050210053</v>
      </c>
      <c r="I178" s="198">
        <f>I180*I25/-$C$147</f>
        <v>251942.00097074575</v>
      </c>
      <c r="J178" s="198">
        <f>J180*J25/-$C$147</f>
        <v>263278.20552483847</v>
      </c>
      <c r="K178" s="276"/>
      <c r="L178" s="5"/>
    </row>
    <row r="179" spans="1:12" ht="14.25" customHeight="1" x14ac:dyDescent="0.35">
      <c r="B179" s="174" t="s">
        <v>372</v>
      </c>
      <c r="C179" s="218"/>
      <c r="D179" s="212">
        <f>D178-C178</f>
        <v>13667</v>
      </c>
      <c r="E179" s="212">
        <f t="shared" ref="E179:J179" si="146">E178-D178</f>
        <v>42337</v>
      </c>
      <c r="F179" s="212">
        <f t="shared" si="146"/>
        <v>30981</v>
      </c>
      <c r="G179" s="212">
        <f t="shared" si="146"/>
        <v>41388.376616079186</v>
      </c>
      <c r="H179" s="212">
        <f t="shared" si="146"/>
        <v>33278.583886021341</v>
      </c>
      <c r="I179" s="212">
        <f t="shared" si="146"/>
        <v>22367.040468645224</v>
      </c>
      <c r="J179" s="212">
        <f t="shared" si="146"/>
        <v>11336.204554092721</v>
      </c>
    </row>
    <row r="180" spans="1:12" ht="14.25" customHeight="1" x14ac:dyDescent="0.35">
      <c r="B180" s="174" t="s">
        <v>383</v>
      </c>
      <c r="C180" s="219">
        <f>C178/C25*-$C$147</f>
        <v>163.50149375787274</v>
      </c>
      <c r="D180" s="219">
        <f>D178/D25*-$C$147</f>
        <v>170.45612979971173</v>
      </c>
      <c r="E180" s="219">
        <f>E178/E25*-$C$147</f>
        <v>215.08249844275275</v>
      </c>
      <c r="F180" s="219">
        <f>F178/F25*-$C$147</f>
        <v>221.92165035854322</v>
      </c>
      <c r="G180" s="287">
        <f>AVERAGE(E180:F180)</f>
        <v>218.50207440064798</v>
      </c>
      <c r="H180" s="288">
        <f>G180</f>
        <v>218.50207440064798</v>
      </c>
      <c r="I180" s="288">
        <f t="shared" ref="I180:J180" si="147">H180</f>
        <v>218.50207440064798</v>
      </c>
      <c r="J180" s="289">
        <f t="shared" si="147"/>
        <v>218.50207440064798</v>
      </c>
    </row>
    <row r="181" spans="1:12" ht="18" customHeight="1" thickBot="1" x14ac:dyDescent="0.5">
      <c r="A181" s="169" t="s">
        <v>110</v>
      </c>
      <c r="B181" s="172" t="s">
        <v>384</v>
      </c>
      <c r="C181" s="196"/>
      <c r="D181" s="196"/>
      <c r="E181" s="196"/>
      <c r="F181" s="196"/>
      <c r="G181" s="293"/>
      <c r="H181" s="293"/>
      <c r="I181" s="293"/>
      <c r="J181" s="293"/>
    </row>
    <row r="182" spans="1:12" x14ac:dyDescent="0.35">
      <c r="F182" s="256"/>
      <c r="G182" s="256"/>
      <c r="H182" s="256"/>
      <c r="I182" s="256"/>
      <c r="J182" s="256"/>
    </row>
    <row r="183" spans="1:12" s="252" customFormat="1" ht="14.25" customHeight="1" x14ac:dyDescent="0.35">
      <c r="A183"/>
      <c r="B183" s="253" t="s">
        <v>434</v>
      </c>
      <c r="C183" s="298"/>
      <c r="D183" s="298"/>
      <c r="E183" s="298"/>
      <c r="F183" s="298"/>
      <c r="G183" s="271">
        <f>F186</f>
        <v>2758347</v>
      </c>
      <c r="H183" s="271">
        <f t="shared" ref="H183:J183" si="148">G186</f>
        <v>2483542</v>
      </c>
      <c r="I183" s="271">
        <f t="shared" si="148"/>
        <v>2401542</v>
      </c>
      <c r="J183" s="271">
        <f t="shared" si="148"/>
        <v>2611542</v>
      </c>
      <c r="K183" s="295"/>
    </row>
    <row r="184" spans="1:12" ht="14.25" customHeight="1" x14ac:dyDescent="0.35">
      <c r="B184" s="5" t="s">
        <v>385</v>
      </c>
      <c r="C184" s="211"/>
      <c r="D184" s="211"/>
      <c r="E184" s="211"/>
      <c r="F184" s="211"/>
      <c r="G184" s="211">
        <v>0</v>
      </c>
      <c r="H184" s="211">
        <v>200000</v>
      </c>
      <c r="I184" s="211">
        <v>400000</v>
      </c>
      <c r="J184" s="211">
        <v>500000</v>
      </c>
      <c r="K184" s="328"/>
    </row>
    <row r="185" spans="1:12" ht="14.25" customHeight="1" x14ac:dyDescent="0.35">
      <c r="B185" s="5" t="s">
        <v>435</v>
      </c>
      <c r="C185" s="211"/>
      <c r="D185" s="211"/>
      <c r="E185" s="211"/>
      <c r="F185" s="211"/>
      <c r="G185" s="211">
        <f>-F79</f>
        <v>-274805</v>
      </c>
      <c r="H185" s="211">
        <v>-282000</v>
      </c>
      <c r="I185" s="211">
        <v>-190000</v>
      </c>
      <c r="J185" s="211">
        <v>-572000</v>
      </c>
    </row>
    <row r="186" spans="1:12" s="252" customFormat="1" ht="14.25" customHeight="1" x14ac:dyDescent="0.35">
      <c r="A186"/>
      <c r="B186" s="173" t="s">
        <v>436</v>
      </c>
      <c r="C186" s="204"/>
      <c r="D186" s="204"/>
      <c r="E186" s="204"/>
      <c r="F186" s="204">
        <f>F97+F79</f>
        <v>2758347</v>
      </c>
      <c r="G186" s="204">
        <f t="shared" ref="G186:J186" si="149">G183+G184+G185</f>
        <v>2483542</v>
      </c>
      <c r="H186" s="204">
        <f t="shared" si="149"/>
        <v>2401542</v>
      </c>
      <c r="I186" s="204">
        <f t="shared" si="149"/>
        <v>2611542</v>
      </c>
      <c r="J186" s="204">
        <f t="shared" si="149"/>
        <v>2539542</v>
      </c>
      <c r="K186" s="295"/>
    </row>
    <row r="187" spans="1:12" ht="14.25" customHeight="1" x14ac:dyDescent="0.35">
      <c r="B187" s="9" t="s">
        <v>433</v>
      </c>
      <c r="C187" s="321">
        <f>('Inputs - BP'!C109+'Inputs - BP'!C125)/'Inputs - BP'!C137</f>
        <v>1.0774003648115746</v>
      </c>
      <c r="D187" s="321">
        <f>('Inputs - BP'!D109+'Inputs - BP'!D125)/'Inputs - BP'!D137</f>
        <v>0.67730143006698562</v>
      </c>
      <c r="E187" s="321">
        <f>('Inputs - BP'!E109+'Inputs - BP'!E125)/'Inputs - BP'!E137</f>
        <v>0.7688881479485794</v>
      </c>
      <c r="F187" s="321">
        <f>('Inputs - BP'!F109+'Inputs - BP'!F125)/'Inputs - BP'!F137</f>
        <v>1.4391718550511552</v>
      </c>
      <c r="G187" s="321">
        <f>G186/G110</f>
        <v>0.89639528489858644</v>
      </c>
      <c r="H187" s="321">
        <f t="shared" ref="H187:J187" si="150">H186/H110</f>
        <v>0.69966942756993789</v>
      </c>
      <c r="I187" s="321">
        <f t="shared" si="150"/>
        <v>0.64660212655329474</v>
      </c>
      <c r="J187" s="321">
        <f t="shared" si="150"/>
        <v>0.55691702884679373</v>
      </c>
    </row>
    <row r="188" spans="1:12" ht="14.25" customHeight="1" x14ac:dyDescent="0.35">
      <c r="B188" s="9"/>
      <c r="C188" s="321"/>
      <c r="D188" s="321"/>
      <c r="E188" s="321"/>
      <c r="F188" s="322">
        <f>AVERAGE(D187:E187)</f>
        <v>0.72309478900778257</v>
      </c>
      <c r="G188" s="321"/>
      <c r="H188" s="321"/>
      <c r="I188" s="321"/>
      <c r="J188" s="321"/>
    </row>
    <row r="189" spans="1:12" ht="14.25" customHeight="1" x14ac:dyDescent="0.35">
      <c r="B189" s="5"/>
      <c r="C189" s="198"/>
      <c r="D189" s="198"/>
      <c r="E189" s="198"/>
      <c r="F189" s="198"/>
      <c r="G189" s="198"/>
      <c r="H189" s="198"/>
      <c r="I189" s="198"/>
      <c r="J189" s="198"/>
    </row>
    <row r="190" spans="1:12" ht="14.25" customHeight="1" x14ac:dyDescent="0.35">
      <c r="B190" s="9" t="s">
        <v>437</v>
      </c>
      <c r="C190" s="200"/>
      <c r="D190" s="200"/>
      <c r="E190" s="200"/>
      <c r="F190" s="200"/>
      <c r="G190" s="300">
        <f>'Projeções Macro'!G6+2.5%</f>
        <v>0.155</v>
      </c>
      <c r="H190" s="301">
        <f>G190</f>
        <v>0.155</v>
      </c>
      <c r="I190" s="301">
        <v>0.15</v>
      </c>
      <c r="J190" s="301">
        <f t="shared" ref="J190" si="151">I190</f>
        <v>0.15</v>
      </c>
    </row>
    <row r="191" spans="1:12" ht="14.25" customHeight="1" x14ac:dyDescent="0.35">
      <c r="B191" s="5" t="s">
        <v>438</v>
      </c>
      <c r="C191" s="299">
        <v>0.14000000000000001</v>
      </c>
      <c r="D191" s="195"/>
      <c r="E191" s="195"/>
      <c r="F191" s="195"/>
      <c r="G191" s="211">
        <f>G183*-G190</f>
        <v>-427543.78499999997</v>
      </c>
      <c r="H191" s="211">
        <f t="shared" ref="H191:J191" si="152">H183*-H190</f>
        <v>-384949.01</v>
      </c>
      <c r="I191" s="211">
        <f>I183*-I190</f>
        <v>-360231.3</v>
      </c>
      <c r="J191" s="211">
        <f t="shared" si="152"/>
        <v>-391731.3</v>
      </c>
    </row>
    <row r="192" spans="1:12" ht="14.25" customHeight="1" x14ac:dyDescent="0.35">
      <c r="B192" s="5"/>
      <c r="C192" s="206"/>
      <c r="D192" s="206"/>
      <c r="E192" s="206"/>
      <c r="F192" s="206"/>
      <c r="G192" s="198"/>
      <c r="H192" s="198"/>
      <c r="I192" s="198"/>
      <c r="J192" s="198"/>
    </row>
    <row r="193" spans="1:13" ht="14.25" hidden="1" customHeight="1" x14ac:dyDescent="0.35">
      <c r="B193" s="5"/>
      <c r="C193" s="220"/>
      <c r="D193" s="220"/>
      <c r="E193" s="220"/>
      <c r="F193" s="220"/>
      <c r="G193" s="221"/>
      <c r="H193" s="221"/>
      <c r="I193" s="221"/>
      <c r="J193" s="221"/>
    </row>
    <row r="194" spans="1:13" ht="14.25" customHeight="1" x14ac:dyDescent="0.35">
      <c r="B194" s="4"/>
      <c r="C194" s="303"/>
      <c r="D194" s="303"/>
      <c r="E194" s="303"/>
      <c r="F194" s="303"/>
      <c r="G194" s="303"/>
      <c r="H194" s="303"/>
      <c r="I194" s="303"/>
      <c r="J194" s="303"/>
    </row>
    <row r="195" spans="1:13" ht="14.25" customHeight="1" x14ac:dyDescent="0.35">
      <c r="A195" s="176"/>
      <c r="B195" s="176"/>
      <c r="C195" s="309"/>
      <c r="D195" s="309"/>
      <c r="E195" s="309"/>
      <c r="F195" s="309"/>
      <c r="G195" s="309"/>
      <c r="H195" s="309"/>
      <c r="I195" s="309"/>
      <c r="J195" s="309"/>
      <c r="K195" s="279"/>
      <c r="L195" s="176"/>
      <c r="M195" s="176"/>
    </row>
    <row r="196" spans="1:13" ht="14.25" customHeight="1" thickBot="1" x14ac:dyDescent="0.5">
      <c r="A196" s="169" t="s">
        <v>386</v>
      </c>
      <c r="B196" s="296" t="s">
        <v>387</v>
      </c>
      <c r="C196" s="226"/>
      <c r="D196" s="226"/>
      <c r="E196" s="226"/>
      <c r="F196" s="226"/>
      <c r="G196" s="226"/>
      <c r="H196" s="226"/>
      <c r="I196" s="226"/>
      <c r="J196" s="226"/>
      <c r="K196" s="279"/>
      <c r="L196" s="176"/>
      <c r="M196" s="176"/>
    </row>
    <row r="197" spans="1:13" ht="14.25" customHeight="1" x14ac:dyDescent="0.35">
      <c r="A197" s="176"/>
      <c r="B197" s="171" t="s">
        <v>388</v>
      </c>
      <c r="C197" s="224"/>
      <c r="D197" s="222"/>
      <c r="E197" s="222">
        <f t="shared" ref="E197:F197" si="153">D200</f>
        <v>0</v>
      </c>
      <c r="F197" s="222">
        <f t="shared" si="153"/>
        <v>0</v>
      </c>
      <c r="G197" s="320">
        <f>F200</f>
        <v>260159</v>
      </c>
      <c r="H197" s="222">
        <f t="shared" ref="H197:J197" si="154">G200</f>
        <v>259932.79348646349</v>
      </c>
      <c r="I197" s="222">
        <f t="shared" si="154"/>
        <v>279719.00614746637</v>
      </c>
      <c r="J197" s="222">
        <f t="shared" si="154"/>
        <v>306044.93354528968</v>
      </c>
      <c r="K197" s="279"/>
      <c r="L197" s="176"/>
      <c r="M197" s="176"/>
    </row>
    <row r="198" spans="1:13" ht="14.25" customHeight="1" x14ac:dyDescent="0.35">
      <c r="A198" s="176"/>
      <c r="B198" s="171" t="s">
        <v>389</v>
      </c>
      <c r="C198" s="224"/>
      <c r="D198" s="224"/>
      <c r="E198" s="224"/>
      <c r="F198" s="224"/>
      <c r="G198" s="222">
        <f>$G$203*G19</f>
        <v>105203.22823646353</v>
      </c>
      <c r="H198" s="222">
        <f>$G$203*H19</f>
        <v>125123.97722139221</v>
      </c>
      <c r="I198" s="222">
        <f>$G$203*I19</f>
        <v>139682.05463908403</v>
      </c>
      <c r="J198" s="222">
        <f>$G$203*J19</f>
        <v>148527.91597445126</v>
      </c>
      <c r="K198" s="279"/>
      <c r="L198" s="176"/>
      <c r="M198" s="176"/>
    </row>
    <row r="199" spans="1:13" ht="14.25" customHeight="1" x14ac:dyDescent="0.35">
      <c r="A199" s="176"/>
      <c r="B199" s="297" t="s">
        <v>390</v>
      </c>
      <c r="C199" s="224"/>
      <c r="D199" s="224"/>
      <c r="E199" s="224"/>
      <c r="F199" s="224"/>
      <c r="G199" s="222">
        <f>-$G$202*G197</f>
        <v>-105429.43475</v>
      </c>
      <c r="H199" s="222">
        <f t="shared" ref="H199:J199" si="155">-$G$202*H197</f>
        <v>-105337.76456038933</v>
      </c>
      <c r="I199" s="222">
        <f t="shared" si="155"/>
        <v>-113356.12724126075</v>
      </c>
      <c r="J199" s="222">
        <f t="shared" si="155"/>
        <v>-124024.70931922864</v>
      </c>
      <c r="K199" s="279"/>
      <c r="L199" s="176"/>
      <c r="M199" s="176"/>
    </row>
    <row r="200" spans="1:13" ht="14.25" customHeight="1" x14ac:dyDescent="0.35">
      <c r="A200" s="176"/>
      <c r="B200" s="4" t="s">
        <v>391</v>
      </c>
      <c r="C200" s="223"/>
      <c r="D200" s="223"/>
      <c r="E200" s="223"/>
      <c r="F200" s="223">
        <f>F73</f>
        <v>260159</v>
      </c>
      <c r="G200" s="223">
        <f>G197+G198+G199</f>
        <v>259932.79348646349</v>
      </c>
      <c r="H200" s="223">
        <f t="shared" ref="H200:J200" si="156">H197+H198+H199</f>
        <v>279719.00614746637</v>
      </c>
      <c r="I200" s="223">
        <f t="shared" si="156"/>
        <v>306044.93354528968</v>
      </c>
      <c r="J200" s="223">
        <f t="shared" si="156"/>
        <v>330548.14020051225</v>
      </c>
      <c r="K200" s="279"/>
      <c r="L200" s="176"/>
      <c r="M200" s="176"/>
    </row>
    <row r="201" spans="1:13" ht="14.25" customHeight="1" x14ac:dyDescent="0.35">
      <c r="A201" s="176"/>
      <c r="B201" s="4"/>
      <c r="C201" s="303"/>
      <c r="D201" s="303"/>
      <c r="E201" s="303"/>
      <c r="F201" s="303"/>
      <c r="G201" s="303"/>
      <c r="H201" s="303"/>
      <c r="I201" s="303"/>
      <c r="J201" s="303"/>
      <c r="K201" s="279"/>
      <c r="L201" s="176"/>
      <c r="M201" s="176"/>
    </row>
    <row r="202" spans="1:13" ht="14.25" customHeight="1" x14ac:dyDescent="0.35">
      <c r="A202" s="176"/>
      <c r="B202" s="4" t="s">
        <v>443</v>
      </c>
      <c r="C202" s="317">
        <v>0.45200000000000001</v>
      </c>
      <c r="D202" s="317">
        <v>0.376</v>
      </c>
      <c r="E202" s="317">
        <v>0.47599999999999998</v>
      </c>
      <c r="F202" s="317">
        <v>0.317</v>
      </c>
      <c r="G202" s="318">
        <f>AVERAGE(C202:F202)</f>
        <v>0.40525</v>
      </c>
      <c r="H202" s="303"/>
      <c r="I202" s="303"/>
      <c r="J202" s="303"/>
      <c r="K202" s="279"/>
      <c r="L202" s="176"/>
      <c r="M202" s="176"/>
    </row>
    <row r="203" spans="1:13" ht="14.25" customHeight="1" x14ac:dyDescent="0.35">
      <c r="A203" s="176"/>
      <c r="B203" s="4" t="s">
        <v>444</v>
      </c>
      <c r="C203" s="317">
        <v>2.5999999999999999E-2</v>
      </c>
      <c r="D203" s="317">
        <v>0.01</v>
      </c>
      <c r="E203" s="317">
        <v>2.3E-2</v>
      </c>
      <c r="F203" s="317">
        <v>1.7999999999999999E-2</v>
      </c>
      <c r="G203" s="319">
        <f>AVERAGE(C203:F203)</f>
        <v>1.925E-2</v>
      </c>
      <c r="H203" s="303"/>
      <c r="I203" s="303"/>
      <c r="J203" s="303"/>
      <c r="K203" s="279"/>
      <c r="L203" s="176"/>
      <c r="M203" s="176"/>
    </row>
    <row r="204" spans="1:13" ht="14.25" customHeight="1" x14ac:dyDescent="0.35">
      <c r="A204" s="176"/>
      <c r="B204" s="4"/>
      <c r="C204" s="303"/>
      <c r="D204" s="303"/>
      <c r="E204" s="303"/>
      <c r="F204" s="303"/>
      <c r="G204" s="303"/>
      <c r="H204" s="303"/>
      <c r="I204" s="303"/>
      <c r="J204" s="303"/>
      <c r="K204" s="279"/>
      <c r="L204" s="176"/>
      <c r="M204" s="176"/>
    </row>
    <row r="205" spans="1:13" ht="14.25" customHeight="1" x14ac:dyDescent="0.35">
      <c r="A205" s="176"/>
      <c r="B205" s="176"/>
      <c r="C205" s="225"/>
      <c r="D205" s="225"/>
      <c r="E205" s="225"/>
      <c r="F205" s="225"/>
      <c r="G205" s="225"/>
      <c r="H205" s="225"/>
      <c r="I205" s="225"/>
      <c r="J205" s="225"/>
      <c r="K205" s="279"/>
      <c r="L205" s="176"/>
      <c r="M205" s="176"/>
    </row>
    <row r="206" spans="1:13" s="284" customFormat="1" ht="14.25" customHeight="1" x14ac:dyDescent="0.35">
      <c r="A206" s="176"/>
      <c r="B206" s="308" t="s">
        <v>441</v>
      </c>
      <c r="C206" s="312">
        <v>195489</v>
      </c>
      <c r="D206" s="313">
        <v>302169</v>
      </c>
      <c r="E206" s="313">
        <v>294108</v>
      </c>
      <c r="F206" s="313">
        <v>422421</v>
      </c>
      <c r="G206" s="313">
        <f>G208*(F50+F51)</f>
        <v>376797.40389638022</v>
      </c>
      <c r="H206" s="313">
        <f>H208*(G50+G51)</f>
        <v>410925.49125026737</v>
      </c>
      <c r="I206" s="313">
        <f>I208*(H50+H51)</f>
        <v>389202.36199944752</v>
      </c>
      <c r="J206" s="313">
        <f>J208*(I50+I51)</f>
        <v>439111.24777044542</v>
      </c>
      <c r="K206" s="310"/>
      <c r="L206" s="311"/>
      <c r="M206" s="311"/>
    </row>
    <row r="207" spans="1:13" ht="14.25" customHeight="1" x14ac:dyDescent="0.35">
      <c r="A207" s="176"/>
      <c r="B207" s="176"/>
      <c r="C207" s="225"/>
      <c r="D207" s="225"/>
      <c r="E207" s="225"/>
      <c r="F207" s="225"/>
      <c r="G207" s="225"/>
      <c r="H207" s="225"/>
      <c r="I207" s="225"/>
      <c r="J207" s="225"/>
      <c r="K207" s="279"/>
      <c r="L207" s="176"/>
      <c r="M207" s="176"/>
    </row>
    <row r="208" spans="1:13" ht="14.25" customHeight="1" x14ac:dyDescent="0.35">
      <c r="A208" s="176"/>
      <c r="B208" s="176" t="s">
        <v>440</v>
      </c>
      <c r="C208" s="305">
        <f>C206/(C50+C51)</f>
        <v>0.1646400622551315</v>
      </c>
      <c r="D208" s="305">
        <f>D206/(D50+D51)</f>
        <v>0.22767902553627226</v>
      </c>
      <c r="E208" s="305">
        <f>E206/(E50+E51)</f>
        <v>0.18208980912975078</v>
      </c>
      <c r="F208" s="305">
        <f>F206/(F50+F51)</f>
        <v>0.19352262851503962</v>
      </c>
      <c r="G208" s="314">
        <f>G209*$G$210</f>
        <v>0.17262120969286693</v>
      </c>
      <c r="H208" s="314">
        <f t="shared" ref="H208:J208" si="157">H209*$G$210</f>
        <v>0.17262120969286693</v>
      </c>
      <c r="I208" s="314">
        <f t="shared" si="157"/>
        <v>0.17262120969286693</v>
      </c>
      <c r="J208" s="314">
        <f t="shared" si="157"/>
        <v>0.17262120969286693</v>
      </c>
      <c r="K208" s="279"/>
      <c r="L208" s="176"/>
      <c r="M208" s="176"/>
    </row>
    <row r="209" spans="2:10" ht="15" customHeight="1" x14ac:dyDescent="0.35">
      <c r="B209" s="176" t="s">
        <v>439</v>
      </c>
      <c r="C209" s="20">
        <v>0.14000000000000001</v>
      </c>
      <c r="D209" s="20">
        <v>0.12</v>
      </c>
      <c r="E209" s="20">
        <v>0.12</v>
      </c>
      <c r="F209" s="20">
        <v>0.15</v>
      </c>
      <c r="G209" s="20">
        <v>0.13</v>
      </c>
      <c r="H209" s="20">
        <v>0.13</v>
      </c>
      <c r="I209" s="20">
        <v>0.13</v>
      </c>
      <c r="J209" s="20">
        <v>0.13</v>
      </c>
    </row>
    <row r="210" spans="2:10" ht="15" customHeight="1" x14ac:dyDescent="0.35">
      <c r="B210" s="176" t="s">
        <v>442</v>
      </c>
      <c r="C210" s="306">
        <f>C208/C209</f>
        <v>1.1760004446795107</v>
      </c>
      <c r="D210" s="306">
        <f t="shared" ref="D210:F210" si="158">D208/D209</f>
        <v>1.8973252128022688</v>
      </c>
      <c r="E210" s="306">
        <f t="shared" si="158"/>
        <v>1.5174150760812566</v>
      </c>
      <c r="F210" s="306">
        <f t="shared" si="158"/>
        <v>1.2901508567669309</v>
      </c>
      <c r="G210" s="307">
        <f>AVERAGE(C210,E210:F210)</f>
        <v>1.3278554591758993</v>
      </c>
    </row>
  </sheetData>
  <conditionalFormatting sqref="AC6:AG11">
    <cfRule type="colorScale" priority="5">
      <colorScale>
        <cfvo type="min"/>
        <cfvo type="max"/>
        <color rgb="FF0070C0"/>
        <color rgb="FF002060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6AA14-9CAF-4AE9-B087-6C594F16D534}">
  <sheetPr>
    <tabColor rgb="FF002060"/>
  </sheetPr>
  <dimension ref="A1:M41"/>
  <sheetViews>
    <sheetView showGridLines="0" topLeftCell="A3" zoomScale="73" zoomScaleNormal="130" workbookViewId="0">
      <selection activeCell="D21" sqref="D21"/>
    </sheetView>
  </sheetViews>
  <sheetFormatPr defaultColWidth="8.6328125" defaultRowHeight="14.5" x14ac:dyDescent="0.35"/>
  <cols>
    <col min="1" max="1" width="4" customWidth="1"/>
    <col min="2" max="2" width="50" customWidth="1"/>
    <col min="3" max="7" width="13" customWidth="1"/>
  </cols>
  <sheetData>
    <row r="1" spans="1:13" ht="21.75" customHeight="1" thickBot="1" x14ac:dyDescent="0.4">
      <c r="B1" s="227"/>
      <c r="C1" s="326" t="s">
        <v>5</v>
      </c>
      <c r="D1" s="326" t="s">
        <v>6</v>
      </c>
      <c r="E1" s="326" t="s">
        <v>7</v>
      </c>
      <c r="F1" s="326" t="s">
        <v>8</v>
      </c>
      <c r="G1" s="326" t="s">
        <v>392</v>
      </c>
    </row>
    <row r="2" spans="1:13" ht="17.25" customHeight="1" x14ac:dyDescent="0.45">
      <c r="A2" s="169" t="s">
        <v>110</v>
      </c>
      <c r="B2" s="177" t="s">
        <v>393</v>
      </c>
    </row>
    <row r="3" spans="1:13" ht="15" customHeight="1" x14ac:dyDescent="0.35">
      <c r="B3" s="171" t="s">
        <v>394</v>
      </c>
      <c r="C3" s="188">
        <f>Modelo!G30*(1-FCFF!$C$36)</f>
        <v>1137423.6065024401</v>
      </c>
      <c r="D3" s="188">
        <f>Modelo!H30*(1-FCFF!$C$36)</f>
        <v>1329645.9820123075</v>
      </c>
      <c r="E3" s="188">
        <f>Modelo!I30*(1-FCFF!$C$36)</f>
        <v>1474999.174260031</v>
      </c>
      <c r="F3" s="188">
        <f>Modelo!J30*(1-FCFF!$C$36)</f>
        <v>1586296.8732672252</v>
      </c>
      <c r="G3" s="188"/>
    </row>
    <row r="4" spans="1:13" ht="15" customHeight="1" x14ac:dyDescent="0.35">
      <c r="B4" s="171" t="s">
        <v>355</v>
      </c>
      <c r="C4" s="188">
        <f>-Modelo!G28</f>
        <v>105429.43475</v>
      </c>
      <c r="D4" s="188">
        <f>-Modelo!H28</f>
        <v>105337.76456038933</v>
      </c>
      <c r="E4" s="188">
        <f>-Modelo!I28</f>
        <v>113356.12724126075</v>
      </c>
      <c r="F4" s="188">
        <f>-Modelo!J28</f>
        <v>124024.70931922864</v>
      </c>
      <c r="G4" s="187"/>
    </row>
    <row r="5" spans="1:13" ht="15" customHeight="1" x14ac:dyDescent="0.35">
      <c r="B5" s="171" t="s">
        <v>395</v>
      </c>
      <c r="C5" s="188">
        <f>-Modelo!G145</f>
        <v>-381683.12039822713</v>
      </c>
      <c r="D5" s="188">
        <f>-Modelo!H145</f>
        <v>-685863.78973178612</v>
      </c>
      <c r="E5" s="188">
        <f>-Modelo!I145</f>
        <v>-501025.24080396676</v>
      </c>
      <c r="F5" s="188">
        <f>-Modelo!J145</f>
        <v>-295046.86429311242</v>
      </c>
      <c r="G5" s="187"/>
    </row>
    <row r="6" spans="1:13" ht="15" customHeight="1" x14ac:dyDescent="0.35">
      <c r="B6" s="171" t="s">
        <v>358</v>
      </c>
      <c r="C6" s="188">
        <f>-Modelo!G198</f>
        <v>-105203.22823646353</v>
      </c>
      <c r="D6" s="188">
        <f>-Modelo!H198</f>
        <v>-125123.97722139221</v>
      </c>
      <c r="E6" s="188">
        <f>-Modelo!I198</f>
        <v>-139682.05463908403</v>
      </c>
      <c r="F6" s="188">
        <f>-Modelo!J198</f>
        <v>-148527.91597445126</v>
      </c>
      <c r="G6" s="187"/>
    </row>
    <row r="7" spans="1:13" ht="15" customHeight="1" x14ac:dyDescent="0.35">
      <c r="B7" s="177" t="s">
        <v>396</v>
      </c>
      <c r="C7" s="189">
        <f>C3+C4+C5+C6</f>
        <v>755966.69261774945</v>
      </c>
      <c r="D7" s="189">
        <f t="shared" ref="D7:F7" si="0">D3+D4+D5+D6</f>
        <v>623995.9796195185</v>
      </c>
      <c r="E7" s="189">
        <f t="shared" si="0"/>
        <v>947648.00605824101</v>
      </c>
      <c r="F7" s="189">
        <f t="shared" si="0"/>
        <v>1266746.8023188901</v>
      </c>
      <c r="G7" s="189">
        <f>F7*(1+C39)/(C37-C39)</f>
        <v>11709259.4176616</v>
      </c>
    </row>
    <row r="9" spans="1:13" ht="15" customHeight="1" x14ac:dyDescent="0.35">
      <c r="B9" s="19" t="s">
        <v>397</v>
      </c>
      <c r="C9" s="188">
        <f>C7/(1+$C$37)^C10</f>
        <v>655930.31750214496</v>
      </c>
      <c r="D9" s="188">
        <f t="shared" ref="D9:F9" si="1">D7/(1+$C$37)^D10</f>
        <v>469777.13892337721</v>
      </c>
      <c r="E9" s="188">
        <f t="shared" si="1"/>
        <v>619030.69416426041</v>
      </c>
      <c r="F9" s="188">
        <f t="shared" si="1"/>
        <v>717976.10508030374</v>
      </c>
      <c r="G9" s="188">
        <f>G7/(1+C37)^4</f>
        <v>6636660.5028549144</v>
      </c>
    </row>
    <row r="10" spans="1:13" ht="15" customHeight="1" x14ac:dyDescent="0.35">
      <c r="B10" s="229" t="s">
        <v>398</v>
      </c>
      <c r="C10" s="230">
        <v>1</v>
      </c>
      <c r="D10" s="230">
        <v>2</v>
      </c>
      <c r="E10" s="230">
        <v>3</v>
      </c>
      <c r="F10" s="230">
        <v>4</v>
      </c>
    </row>
    <row r="12" spans="1:13" ht="17.25" customHeight="1" thickBot="1" x14ac:dyDescent="0.5">
      <c r="A12" s="169" t="s">
        <v>110</v>
      </c>
      <c r="B12" s="170" t="s">
        <v>399</v>
      </c>
      <c r="C12" s="185"/>
    </row>
    <row r="13" spans="1:13" ht="15" customHeight="1" x14ac:dyDescent="0.35">
      <c r="B13" s="19" t="s">
        <v>400</v>
      </c>
      <c r="C13" s="188">
        <f>SUM(C9:F9)</f>
        <v>2462714.2556700865</v>
      </c>
    </row>
    <row r="14" spans="1:13" ht="15" customHeight="1" x14ac:dyDescent="0.35">
      <c r="B14" s="19" t="s">
        <v>401</v>
      </c>
      <c r="C14" s="188">
        <f>G9</f>
        <v>6636660.5028549144</v>
      </c>
    </row>
    <row r="15" spans="1:13" ht="15" customHeight="1" x14ac:dyDescent="0.35">
      <c r="B15" s="177" t="s">
        <v>402</v>
      </c>
      <c r="C15" s="189">
        <f>C14+C13</f>
        <v>9099374.7585250009</v>
      </c>
    </row>
    <row r="16" spans="1:13" ht="15" customHeight="1" x14ac:dyDescent="0.35">
      <c r="B16" s="19" t="s">
        <v>403</v>
      </c>
      <c r="C16" s="189">
        <f>-(Modelo!F79+Modelo!F97-Modelo!F50-Modelo!F51-Modelo!F63)</f>
        <v>-345188</v>
      </c>
      <c r="H16" s="231"/>
      <c r="I16" s="232"/>
      <c r="J16" s="232"/>
      <c r="K16" s="232"/>
      <c r="L16" s="232"/>
      <c r="M16" s="232"/>
    </row>
    <row r="17" spans="1:13" ht="15" customHeight="1" x14ac:dyDescent="0.35">
      <c r="B17" s="177" t="s">
        <v>404</v>
      </c>
      <c r="C17" s="189">
        <f>C15+C16</f>
        <v>8754186.7585250009</v>
      </c>
      <c r="H17" s="233"/>
      <c r="I17" s="234"/>
      <c r="J17" s="234"/>
      <c r="K17" s="234"/>
      <c r="L17" s="234"/>
      <c r="M17" s="234"/>
    </row>
    <row r="18" spans="1:13" ht="15" customHeight="1" x14ac:dyDescent="0.35">
      <c r="B18" s="19" t="s">
        <v>350</v>
      </c>
      <c r="C18" s="6">
        <v>519000</v>
      </c>
      <c r="H18" s="233"/>
      <c r="I18" s="234"/>
      <c r="J18" s="234"/>
      <c r="K18" s="234"/>
      <c r="L18" s="234"/>
      <c r="M18" s="234"/>
    </row>
    <row r="19" spans="1:13" ht="15" customHeight="1" x14ac:dyDescent="0.35">
      <c r="B19" s="177" t="s">
        <v>405</v>
      </c>
      <c r="C19" s="235">
        <f>C17/C18</f>
        <v>16.867411866136802</v>
      </c>
      <c r="H19" s="233"/>
      <c r="I19" s="234"/>
      <c r="J19" s="234"/>
      <c r="K19" s="234"/>
      <c r="L19" s="234"/>
      <c r="M19" s="234"/>
    </row>
    <row r="20" spans="1:13" ht="15" customHeight="1" x14ac:dyDescent="0.35">
      <c r="B20" s="19" t="s">
        <v>406</v>
      </c>
      <c r="C20" s="327">
        <v>13.3</v>
      </c>
      <c r="H20" s="233"/>
      <c r="I20" s="234"/>
      <c r="J20" s="234"/>
      <c r="K20" s="234"/>
      <c r="L20" s="234"/>
      <c r="M20" s="234"/>
    </row>
    <row r="21" spans="1:13" ht="15" customHeight="1" x14ac:dyDescent="0.35">
      <c r="B21" s="177" t="s">
        <v>407</v>
      </c>
      <c r="C21" s="355">
        <f>(C19-C20)/C20</f>
        <v>0.26822645610051138</v>
      </c>
      <c r="H21" s="233"/>
      <c r="I21" s="234"/>
      <c r="J21" s="234"/>
      <c r="K21" s="234"/>
      <c r="L21" s="234"/>
      <c r="M21" s="234"/>
    </row>
    <row r="22" spans="1:13" x14ac:dyDescent="0.35">
      <c r="G22" s="348">
        <f>C21</f>
        <v>0.26822645610051138</v>
      </c>
      <c r="H22" s="347">
        <v>0.17249999999999999</v>
      </c>
      <c r="I22" s="347">
        <v>0.16250000000000001</v>
      </c>
      <c r="J22" s="347">
        <v>0.1525</v>
      </c>
      <c r="K22" s="347">
        <v>0.14249999999999999</v>
      </c>
      <c r="L22" s="347">
        <v>0.13250000000000001</v>
      </c>
    </row>
    <row r="23" spans="1:13" ht="17.25" customHeight="1" thickBot="1" x14ac:dyDescent="0.5">
      <c r="A23" s="169" t="s">
        <v>110</v>
      </c>
      <c r="B23" s="170" t="s">
        <v>408</v>
      </c>
      <c r="C23" s="185"/>
      <c r="G23" s="362">
        <v>0.03</v>
      </c>
      <c r="H23" s="349">
        <f t="dataTable" ref="H23:L27" dt2D="1" dtr="1" r1="C37" r2="C39"/>
        <v>-6.729763629705272E-3</v>
      </c>
      <c r="I23" s="349">
        <v>8.0089920224625549E-2</v>
      </c>
      <c r="J23" s="349">
        <v>0.18137378160852677</v>
      </c>
      <c r="K23" s="349">
        <v>0.30099214730136786</v>
      </c>
      <c r="L23" s="349">
        <v>0.44432645850866148</v>
      </c>
    </row>
    <row r="24" spans="1:13" ht="15" customHeight="1" x14ac:dyDescent="0.35">
      <c r="B24" s="19" t="s">
        <v>409</v>
      </c>
      <c r="C24" s="237">
        <v>1.1000000000000001</v>
      </c>
      <c r="G24" s="367">
        <v>3.5000000000000003E-2</v>
      </c>
      <c r="H24" s="349">
        <v>2.2322816354653316E-2</v>
      </c>
      <c r="I24" s="349">
        <v>0.11466282535512705</v>
      </c>
      <c r="J24" s="349">
        <v>0.22301697872790435</v>
      </c>
      <c r="K24" s="349">
        <v>0.3518679423670712</v>
      </c>
      <c r="L24" s="349">
        <v>0.50753819325803262</v>
      </c>
    </row>
    <row r="25" spans="1:13" ht="15" customHeight="1" x14ac:dyDescent="0.35">
      <c r="B25" s="19" t="s">
        <v>410</v>
      </c>
      <c r="C25" s="11">
        <v>4.4999999999999998E-2</v>
      </c>
      <c r="G25" s="362">
        <v>0.04</v>
      </c>
      <c r="H25" s="349">
        <v>5.3568043885001387E-2</v>
      </c>
      <c r="I25" s="349">
        <v>0.15205800845546583</v>
      </c>
      <c r="J25" s="349">
        <v>0.26836179336900462</v>
      </c>
      <c r="K25" s="349">
        <v>0.40770722963430639</v>
      </c>
      <c r="L25" s="349">
        <v>0.57758362906138994</v>
      </c>
    </row>
    <row r="26" spans="1:13" ht="15" customHeight="1" x14ac:dyDescent="0.35">
      <c r="B26" s="19" t="s">
        <v>411</v>
      </c>
      <c r="C26" s="11">
        <v>4.4999999999999998E-2</v>
      </c>
      <c r="G26" s="362">
        <v>4.4999999999999998E-2</v>
      </c>
      <c r="H26" s="349">
        <v>8.7263877496160477E-2</v>
      </c>
      <c r="I26" s="349">
        <v>0.19263576033030069</v>
      </c>
      <c r="J26" s="349">
        <v>0.31792473030230006</v>
      </c>
      <c r="K26" s="349">
        <v>0.46927362328792466</v>
      </c>
      <c r="L26" s="349">
        <v>0.65563425752798743</v>
      </c>
    </row>
    <row r="27" spans="1:13" ht="15" customHeight="1" x14ac:dyDescent="0.35">
      <c r="B27" s="19" t="s">
        <v>412</v>
      </c>
      <c r="C27" s="11">
        <v>3.2399999999999998E-2</v>
      </c>
      <c r="G27" s="362">
        <v>0.05</v>
      </c>
      <c r="H27" s="349">
        <v>0.12371039140210875</v>
      </c>
      <c r="I27" s="349">
        <v>0.23682042348289928</v>
      </c>
      <c r="J27" s="349">
        <v>0.37232307571689294</v>
      </c>
      <c r="K27" s="349">
        <v>0.53749584328247479</v>
      </c>
      <c r="L27" s="349">
        <v>0.74314556823296074</v>
      </c>
    </row>
    <row r="28" spans="1:13" ht="15" customHeight="1" x14ac:dyDescent="0.35">
      <c r="B28" s="19" t="s">
        <v>413</v>
      </c>
      <c r="C28" s="11">
        <v>0.02</v>
      </c>
    </row>
    <row r="29" spans="1:13" ht="15" customHeight="1" x14ac:dyDescent="0.35">
      <c r="B29" s="177" t="s">
        <v>414</v>
      </c>
      <c r="C29" s="236">
        <f>C25+C24*C26+C27+C28+2%</f>
        <v>0.16689999999999999</v>
      </c>
    </row>
    <row r="31" spans="1:13" ht="17.25" customHeight="1" thickBot="1" x14ac:dyDescent="0.5">
      <c r="A31" s="169" t="s">
        <v>110</v>
      </c>
      <c r="B31" s="170" t="s">
        <v>155</v>
      </c>
      <c r="C31" s="185"/>
    </row>
    <row r="32" spans="1:13" ht="15" customHeight="1" x14ac:dyDescent="0.35">
      <c r="B32" s="19" t="s">
        <v>415</v>
      </c>
      <c r="C32" s="11">
        <v>0.14000000000000001</v>
      </c>
      <c r="G32" s="364">
        <f>C21</f>
        <v>0.26822645610051138</v>
      </c>
      <c r="H32" s="365">
        <v>0.36</v>
      </c>
      <c r="I32" s="365">
        <v>0.38</v>
      </c>
      <c r="J32" s="365">
        <v>0.4</v>
      </c>
      <c r="K32" s="365">
        <v>0.42</v>
      </c>
      <c r="L32" s="365">
        <v>0.44</v>
      </c>
    </row>
    <row r="33" spans="1:12" ht="15" customHeight="1" x14ac:dyDescent="0.35">
      <c r="B33" s="19" t="s">
        <v>416</v>
      </c>
      <c r="C33" s="325">
        <f>'Inputs - BP'!H137/('Inputs - BP'!H137 +FCFF!C40)</f>
        <v>0.36428672274043289</v>
      </c>
      <c r="G33" s="366">
        <v>0.16</v>
      </c>
      <c r="H33" s="363">
        <v>-0.129</v>
      </c>
      <c r="I33" s="363">
        <v>3.5000000000000003E-2</v>
      </c>
      <c r="J33" s="363">
        <v>0.19900000000000001</v>
      </c>
      <c r="K33" s="363">
        <v>0.254</v>
      </c>
      <c r="L33" s="363">
        <v>0.29399999999999998</v>
      </c>
    </row>
    <row r="34" spans="1:12" ht="15" customHeight="1" x14ac:dyDescent="0.35">
      <c r="B34" s="19" t="s">
        <v>417</v>
      </c>
      <c r="C34" s="238">
        <f>1-C33</f>
        <v>0.63571327725956706</v>
      </c>
      <c r="G34" s="366">
        <v>0.18</v>
      </c>
      <c r="H34" s="363">
        <v>-0.1</v>
      </c>
      <c r="I34" s="363">
        <v>6.8000000000000005E-2</v>
      </c>
      <c r="J34" s="363">
        <v>0.23599999999999999</v>
      </c>
      <c r="K34" s="363">
        <v>0.26400000000000001</v>
      </c>
      <c r="L34" s="363">
        <v>0.30399999999999999</v>
      </c>
    </row>
    <row r="35" spans="1:12" ht="15" hidden="1" customHeight="1" x14ac:dyDescent="0.35">
      <c r="B35" s="19" t="s">
        <v>418</v>
      </c>
      <c r="C35" s="11">
        <v>0.25</v>
      </c>
      <c r="G35" s="366"/>
      <c r="H35" s="363"/>
      <c r="I35" s="363"/>
      <c r="J35" s="363"/>
      <c r="K35" s="363"/>
      <c r="L35" s="363"/>
    </row>
    <row r="36" spans="1:12" ht="15" customHeight="1" x14ac:dyDescent="0.35">
      <c r="B36" s="19" t="s">
        <v>445</v>
      </c>
      <c r="C36" s="11">
        <v>0.09</v>
      </c>
      <c r="G36" s="366">
        <v>0.2</v>
      </c>
      <c r="H36" s="363">
        <v>-7.4999999999999997E-2</v>
      </c>
      <c r="I36" s="363">
        <v>9.6000000000000002E-2</v>
      </c>
      <c r="J36" s="363">
        <v>0.26800000000000002</v>
      </c>
      <c r="K36" s="363">
        <v>0.27200000000000002</v>
      </c>
      <c r="L36" s="363">
        <v>0.312</v>
      </c>
    </row>
    <row r="37" spans="1:12" ht="15" customHeight="1" x14ac:dyDescent="0.35">
      <c r="B37" s="177" t="s">
        <v>419</v>
      </c>
      <c r="C37" s="236">
        <f>C29*C34+C32*C33*(1-C36)</f>
        <v>0.1525106744517529</v>
      </c>
      <c r="G37" s="366">
        <v>0.22</v>
      </c>
      <c r="H37" s="363">
        <v>-5.2999999999999999E-2</v>
      </c>
      <c r="I37" s="363">
        <v>0.12</v>
      </c>
      <c r="J37" s="363">
        <v>0.29399999999999998</v>
      </c>
      <c r="K37" s="363">
        <v>0.27900000000000003</v>
      </c>
      <c r="L37" s="363">
        <v>0.31900000000000001</v>
      </c>
    </row>
    <row r="38" spans="1:12" x14ac:dyDescent="0.35">
      <c r="G38" s="366">
        <v>0.24</v>
      </c>
      <c r="H38" s="363">
        <v>-3.5000000000000003E-2</v>
      </c>
      <c r="I38" s="363">
        <v>0.14000000000000001</v>
      </c>
      <c r="J38" s="363">
        <v>0.316</v>
      </c>
      <c r="K38" s="363">
        <v>0.28499999999999998</v>
      </c>
      <c r="L38" s="363">
        <v>0.32500000000000001</v>
      </c>
    </row>
    <row r="39" spans="1:12" ht="17.25" customHeight="1" x14ac:dyDescent="0.45">
      <c r="A39" s="169" t="s">
        <v>386</v>
      </c>
      <c r="B39" s="228" t="s">
        <v>420</v>
      </c>
      <c r="C39" s="239">
        <v>0.04</v>
      </c>
      <c r="H39" s="31"/>
      <c r="I39" s="31"/>
      <c r="J39" s="31"/>
      <c r="K39" s="31"/>
      <c r="L39" s="31"/>
    </row>
    <row r="40" spans="1:12" ht="15" customHeight="1" x14ac:dyDescent="0.35">
      <c r="B40" s="19" t="s">
        <v>421</v>
      </c>
      <c r="C40" s="186">
        <v>6902700</v>
      </c>
    </row>
    <row r="41" spans="1:12" x14ac:dyDescent="0.35">
      <c r="C41" s="186"/>
    </row>
  </sheetData>
  <conditionalFormatting sqref="H23:L27">
    <cfRule type="colorScale" priority="2">
      <colorScale>
        <cfvo type="min"/>
        <cfvo type="max"/>
        <color rgb="FF0070C0"/>
        <color rgb="FF002060"/>
      </colorScale>
    </cfRule>
  </conditionalFormatting>
  <conditionalFormatting sqref="I17:M21">
    <cfRule type="colorScale" priority="3">
      <colorScale>
        <cfvo type="min"/>
        <cfvo type="max"/>
        <color rgb="FF0070C0"/>
        <color rgb="FF002060"/>
      </colorScale>
    </cfRule>
    <cfRule type="colorScale" priority="4">
      <colorScale>
        <cfvo type="min"/>
        <cfvo type="max"/>
        <color rgb="FF002060"/>
        <color rgb="FF0070C0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3:L38">
    <cfRule type="colorScale" priority="1">
      <colorScale>
        <cfvo type="min"/>
        <cfvo type="max"/>
        <color rgb="FF0070C0"/>
        <color rgb="FF002060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3397-DD83-4F81-AC12-0F204AD0A97B}">
  <sheetPr>
    <tabColor rgb="FF002060"/>
  </sheetPr>
  <dimension ref="A1:AK40"/>
  <sheetViews>
    <sheetView showGridLines="0" topLeftCell="A19" zoomScale="97" workbookViewId="0">
      <selection activeCell="K13" sqref="K13"/>
    </sheetView>
  </sheetViews>
  <sheetFormatPr defaultRowHeight="14.5" x14ac:dyDescent="0.35"/>
  <cols>
    <col min="1" max="1" width="1.36328125" customWidth="1"/>
    <col min="2" max="2" width="32.6328125" customWidth="1"/>
    <col min="9" max="9" width="11.26953125" bestFit="1" customWidth="1"/>
  </cols>
  <sheetData>
    <row r="1" spans="1:37" ht="6.5" customHeight="1" x14ac:dyDescent="0.35"/>
    <row r="2" spans="1:37" x14ac:dyDescent="0.35">
      <c r="B2" s="330" t="s">
        <v>457</v>
      </c>
      <c r="C2" s="331" t="s">
        <v>5</v>
      </c>
      <c r="D2" s="331" t="s">
        <v>6</v>
      </c>
      <c r="E2" s="331" t="s">
        <v>7</v>
      </c>
      <c r="F2" s="331" t="s">
        <v>8</v>
      </c>
      <c r="G2" s="330"/>
      <c r="H2" s="329"/>
      <c r="I2" s="329"/>
      <c r="J2" s="329"/>
      <c r="K2" s="329"/>
      <c r="L2" s="329"/>
      <c r="M2" s="329"/>
      <c r="N2" s="329"/>
      <c r="O2" s="329"/>
      <c r="P2" s="329"/>
      <c r="Q2" s="329"/>
    </row>
    <row r="4" spans="1:37" x14ac:dyDescent="0.35">
      <c r="B4" s="344" t="s">
        <v>151</v>
      </c>
      <c r="C4" s="333">
        <f>Modelo!G39</f>
        <v>921742.13513354759</v>
      </c>
      <c r="D4" s="333">
        <f>Modelo!H39</f>
        <v>1148032.9736227784</v>
      </c>
      <c r="E4" s="333">
        <f>Modelo!I39</f>
        <v>1272848.5243949662</v>
      </c>
      <c r="F4" s="333">
        <f>Modelo!J39</f>
        <v>1384252.9405173359</v>
      </c>
      <c r="G4" s="284"/>
      <c r="H4" s="284"/>
      <c r="I4" s="284"/>
      <c r="J4" s="284"/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  <c r="AA4" s="284"/>
      <c r="AB4" s="284"/>
      <c r="AC4" s="284"/>
      <c r="AD4" s="284"/>
      <c r="AE4" s="284"/>
      <c r="AF4" s="284"/>
      <c r="AG4" s="284"/>
      <c r="AH4" s="284"/>
      <c r="AI4" s="284"/>
      <c r="AJ4" s="284"/>
      <c r="AK4" s="284"/>
    </row>
    <row r="7" spans="1:37" x14ac:dyDescent="0.35">
      <c r="B7" s="332" t="s">
        <v>449</v>
      </c>
      <c r="C7" s="186">
        <f>-FCFF!C40</f>
        <v>-6902700</v>
      </c>
      <c r="D7" s="186"/>
      <c r="E7" s="186"/>
      <c r="F7" s="186"/>
    </row>
    <row r="8" spans="1:37" x14ac:dyDescent="0.35">
      <c r="B8" s="332" t="s">
        <v>450</v>
      </c>
      <c r="C8" s="186">
        <f>-Modelo!G133</f>
        <v>230435.5337833869</v>
      </c>
      <c r="D8" s="186">
        <f>-Modelo!H133</f>
        <v>688819.78417366708</v>
      </c>
      <c r="E8" s="186">
        <f>-Modelo!I133</f>
        <v>890993.96707647631</v>
      </c>
      <c r="F8" s="186">
        <f>-Modelo!J133</f>
        <v>1107402.3524138688</v>
      </c>
    </row>
    <row r="9" spans="1:37" x14ac:dyDescent="0.35">
      <c r="B9" s="332" t="s">
        <v>451</v>
      </c>
      <c r="C9" s="186"/>
      <c r="D9" s="186">
        <f>IF(C14=2027,C18*E4,0)</f>
        <v>0</v>
      </c>
      <c r="E9" s="186">
        <f>IF(C14=2028,C18*F4,0)</f>
        <v>0</v>
      </c>
      <c r="F9" s="186">
        <f>IF(C14=2029,F4*(1+FCFF!C39)*C18,0)</f>
        <v>8637738.348828176</v>
      </c>
    </row>
    <row r="10" spans="1:37" x14ac:dyDescent="0.35">
      <c r="B10" s="332"/>
      <c r="C10" s="186"/>
      <c r="D10" s="186"/>
      <c r="E10" s="186"/>
      <c r="F10" s="186"/>
    </row>
    <row r="11" spans="1:37" s="335" customFormat="1" ht="15" thickBot="1" x14ac:dyDescent="0.4">
      <c r="A11"/>
      <c r="B11" s="345" t="s">
        <v>452</v>
      </c>
      <c r="C11" s="334">
        <f>C7+C8</f>
        <v>-6672264.4662166135</v>
      </c>
      <c r="D11" s="334">
        <f>D7+D8+D9</f>
        <v>688819.78417366708</v>
      </c>
      <c r="E11" s="334">
        <f t="shared" ref="E11:F11" si="0">E7+E8+E9</f>
        <v>890993.96707647631</v>
      </c>
      <c r="F11" s="334">
        <f t="shared" si="0"/>
        <v>9745140.7012420446</v>
      </c>
    </row>
    <row r="12" spans="1:37" ht="15" thickTop="1" x14ac:dyDescent="0.35">
      <c r="B12" s="332"/>
      <c r="C12" s="186"/>
      <c r="D12" s="186"/>
      <c r="E12" s="186"/>
      <c r="F12" s="186"/>
    </row>
    <row r="13" spans="1:37" x14ac:dyDescent="0.35">
      <c r="B13" s="332"/>
      <c r="C13" s="186"/>
      <c r="D13" s="186"/>
      <c r="E13" s="186"/>
      <c r="F13" s="186"/>
      <c r="K13" t="s">
        <v>459</v>
      </c>
      <c r="L13" s="168">
        <v>0</v>
      </c>
    </row>
    <row r="14" spans="1:37" x14ac:dyDescent="0.35">
      <c r="B14" s="346" t="s">
        <v>453</v>
      </c>
      <c r="C14" s="339">
        <v>2029</v>
      </c>
      <c r="D14" s="186"/>
      <c r="E14" s="186"/>
      <c r="F14" s="186"/>
    </row>
    <row r="15" spans="1:37" x14ac:dyDescent="0.35">
      <c r="B15" s="332"/>
      <c r="C15" s="186"/>
      <c r="D15" s="186"/>
      <c r="E15" s="186"/>
      <c r="F15" s="186"/>
    </row>
    <row r="16" spans="1:37" x14ac:dyDescent="0.35">
      <c r="B16" s="346" t="s">
        <v>455</v>
      </c>
      <c r="C16" s="336">
        <f>-C7/D4</f>
        <v>6.0126321792113391</v>
      </c>
      <c r="D16" s="186"/>
      <c r="E16" s="186"/>
      <c r="F16" s="186"/>
    </row>
    <row r="17" spans="2:14" x14ac:dyDescent="0.35">
      <c r="B17" s="332"/>
      <c r="C17" s="351"/>
      <c r="I17" s="352">
        <f>C20</f>
        <v>0.21042681221019288</v>
      </c>
      <c r="J17" s="354">
        <v>3</v>
      </c>
      <c r="K17" s="354">
        <v>4</v>
      </c>
      <c r="L17" s="354">
        <v>6</v>
      </c>
      <c r="M17" s="354">
        <v>7</v>
      </c>
      <c r="N17" s="354">
        <v>8</v>
      </c>
    </row>
    <row r="18" spans="2:14" x14ac:dyDescent="0.35">
      <c r="B18" s="346" t="s">
        <v>456</v>
      </c>
      <c r="C18" s="336">
        <v>6</v>
      </c>
      <c r="I18" s="353">
        <v>1184253</v>
      </c>
      <c r="J18" s="350">
        <f t="dataTable" ref="J18:N22" dt2D="1" dtr="1" r1="C18" r2="F4" ca="1"/>
        <v>-1.6649970336777842E-2</v>
      </c>
      <c r="K18" s="350">
        <v>5.0247372829506531E-2</v>
      </c>
      <c r="L18" s="350">
        <v>0.16175042106154058</v>
      </c>
      <c r="M18" s="350">
        <v>0.2098147054353523</v>
      </c>
      <c r="N18" s="350">
        <v>0.2541247910375708</v>
      </c>
    </row>
    <row r="19" spans="2:14" x14ac:dyDescent="0.35">
      <c r="B19" s="332"/>
      <c r="I19" s="353">
        <v>1284253</v>
      </c>
      <c r="J19" s="350">
        <v>1.2278369548575085E-3</v>
      </c>
      <c r="K19" s="350">
        <v>7.087880093816068E-2</v>
      </c>
      <c r="L19" s="350">
        <v>0.18662105656481232</v>
      </c>
      <c r="M19" s="350">
        <v>0.23641274051439254</v>
      </c>
      <c r="N19" s="350">
        <v>0.28227397327297776</v>
      </c>
    </row>
    <row r="20" spans="2:14" x14ac:dyDescent="0.35">
      <c r="B20" s="346" t="s">
        <v>454</v>
      </c>
      <c r="C20" s="338">
        <f>IF(C14=2027,IRR(C11:D11),IF(C14=2028,IRR(C11:E11),IF(C14=2029,IRR(C11:F11),0)))</f>
        <v>0.21042681221019288</v>
      </c>
      <c r="I20" s="353">
        <v>1384253</v>
      </c>
      <c r="J20" s="350">
        <v>1.8436260096721391E-2</v>
      </c>
      <c r="K20" s="350">
        <v>9.0686281810709257E-2</v>
      </c>
      <c r="L20" s="350">
        <v>0.21042682607606111</v>
      </c>
      <c r="M20" s="350">
        <v>0.26184775210618616</v>
      </c>
      <c r="N20" s="350">
        <v>0.30917226193765224</v>
      </c>
    </row>
    <row r="21" spans="2:14" x14ac:dyDescent="0.35">
      <c r="I21" s="353">
        <v>1484253</v>
      </c>
      <c r="J21" s="350">
        <v>3.5035164130533092E-2</v>
      </c>
      <c r="K21" s="350">
        <v>0.10974804565464891</v>
      </c>
      <c r="L21" s="350">
        <v>0.23327552951013386</v>
      </c>
      <c r="M21" s="350">
        <v>0.28623976590023692</v>
      </c>
      <c r="N21" s="350">
        <v>0.33495066993910139</v>
      </c>
    </row>
    <row r="22" spans="2:14" x14ac:dyDescent="0.35">
      <c r="B22" s="346" t="s">
        <v>458</v>
      </c>
      <c r="C22" s="337">
        <f>(SUM(C8:F8)+F9)/-C7</f>
        <v>1.6740391421147631</v>
      </c>
      <c r="I22" s="353">
        <v>1584253</v>
      </c>
      <c r="J22" s="350">
        <v>5.1076249687766584E-2</v>
      </c>
      <c r="K22" s="350">
        <v>0.12813103703133355</v>
      </c>
      <c r="L22" s="350">
        <v>0.25525845476572706</v>
      </c>
      <c r="M22" s="350">
        <v>0.3096900903187676</v>
      </c>
      <c r="N22" s="350">
        <v>0.3597194973904001</v>
      </c>
    </row>
    <row r="24" spans="2:14" x14ac:dyDescent="0.35">
      <c r="C24" s="357"/>
    </row>
    <row r="26" spans="2:14" x14ac:dyDescent="0.35">
      <c r="I26" s="352">
        <f>C20</f>
        <v>0.21042681221019288</v>
      </c>
      <c r="J26" s="354">
        <v>4</v>
      </c>
      <c r="K26" s="354">
        <v>5</v>
      </c>
      <c r="L26" s="354">
        <v>6</v>
      </c>
      <c r="M26" s="354">
        <v>7</v>
      </c>
      <c r="N26" s="354">
        <v>8</v>
      </c>
    </row>
    <row r="27" spans="2:14" x14ac:dyDescent="0.35">
      <c r="I27">
        <v>2027</v>
      </c>
      <c r="J27" s="358">
        <f t="dataTable" ref="J27:N29" dt2D="1" dtr="1" r1="C18" r2="C14"/>
        <v>-0.13369532772265902</v>
      </c>
      <c r="K27" s="358">
        <v>5.7071769540905093E-2</v>
      </c>
      <c r="L27" s="358">
        <v>0.24783886680446887</v>
      </c>
      <c r="M27" s="358">
        <v>0.43860596406803287</v>
      </c>
      <c r="N27" s="358">
        <v>0.62937306133159709</v>
      </c>
    </row>
    <row r="28" spans="2:14" x14ac:dyDescent="0.35">
      <c r="I28">
        <v>2028</v>
      </c>
      <c r="J28" s="358">
        <v>3.4499803196517131E-2</v>
      </c>
      <c r="K28" s="358">
        <v>0.13490946932217063</v>
      </c>
      <c r="L28" s="358">
        <v>0.2267708298636264</v>
      </c>
      <c r="M28" s="358">
        <v>0.31195443828760361</v>
      </c>
      <c r="N28" s="358">
        <v>0.39173430102913454</v>
      </c>
    </row>
    <row r="29" spans="2:14" x14ac:dyDescent="0.35">
      <c r="I29">
        <v>2029</v>
      </c>
      <c r="J29" s="358">
        <v>9.06862702576261E-2</v>
      </c>
      <c r="K29" s="358">
        <v>0.1538800000095939</v>
      </c>
      <c r="L29" s="358">
        <v>0.21042681221019288</v>
      </c>
      <c r="M29" s="358">
        <v>0.26184773729784983</v>
      </c>
      <c r="N29" s="358">
        <v>0.3091722462827653</v>
      </c>
    </row>
    <row r="35" spans="9:14" x14ac:dyDescent="0.35">
      <c r="I35" s="352">
        <f>C20</f>
        <v>0.21042681221019288</v>
      </c>
      <c r="J35" s="354">
        <v>4</v>
      </c>
      <c r="K35" s="354">
        <v>5</v>
      </c>
      <c r="L35" s="354">
        <v>6</v>
      </c>
      <c r="M35" s="354">
        <v>7</v>
      </c>
      <c r="N35" s="354">
        <v>8</v>
      </c>
    </row>
    <row r="36" spans="9:14" x14ac:dyDescent="0.35">
      <c r="I36" s="368">
        <v>-0.1</v>
      </c>
      <c r="J36" s="363">
        <f t="dataTable" ref="J36:N40" dt2D="1" dtr="1" r1="C18" r2="L13" ca="1"/>
        <v>7.9395108544009219E-2</v>
      </c>
      <c r="K36" s="363">
        <v>0.14432987923180951</v>
      </c>
      <c r="L36" s="363">
        <v>0.20227597542979758</v>
      </c>
      <c r="M36" s="363">
        <v>0.2548635308506777</v>
      </c>
      <c r="N36" s="363">
        <v>0.30318706730894962</v>
      </c>
    </row>
    <row r="37" spans="9:14" x14ac:dyDescent="0.35">
      <c r="I37" s="368">
        <v>-0.05</v>
      </c>
      <c r="J37" s="363">
        <v>8.5064250841641931E-2</v>
      </c>
      <c r="K37" s="363">
        <v>0.1491225239043994</v>
      </c>
      <c r="L37" s="363">
        <v>0.20636515869746241</v>
      </c>
      <c r="M37" s="363">
        <v>0.25836680048628846</v>
      </c>
      <c r="N37" s="363">
        <v>0.30618897289248515</v>
      </c>
    </row>
    <row r="38" spans="9:14" x14ac:dyDescent="0.35">
      <c r="I38" s="368">
        <v>0</v>
      </c>
      <c r="J38" s="363">
        <v>9.06862702576261E-2</v>
      </c>
      <c r="K38" s="363">
        <v>0.1538800000095939</v>
      </c>
      <c r="L38" s="363">
        <v>0.21042681221019288</v>
      </c>
      <c r="M38" s="363">
        <v>0.26184773729784983</v>
      </c>
      <c r="N38" s="363">
        <v>0.3091722462827653</v>
      </c>
    </row>
    <row r="39" spans="9:14" x14ac:dyDescent="0.35">
      <c r="I39" s="368">
        <v>0.05</v>
      </c>
      <c r="J39" s="363">
        <v>9.6262287552325354E-2</v>
      </c>
      <c r="K39" s="363">
        <v>0.15860314629015737</v>
      </c>
      <c r="L39" s="363">
        <v>0.21446162372181843</v>
      </c>
      <c r="M39" s="363">
        <v>0.26530693944126615</v>
      </c>
      <c r="N39" s="363">
        <v>0.31213742807031819</v>
      </c>
    </row>
    <row r="40" spans="9:14" x14ac:dyDescent="0.35">
      <c r="I40" s="368">
        <v>0.1</v>
      </c>
      <c r="J40" s="363">
        <v>0.10179341918054807</v>
      </c>
      <c r="K40" s="363">
        <v>0.1632928057774321</v>
      </c>
      <c r="L40" s="363">
        <v>0.21847028902775034</v>
      </c>
      <c r="M40" s="363">
        <v>0.268745014975452</v>
      </c>
      <c r="N40" s="363">
        <v>0.31508506976013506</v>
      </c>
    </row>
  </sheetData>
  <conditionalFormatting sqref="J18:N22">
    <cfRule type="colorScale" priority="3">
      <colorScale>
        <cfvo type="min"/>
        <cfvo type="max"/>
        <color rgb="FF0070C0"/>
        <color rgb="FF002060"/>
      </colorScale>
    </cfRule>
  </conditionalFormatting>
  <conditionalFormatting sqref="J27:N29">
    <cfRule type="colorScale" priority="2">
      <colorScale>
        <cfvo type="min"/>
        <cfvo type="max"/>
        <color rgb="FF0070C0"/>
        <color rgb="FF002060"/>
      </colorScale>
    </cfRule>
  </conditionalFormatting>
  <conditionalFormatting sqref="J36:N40">
    <cfRule type="colorScale" priority="1">
      <colorScale>
        <cfvo type="min"/>
        <cfvo type="max"/>
        <color rgb="FF0070C0"/>
        <color rgb="FF00206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F223-B7AB-42F2-BFB1-75D6CBD4ECA8}">
  <sheetPr>
    <tabColor rgb="FF002060"/>
  </sheetPr>
  <dimension ref="B1:AW60"/>
  <sheetViews>
    <sheetView showGridLines="0" topLeftCell="O1" zoomScale="71" workbookViewId="0">
      <pane ySplit="1" topLeftCell="A23" activePane="bottomLeft" state="frozen"/>
      <selection activeCell="AH1" sqref="AH1"/>
      <selection pane="bottomLeft" activeCell="AV26" sqref="AV26"/>
    </sheetView>
  </sheetViews>
  <sheetFormatPr defaultColWidth="8.6328125" defaultRowHeight="14.5" x14ac:dyDescent="0.35"/>
  <cols>
    <col min="1" max="1" width="3.453125" customWidth="1"/>
    <col min="2" max="2" width="36" customWidth="1"/>
    <col min="3" max="7" width="11" customWidth="1"/>
    <col min="8" max="8" width="2" customWidth="1"/>
    <col min="9" max="13" width="11" customWidth="1"/>
    <col min="14" max="14" width="2" customWidth="1"/>
    <col min="15" max="19" width="11" customWidth="1"/>
    <col min="20" max="20" width="2" customWidth="1"/>
    <col min="21" max="25" width="11" customWidth="1"/>
    <col min="26" max="26" width="2" customWidth="1"/>
    <col min="27" max="31" width="11" customWidth="1"/>
    <col min="32" max="32" width="6.453125" bestFit="1" customWidth="1"/>
    <col min="33" max="37" width="11" customWidth="1"/>
    <col min="38" max="38" width="2" customWidth="1"/>
    <col min="39" max="43" width="11" customWidth="1"/>
    <col min="44" max="44" width="2" customWidth="1"/>
    <col min="45" max="49" width="11" customWidth="1"/>
  </cols>
  <sheetData>
    <row r="1" spans="2:49" s="2" customFormat="1" ht="15" customHeight="1" x14ac:dyDescent="0.35">
      <c r="B1" s="1" t="s">
        <v>0</v>
      </c>
      <c r="C1" s="361" t="s">
        <v>1</v>
      </c>
      <c r="D1" s="361"/>
      <c r="E1" s="361"/>
      <c r="F1" s="361"/>
      <c r="G1" s="361"/>
      <c r="I1" s="361" t="s">
        <v>2</v>
      </c>
      <c r="J1" s="361"/>
      <c r="K1" s="361"/>
      <c r="L1" s="361"/>
      <c r="M1" s="361"/>
      <c r="O1" s="361" t="s">
        <v>3</v>
      </c>
      <c r="P1" s="361"/>
      <c r="Q1" s="361"/>
      <c r="R1" s="361"/>
      <c r="S1" s="361"/>
      <c r="U1" s="361" t="s">
        <v>4</v>
      </c>
      <c r="V1" s="361"/>
      <c r="W1" s="361"/>
      <c r="X1" s="361"/>
      <c r="Y1" s="361"/>
      <c r="AA1" s="361" t="s">
        <v>5</v>
      </c>
      <c r="AB1" s="361"/>
      <c r="AC1" s="361"/>
      <c r="AD1" s="361"/>
      <c r="AE1" s="361"/>
      <c r="AG1" s="361" t="s">
        <v>6</v>
      </c>
      <c r="AH1" s="361"/>
      <c r="AI1" s="361"/>
      <c r="AJ1" s="361"/>
      <c r="AK1" s="361"/>
      <c r="AM1" s="361" t="s">
        <v>7</v>
      </c>
      <c r="AN1" s="361"/>
      <c r="AO1" s="361"/>
      <c r="AP1" s="361"/>
      <c r="AQ1" s="361"/>
      <c r="AS1" s="361" t="s">
        <v>8</v>
      </c>
      <c r="AT1" s="361"/>
      <c r="AU1" s="361"/>
      <c r="AV1" s="361"/>
      <c r="AW1" s="361"/>
    </row>
    <row r="2" spans="2:49" ht="15" customHeight="1" x14ac:dyDescent="0.35"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U2" s="3" t="s">
        <v>24</v>
      </c>
      <c r="V2" s="3" t="s">
        <v>25</v>
      </c>
      <c r="W2" s="3" t="s">
        <v>26</v>
      </c>
      <c r="X2" s="3" t="s">
        <v>27</v>
      </c>
      <c r="Y2" s="3" t="s">
        <v>28</v>
      </c>
      <c r="AA2" s="3" t="s">
        <v>29</v>
      </c>
      <c r="AB2" s="3" t="s">
        <v>30</v>
      </c>
      <c r="AC2" s="3" t="s">
        <v>31</v>
      </c>
      <c r="AD2" s="3" t="s">
        <v>32</v>
      </c>
      <c r="AE2" s="3" t="s">
        <v>33</v>
      </c>
      <c r="AG2" s="3" t="s">
        <v>34</v>
      </c>
      <c r="AH2" s="3" t="s">
        <v>35</v>
      </c>
      <c r="AI2" s="3" t="s">
        <v>36</v>
      </c>
      <c r="AJ2" s="3" t="s">
        <v>37</v>
      </c>
      <c r="AK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</row>
    <row r="4" spans="2:49" ht="15" customHeight="1" x14ac:dyDescent="0.35">
      <c r="B4" s="4" t="s">
        <v>49</v>
      </c>
    </row>
    <row r="6" spans="2:49" ht="15" customHeight="1" x14ac:dyDescent="0.35">
      <c r="B6" s="5" t="s">
        <v>50</v>
      </c>
      <c r="C6" s="6">
        <v>599</v>
      </c>
      <c r="D6" s="6">
        <v>790</v>
      </c>
      <c r="E6" s="6">
        <v>1189</v>
      </c>
      <c r="F6" s="6">
        <v>1057</v>
      </c>
      <c r="G6" s="7">
        <v>3635</v>
      </c>
      <c r="I6" s="6">
        <v>611</v>
      </c>
      <c r="J6" s="6">
        <v>1457</v>
      </c>
      <c r="K6" s="6">
        <v>1399</v>
      </c>
      <c r="L6" s="6">
        <v>1390</v>
      </c>
      <c r="M6" s="7">
        <v>4857</v>
      </c>
      <c r="O6" s="6">
        <v>896</v>
      </c>
      <c r="P6" s="6">
        <v>1361</v>
      </c>
      <c r="Q6" s="6">
        <v>1664</v>
      </c>
      <c r="R6" s="6">
        <v>1562</v>
      </c>
      <c r="S6" s="7">
        <v>5483</v>
      </c>
      <c r="U6" s="6">
        <v>901</v>
      </c>
      <c r="V6" s="6">
        <v>1904</v>
      </c>
      <c r="W6" s="6">
        <v>2152</v>
      </c>
      <c r="X6" s="6">
        <v>1901</v>
      </c>
      <c r="Y6" s="7">
        <v>6858</v>
      </c>
      <c r="AA6" s="7">
        <f>$AE$34*$AE$30</f>
        <v>991.25531999999998</v>
      </c>
      <c r="AB6" s="7">
        <f>$AE$34*$AE$31</f>
        <v>2094.15888</v>
      </c>
      <c r="AC6" s="7">
        <f>$AE$34*$AE$32</f>
        <v>2367.2444400000004</v>
      </c>
      <c r="AD6" s="7">
        <f>$AE$34*$AE$33</f>
        <v>2091.1413600000001</v>
      </c>
      <c r="AE6" s="340">
        <f>SUM(AA6:AD6)</f>
        <v>7543.8000000000011</v>
      </c>
      <c r="AG6" s="7">
        <f>$AK$34*$AK$30</f>
        <v>1050.7306391999998</v>
      </c>
      <c r="AH6" s="7">
        <f>$AK$34*$AK$31</f>
        <v>2219.8084128</v>
      </c>
      <c r="AI6" s="7">
        <f>$AK$34*$AK$32</f>
        <v>2509.2791064000003</v>
      </c>
      <c r="AJ6" s="7">
        <f>$AK$34*$AK$33</f>
        <v>2216.6098416</v>
      </c>
      <c r="AK6" s="7">
        <f>SUM(AG6:AJ6)</f>
        <v>7996.4279999999999</v>
      </c>
      <c r="AM6" s="7">
        <f>$AQ$34*$AQ$30</f>
        <v>1103.2671711600001</v>
      </c>
      <c r="AN6" s="7">
        <f>$AQ$34*$AQ$31</f>
        <v>2330.7988334400002</v>
      </c>
      <c r="AO6" s="7">
        <f>$AQ$34*$AQ$32</f>
        <v>2634.7430617200002</v>
      </c>
      <c r="AP6" s="7">
        <f>$AQ$34*$AQ$33</f>
        <v>2327.4403336800001</v>
      </c>
      <c r="AQ6" s="7">
        <f>SUM(AM6:AP6)</f>
        <v>8396.2494000000006</v>
      </c>
      <c r="AS6" s="7">
        <f>$AW$34*$AW$30</f>
        <v>1158.4305297179999</v>
      </c>
      <c r="AT6" s="7">
        <f>$AW$34*$AW$31</f>
        <v>2447.3387751119999</v>
      </c>
      <c r="AU6" s="7">
        <f>$AW$34*$AW$32</f>
        <v>2766.4802148060003</v>
      </c>
      <c r="AV6" s="7">
        <f>$AW$34*$AW$33</f>
        <v>2443.8123503639999</v>
      </c>
      <c r="AW6" s="7">
        <f>SUM(AS6:AV6)</f>
        <v>8816.0618699999995</v>
      </c>
    </row>
    <row r="7" spans="2:49" ht="15" customHeight="1" x14ac:dyDescent="0.35">
      <c r="B7" s="5" t="s">
        <v>51</v>
      </c>
      <c r="C7" s="8">
        <v>0.32</v>
      </c>
      <c r="D7" s="8">
        <v>0.32</v>
      </c>
      <c r="E7" s="8">
        <v>0.32</v>
      </c>
      <c r="F7" s="8">
        <v>0.32</v>
      </c>
      <c r="I7" s="8">
        <v>0.32</v>
      </c>
      <c r="J7" s="8">
        <v>0.32</v>
      </c>
      <c r="K7" s="8">
        <v>0.32</v>
      </c>
      <c r="L7" s="8">
        <v>0.32</v>
      </c>
      <c r="O7" s="8">
        <v>0.32</v>
      </c>
      <c r="P7" s="8">
        <v>0.32</v>
      </c>
      <c r="Q7" s="8">
        <v>0.32</v>
      </c>
      <c r="R7" s="8">
        <v>0.32</v>
      </c>
      <c r="U7" s="8">
        <v>0.32</v>
      </c>
      <c r="V7" s="8">
        <v>0.32</v>
      </c>
      <c r="W7" s="8">
        <v>0.32</v>
      </c>
      <c r="X7" s="8">
        <v>0.32</v>
      </c>
      <c r="AA7" s="8">
        <f>$AE$25</f>
        <v>0.3</v>
      </c>
      <c r="AB7" s="8">
        <f>$AE$25</f>
        <v>0.3</v>
      </c>
      <c r="AC7" s="8">
        <f>$AE$25</f>
        <v>0.3</v>
      </c>
      <c r="AD7" s="8">
        <f>$AE$25</f>
        <v>0.3</v>
      </c>
      <c r="AG7" s="8">
        <f>$AK$25</f>
        <v>0.3</v>
      </c>
      <c r="AH7" s="8">
        <f>$AK$25</f>
        <v>0.3</v>
      </c>
      <c r="AI7" s="8">
        <f>$AK$25</f>
        <v>0.3</v>
      </c>
      <c r="AJ7" s="8">
        <f>$AK$25</f>
        <v>0.3</v>
      </c>
      <c r="AM7" s="8">
        <f>$AQ$25</f>
        <v>0.3</v>
      </c>
      <c r="AN7" s="8">
        <f>$AQ$25</f>
        <v>0.3</v>
      </c>
      <c r="AO7" s="8">
        <f>$AQ$25</f>
        <v>0.3</v>
      </c>
      <c r="AP7" s="8">
        <f>$AQ$25</f>
        <v>0.3</v>
      </c>
      <c r="AS7" s="8">
        <f>$AW$25</f>
        <v>0.3</v>
      </c>
      <c r="AT7" s="8">
        <f>$AW$25</f>
        <v>0.3</v>
      </c>
      <c r="AU7" s="8">
        <f>$AW$25</f>
        <v>0.3</v>
      </c>
      <c r="AV7" s="8">
        <f>$AW$25</f>
        <v>0.3</v>
      </c>
    </row>
    <row r="8" spans="2:49" ht="15" customHeight="1" x14ac:dyDescent="0.35">
      <c r="B8" s="5" t="s">
        <v>52</v>
      </c>
      <c r="C8" s="7">
        <v>191.68</v>
      </c>
      <c r="D8" s="7">
        <v>252.8</v>
      </c>
      <c r="E8" s="7">
        <v>380.48</v>
      </c>
      <c r="F8" s="7">
        <v>338.24</v>
      </c>
      <c r="G8" s="7">
        <v>1163.2</v>
      </c>
      <c r="I8" s="7">
        <v>195.52</v>
      </c>
      <c r="J8" s="7">
        <v>466.24</v>
      </c>
      <c r="K8" s="7">
        <v>447.68</v>
      </c>
      <c r="L8" s="7">
        <v>444.8</v>
      </c>
      <c r="M8" s="7">
        <v>1554.24</v>
      </c>
      <c r="O8" s="7">
        <v>286.72000000000003</v>
      </c>
      <c r="P8" s="7">
        <v>435.52</v>
      </c>
      <c r="Q8" s="7">
        <v>532.48</v>
      </c>
      <c r="R8" s="7">
        <v>499.84</v>
      </c>
      <c r="S8" s="7">
        <v>1754.56</v>
      </c>
      <c r="U8" s="7">
        <v>288.32</v>
      </c>
      <c r="V8" s="7">
        <v>609.28</v>
      </c>
      <c r="W8" s="7">
        <v>688.64</v>
      </c>
      <c r="X8" s="7">
        <v>608.32000000000005</v>
      </c>
      <c r="Y8" s="7">
        <v>2194.56</v>
      </c>
      <c r="AA8" s="7">
        <f>AA7*AA6</f>
        <v>297.37659600000001</v>
      </c>
      <c r="AB8" s="7">
        <f>AB7*AB6</f>
        <v>628.24766399999999</v>
      </c>
      <c r="AC8" s="7">
        <f>AC7*AC6</f>
        <v>710.17333200000007</v>
      </c>
      <c r="AD8" s="7">
        <f>AD7*AD6</f>
        <v>627.34240799999998</v>
      </c>
      <c r="AE8" s="7">
        <f>SUM(AA8:AD8)</f>
        <v>2263.1400000000003</v>
      </c>
      <c r="AG8" s="7">
        <f>AG7*AG6</f>
        <v>315.21919175999994</v>
      </c>
      <c r="AH8" s="7">
        <f>AH7*AH6</f>
        <v>665.94252384000004</v>
      </c>
      <c r="AI8" s="7">
        <f>AI7*AI6</f>
        <v>752.78373192000004</v>
      </c>
      <c r="AJ8" s="7">
        <f>AJ7*AJ6</f>
        <v>664.98295247999999</v>
      </c>
      <c r="AK8" s="7">
        <f>SUM(AG8:AJ8)</f>
        <v>2398.9283999999998</v>
      </c>
      <c r="AM8" s="7">
        <f>AM7*AM6</f>
        <v>330.98015134799999</v>
      </c>
      <c r="AN8" s="7">
        <f>AN7*AN6</f>
        <v>699.23965003199999</v>
      </c>
      <c r="AO8" s="7">
        <f>AO7*AO6</f>
        <v>790.4229185160001</v>
      </c>
      <c r="AP8" s="7">
        <f>AP7*AP6</f>
        <v>698.23210010399998</v>
      </c>
      <c r="AQ8" s="7">
        <f>SUM(AM8:AP8)</f>
        <v>2518.87482</v>
      </c>
      <c r="AS8" s="7">
        <f>AS7*AS6</f>
        <v>347.52915891539993</v>
      </c>
      <c r="AT8" s="7">
        <f>AT7*AT6</f>
        <v>734.20163253359999</v>
      </c>
      <c r="AU8" s="7">
        <f>AU7*AU6</f>
        <v>829.94406444180004</v>
      </c>
      <c r="AV8" s="7">
        <f>AV7*AV6</f>
        <v>733.14370510919991</v>
      </c>
      <c r="AW8" s="7">
        <f>SUM(AS8:AV8)</f>
        <v>2644.818561</v>
      </c>
    </row>
    <row r="10" spans="2:49" ht="15" customHeight="1" x14ac:dyDescent="0.35">
      <c r="B10" s="5" t="s">
        <v>53</v>
      </c>
      <c r="C10" s="6">
        <v>3257</v>
      </c>
      <c r="D10" s="7">
        <v>3310</v>
      </c>
      <c r="E10" s="7">
        <v>3266</v>
      </c>
      <c r="F10" s="7">
        <v>3693</v>
      </c>
      <c r="G10" s="7">
        <v>3257</v>
      </c>
      <c r="I10" s="7">
        <v>4203</v>
      </c>
      <c r="J10" s="7">
        <v>4043</v>
      </c>
      <c r="K10" s="7">
        <v>4583</v>
      </c>
      <c r="L10" s="7">
        <v>5021</v>
      </c>
      <c r="M10" s="7">
        <v>4203</v>
      </c>
      <c r="O10" s="7">
        <v>5146</v>
      </c>
      <c r="P10" s="7">
        <v>4778</v>
      </c>
      <c r="Q10" s="7">
        <v>4592</v>
      </c>
      <c r="R10" s="7">
        <v>4491</v>
      </c>
      <c r="S10" s="7">
        <v>5146</v>
      </c>
      <c r="U10" s="7">
        <v>4787</v>
      </c>
      <c r="V10" s="7">
        <v>4458</v>
      </c>
      <c r="W10" s="7">
        <v>4716</v>
      </c>
      <c r="X10" s="7">
        <v>5296</v>
      </c>
      <c r="Y10" s="7">
        <v>4787</v>
      </c>
      <c r="AA10" s="7">
        <f>X22</f>
        <v>5696</v>
      </c>
      <c r="AB10" s="7">
        <f>AA22</f>
        <v>5250.6787240000003</v>
      </c>
      <c r="AC10" s="7">
        <f>AB22</f>
        <v>5666.4541952</v>
      </c>
      <c r="AD10" s="7">
        <f>AC22</f>
        <v>6190.2344641600002</v>
      </c>
      <c r="AE10" s="7">
        <f>AA10</f>
        <v>5696</v>
      </c>
      <c r="AG10" s="7">
        <f>AD22</f>
        <v>6415.9865233280007</v>
      </c>
      <c r="AH10" s="7">
        <f>AG22</f>
        <v>5868.300666102401</v>
      </c>
      <c r="AI10" s="7">
        <f>AH22</f>
        <v>6248.5064218419211</v>
      </c>
      <c r="AJ10" s="7">
        <f>AI22</f>
        <v>6755.3005119535383</v>
      </c>
      <c r="AK10" s="7">
        <f>AG10</f>
        <v>6415.9865233280007</v>
      </c>
      <c r="AM10" s="7">
        <f>AJ22</f>
        <v>6955.8672986828296</v>
      </c>
      <c r="AN10" s="7">
        <f>AM22</f>
        <v>6336.9808587582629</v>
      </c>
      <c r="AO10" s="7">
        <f>AN22</f>
        <v>6701.1438704146094</v>
      </c>
      <c r="AP10" s="7">
        <f>AO22</f>
        <v>7205.2352395356884</v>
      </c>
      <c r="AQ10" s="7">
        <f>AM10</f>
        <v>6955.8672986828296</v>
      </c>
      <c r="AS10" s="7">
        <f>AP22</f>
        <v>7393.3964252045516</v>
      </c>
      <c r="AT10" s="7">
        <f>AS22</f>
        <v>6799.5524752182864</v>
      </c>
      <c r="AU10" s="7">
        <f>AT22</f>
        <v>7220.7746475052109</v>
      </c>
      <c r="AV10" s="7">
        <f>AU22</f>
        <v>7785.3636148434207</v>
      </c>
      <c r="AW10" s="7">
        <f>AS10</f>
        <v>7393.3964252045516</v>
      </c>
    </row>
    <row r="11" spans="2:49" ht="15" customHeight="1" x14ac:dyDescent="0.35">
      <c r="B11" s="5" t="s">
        <v>54</v>
      </c>
      <c r="C11" s="8">
        <v>0.21</v>
      </c>
      <c r="D11" s="8">
        <v>0.21</v>
      </c>
      <c r="E11" s="8">
        <v>0.21</v>
      </c>
      <c r="F11" s="8">
        <v>0.21</v>
      </c>
      <c r="I11" s="8">
        <v>0.21</v>
      </c>
      <c r="J11" s="8">
        <v>0.21</v>
      </c>
      <c r="K11" s="8">
        <v>0.21</v>
      </c>
      <c r="L11" s="8">
        <v>0.21</v>
      </c>
      <c r="O11" s="8">
        <v>0.21</v>
      </c>
      <c r="P11" s="8">
        <v>0.21</v>
      </c>
      <c r="Q11" s="8">
        <v>0.21</v>
      </c>
      <c r="R11" s="8">
        <v>0.21</v>
      </c>
      <c r="U11" s="8">
        <v>0.21</v>
      </c>
      <c r="V11" s="8">
        <v>0.21</v>
      </c>
      <c r="W11" s="8">
        <v>0.21</v>
      </c>
      <c r="X11" s="8">
        <v>0.21</v>
      </c>
      <c r="AA11" s="8">
        <f>$AE$26</f>
        <v>0.2</v>
      </c>
      <c r="AB11" s="8">
        <f>$AE$26</f>
        <v>0.2</v>
      </c>
      <c r="AC11" s="8">
        <f>$AE$26</f>
        <v>0.2</v>
      </c>
      <c r="AD11" s="8">
        <f>$AE$26</f>
        <v>0.2</v>
      </c>
      <c r="AG11" s="8">
        <f>$AK$26</f>
        <v>0.2</v>
      </c>
      <c r="AH11" s="8">
        <f>$AK$26</f>
        <v>0.2</v>
      </c>
      <c r="AI11" s="8">
        <f>$AK$26</f>
        <v>0.2</v>
      </c>
      <c r="AJ11" s="8">
        <f>$AK$26</f>
        <v>0.2</v>
      </c>
      <c r="AM11" s="8">
        <f>$AQ$26</f>
        <v>0.2</v>
      </c>
      <c r="AN11" s="8">
        <f>$AQ$26</f>
        <v>0.2</v>
      </c>
      <c r="AO11" s="8">
        <f>$AQ$26</f>
        <v>0.2</v>
      </c>
      <c r="AP11" s="8">
        <f>$AQ$26</f>
        <v>0.2</v>
      </c>
      <c r="AS11" s="8">
        <f>$AW$26</f>
        <v>0.19</v>
      </c>
      <c r="AT11" s="8">
        <f>$AW$26</f>
        <v>0.19</v>
      </c>
      <c r="AU11" s="8">
        <f>$AW$26</f>
        <v>0.19</v>
      </c>
      <c r="AV11" s="8">
        <f>$AW$26</f>
        <v>0.19</v>
      </c>
    </row>
    <row r="12" spans="2:49" ht="15" customHeight="1" x14ac:dyDescent="0.35">
      <c r="B12" s="5" t="s">
        <v>55</v>
      </c>
      <c r="C12" s="7">
        <v>683.97</v>
      </c>
      <c r="D12" s="7">
        <v>695.1</v>
      </c>
      <c r="E12" s="7">
        <v>685.86</v>
      </c>
      <c r="F12" s="7">
        <v>775.53</v>
      </c>
      <c r="G12" s="7">
        <v>2840.46</v>
      </c>
      <c r="I12" s="7">
        <v>882.63</v>
      </c>
      <c r="J12" s="7">
        <v>849.03</v>
      </c>
      <c r="K12" s="7">
        <v>962.43</v>
      </c>
      <c r="L12" s="7">
        <v>1054.4100000000001</v>
      </c>
      <c r="M12" s="7">
        <v>3748.5</v>
      </c>
      <c r="O12" s="7">
        <v>1080.6600000000001</v>
      </c>
      <c r="P12" s="7">
        <v>1003.38</v>
      </c>
      <c r="Q12" s="7">
        <v>964.32</v>
      </c>
      <c r="R12" s="7">
        <v>943.11</v>
      </c>
      <c r="S12" s="7">
        <v>3991.47</v>
      </c>
      <c r="U12" s="7">
        <v>1005.27</v>
      </c>
      <c r="V12" s="7">
        <v>936.18</v>
      </c>
      <c r="W12" s="7">
        <v>990.36</v>
      </c>
      <c r="X12" s="7">
        <v>1112.1600000000001</v>
      </c>
      <c r="Y12" s="7">
        <v>4043.97</v>
      </c>
      <c r="AA12" s="7">
        <f>AA11*AA10</f>
        <v>1139.2</v>
      </c>
      <c r="AB12" s="7">
        <f>AB11*AB10</f>
        <v>1050.1357448000001</v>
      </c>
      <c r="AC12" s="7">
        <f>AC11*AC10</f>
        <v>1133.29083904</v>
      </c>
      <c r="AD12" s="7">
        <f>AD11*AD10</f>
        <v>1238.0468928320001</v>
      </c>
      <c r="AE12" s="7">
        <f>SUM(AA12:AD12)</f>
        <v>4560.6734766720001</v>
      </c>
      <c r="AG12" s="7">
        <f>AG11*AG10</f>
        <v>1283.1973046656003</v>
      </c>
      <c r="AH12" s="7">
        <f>AH11*AH10</f>
        <v>1173.6601332204802</v>
      </c>
      <c r="AI12" s="7">
        <f>AI11*AI10</f>
        <v>1249.7012843683842</v>
      </c>
      <c r="AJ12" s="7">
        <f>AJ11*AJ10</f>
        <v>1351.0601023907077</v>
      </c>
      <c r="AK12" s="7">
        <f>SUM(AG12:AJ12)</f>
        <v>5057.618824645172</v>
      </c>
      <c r="AM12" s="7">
        <f>AM11*AM10</f>
        <v>1391.173459736566</v>
      </c>
      <c r="AN12" s="7">
        <f>AN11*AN10</f>
        <v>1267.3961717516527</v>
      </c>
      <c r="AO12" s="7">
        <f>AO11*AO10</f>
        <v>1340.228774082922</v>
      </c>
      <c r="AP12" s="7">
        <f>AP11*AP10</f>
        <v>1441.0470479071378</v>
      </c>
      <c r="AQ12" s="7">
        <f>SUM(AM12:AP12)</f>
        <v>5439.8454534782786</v>
      </c>
      <c r="AS12" s="7">
        <f>AS11*AS10</f>
        <v>1404.7453207888648</v>
      </c>
      <c r="AT12" s="7">
        <f>AT11*AT10</f>
        <v>1291.9149702914744</v>
      </c>
      <c r="AU12" s="7">
        <f>AU11*AU10</f>
        <v>1371.9471830259902</v>
      </c>
      <c r="AV12" s="7">
        <f>AV11*AV10</f>
        <v>1479.2190868202499</v>
      </c>
      <c r="AW12" s="7">
        <f>SUM(AS12:AV12)</f>
        <v>5547.8265609265791</v>
      </c>
    </row>
    <row r="13" spans="2:49" ht="15" customHeight="1" x14ac:dyDescent="0.35">
      <c r="B13" s="9" t="s">
        <v>56</v>
      </c>
      <c r="C13" s="6">
        <v>622</v>
      </c>
      <c r="D13" s="6">
        <v>836</v>
      </c>
      <c r="E13" s="6">
        <v>847</v>
      </c>
      <c r="F13" s="6">
        <v>695</v>
      </c>
      <c r="G13" s="10">
        <v>3000</v>
      </c>
      <c r="I13" s="6">
        <v>803</v>
      </c>
      <c r="J13" s="6">
        <v>962</v>
      </c>
      <c r="K13" s="6">
        <v>1005</v>
      </c>
      <c r="L13" s="6">
        <v>1220</v>
      </c>
      <c r="M13" s="10">
        <v>3990</v>
      </c>
      <c r="O13" s="6">
        <v>1308</v>
      </c>
      <c r="P13" s="6">
        <v>1619</v>
      </c>
      <c r="Q13" s="6">
        <v>1765</v>
      </c>
      <c r="R13" s="6">
        <v>1308</v>
      </c>
      <c r="S13" s="10">
        <v>6000</v>
      </c>
      <c r="U13" s="6">
        <v>1326</v>
      </c>
      <c r="V13" s="6">
        <v>1677</v>
      </c>
      <c r="W13" s="6">
        <v>1642</v>
      </c>
      <c r="X13" s="6">
        <v>1517</v>
      </c>
      <c r="Y13" s="10">
        <v>6162</v>
      </c>
      <c r="AA13" s="10">
        <f>AA8+AA12</f>
        <v>1436.5765960000001</v>
      </c>
      <c r="AB13" s="10">
        <f>AB8+AB12</f>
        <v>1678.3834088000001</v>
      </c>
      <c r="AC13" s="10">
        <f>AC8+AC12</f>
        <v>1843.4641710400001</v>
      </c>
      <c r="AD13" s="10">
        <f>AD8+AD12</f>
        <v>1865.3893008320001</v>
      </c>
      <c r="AE13" s="10">
        <f>SUM(AA13:AD13)</f>
        <v>6823.8134766720004</v>
      </c>
      <c r="AG13" s="10">
        <f>AG8+AG12</f>
        <v>1598.4164964256001</v>
      </c>
      <c r="AH13" s="10">
        <f>AH8+AH12</f>
        <v>1839.6026570604804</v>
      </c>
      <c r="AI13" s="10">
        <f>AI8+AI12</f>
        <v>2002.4850162883843</v>
      </c>
      <c r="AJ13" s="10">
        <f>AJ8+AJ12</f>
        <v>2016.0430548707077</v>
      </c>
      <c r="AK13" s="10">
        <f>SUM(AG13:AJ13)</f>
        <v>7456.5472246451718</v>
      </c>
      <c r="AM13" s="10">
        <f>AM8+AM12</f>
        <v>1722.1536110845659</v>
      </c>
      <c r="AN13" s="10">
        <f>AN8+AN12</f>
        <v>1966.6358217836528</v>
      </c>
      <c r="AO13" s="10">
        <f>AO8+AO12</f>
        <v>2130.6516925989222</v>
      </c>
      <c r="AP13" s="10">
        <f>AP8+AP12</f>
        <v>2139.2791480111377</v>
      </c>
      <c r="AQ13" s="10">
        <f>SUM(AM13:AP13)</f>
        <v>7958.7202734782786</v>
      </c>
      <c r="AS13" s="10">
        <f>AS8+AS12</f>
        <v>1752.2744797042646</v>
      </c>
      <c r="AT13" s="10">
        <f>AT8+AT12</f>
        <v>2026.1166028250746</v>
      </c>
      <c r="AU13" s="10">
        <f>AU8+AU12</f>
        <v>2201.89124746779</v>
      </c>
      <c r="AV13" s="10">
        <f>AV8+AV12</f>
        <v>2212.3627919294499</v>
      </c>
      <c r="AW13" s="10">
        <f>SUM(AS13:AV13)</f>
        <v>8192.64512192658</v>
      </c>
    </row>
    <row r="15" spans="2:49" ht="15" customHeight="1" x14ac:dyDescent="0.35">
      <c r="B15" s="5" t="s">
        <v>57</v>
      </c>
      <c r="C15" s="6">
        <v>854</v>
      </c>
      <c r="D15" s="7">
        <v>938</v>
      </c>
      <c r="E15" s="7">
        <v>1068</v>
      </c>
      <c r="F15" s="7">
        <v>1135</v>
      </c>
      <c r="G15" s="7">
        <v>854</v>
      </c>
      <c r="I15" s="7">
        <v>1071</v>
      </c>
      <c r="J15" s="7">
        <v>1119</v>
      </c>
      <c r="K15" s="7">
        <v>1084</v>
      </c>
      <c r="L15" s="7">
        <v>1333</v>
      </c>
      <c r="M15" s="7">
        <v>1071</v>
      </c>
      <c r="O15" s="7">
        <v>1708</v>
      </c>
      <c r="P15" s="7">
        <v>1926</v>
      </c>
      <c r="Q15" s="7">
        <v>2331</v>
      </c>
      <c r="R15" s="7">
        <v>2618</v>
      </c>
      <c r="S15" s="7">
        <v>1708</v>
      </c>
      <c r="U15" s="7">
        <v>2845</v>
      </c>
      <c r="V15" s="7">
        <v>3116</v>
      </c>
      <c r="W15" s="7">
        <v>3398</v>
      </c>
      <c r="X15" s="7">
        <v>3686</v>
      </c>
      <c r="Y15" s="7">
        <v>2845</v>
      </c>
      <c r="AA15" s="7">
        <f>X21</f>
        <v>3822</v>
      </c>
      <c r="AB15" s="7">
        <f>AA21</f>
        <v>4017.9812768000002</v>
      </c>
      <c r="AC15" s="7">
        <f>AB21</f>
        <v>4402.7702761119999</v>
      </c>
      <c r="AD15" s="7">
        <f>AC21</f>
        <v>4833.1111170540798</v>
      </c>
      <c r="AE15" s="7">
        <f>AA15</f>
        <v>3822</v>
      </c>
      <c r="AG15" s="7">
        <f>AD21</f>
        <v>5180.7107111414271</v>
      </c>
      <c r="AH15" s="7">
        <f>AG21</f>
        <v>5245.5710030995997</v>
      </c>
      <c r="AI15" s="7">
        <f>AH21</f>
        <v>5525.8637282859045</v>
      </c>
      <c r="AJ15" s="7">
        <f>AI21</f>
        <v>5868.8031594803515</v>
      </c>
      <c r="AK15" s="7">
        <f>AG15</f>
        <v>5180.7107111414271</v>
      </c>
      <c r="AM15" s="7">
        <f>AJ21</f>
        <v>6137.3110671428485</v>
      </c>
      <c r="AN15" s="7">
        <f>AM21</f>
        <v>6115.712147346675</v>
      </c>
      <c r="AO15" s="7">
        <f>AN21</f>
        <v>6330.2880096726331</v>
      </c>
      <c r="AP15" s="7">
        <f>AO21</f>
        <v>6619.8946499792728</v>
      </c>
      <c r="AQ15" s="7">
        <f>AM15</f>
        <v>6137.3110671428485</v>
      </c>
      <c r="AS15" s="7">
        <f>AP21</f>
        <v>6839.8207100193576</v>
      </c>
      <c r="AT15" s="7">
        <f>AS21</f>
        <v>6725.8453839430131</v>
      </c>
      <c r="AU15" s="7">
        <f>AT21</f>
        <v>6883.0289136847496</v>
      </c>
      <c r="AV15" s="7">
        <f>AU21</f>
        <v>7131.6731305616231</v>
      </c>
      <c r="AW15" s="7">
        <f>AS15</f>
        <v>6839.8207100193576</v>
      </c>
    </row>
    <row r="16" spans="2:49" ht="15" customHeight="1" x14ac:dyDescent="0.35">
      <c r="B16" s="5" t="s">
        <v>58</v>
      </c>
      <c r="C16" s="7">
        <v>38.335999999999999</v>
      </c>
      <c r="D16" s="7">
        <v>50.56</v>
      </c>
      <c r="E16" s="7">
        <v>76.096000000000004</v>
      </c>
      <c r="F16" s="7">
        <v>67.647999999999996</v>
      </c>
      <c r="G16" s="7">
        <v>232.64</v>
      </c>
      <c r="I16" s="7">
        <v>39.103999999999999</v>
      </c>
      <c r="J16" s="7">
        <v>93.248000000000005</v>
      </c>
      <c r="K16" s="7">
        <v>89.536000000000001</v>
      </c>
      <c r="L16" s="7">
        <v>88.96</v>
      </c>
      <c r="M16" s="7">
        <v>310.84800000000001</v>
      </c>
      <c r="O16" s="7">
        <v>57.344000000000001</v>
      </c>
      <c r="P16" s="7">
        <v>87.103999999999999</v>
      </c>
      <c r="Q16" s="7">
        <v>106.496</v>
      </c>
      <c r="R16" s="7">
        <v>99.968000000000004</v>
      </c>
      <c r="S16" s="7">
        <v>350.91199999999998</v>
      </c>
      <c r="U16" s="7">
        <v>57.664000000000001</v>
      </c>
      <c r="V16" s="7">
        <v>121.85599999999999</v>
      </c>
      <c r="W16" s="7">
        <v>137.72800000000001</v>
      </c>
      <c r="X16" s="7">
        <v>121.664</v>
      </c>
      <c r="Y16" s="7">
        <v>438.91199999999998</v>
      </c>
      <c r="AA16" s="7">
        <f>$AE$27*AA8</f>
        <v>59.475319200000001</v>
      </c>
      <c r="AB16" s="7">
        <f>$AE$27*AB8</f>
        <v>125.6495328</v>
      </c>
      <c r="AC16" s="7">
        <f>$AE$27*AC8</f>
        <v>142.03466640000002</v>
      </c>
      <c r="AD16" s="7">
        <f>$AE$27*AD8</f>
        <v>125.4684816</v>
      </c>
      <c r="AE16" s="7">
        <f>SUM(AA16:AD16)</f>
        <v>452.62800000000004</v>
      </c>
      <c r="AG16" s="7">
        <f>$AK$27*AG8</f>
        <v>63.043838351999995</v>
      </c>
      <c r="AH16" s="7">
        <f>$AK$27*AH8</f>
        <v>133.188504768</v>
      </c>
      <c r="AI16" s="7">
        <f>$AK$27*AI8</f>
        <v>150.55674638400001</v>
      </c>
      <c r="AJ16" s="7">
        <f>$AK$27*AJ8</f>
        <v>132.99659049600001</v>
      </c>
      <c r="AK16" s="7">
        <f>SUM(AG16:AJ16)</f>
        <v>479.78568000000001</v>
      </c>
      <c r="AM16" s="7">
        <f>$AQ$27*AM8</f>
        <v>66.196030269600001</v>
      </c>
      <c r="AN16" s="7">
        <f>$AQ$27*AN8</f>
        <v>139.84793000639999</v>
      </c>
      <c r="AO16" s="7">
        <f>$AQ$27*AO8</f>
        <v>158.08458370320002</v>
      </c>
      <c r="AP16" s="7">
        <f>$AQ$27*AP8</f>
        <v>139.64642002080001</v>
      </c>
      <c r="AQ16" s="7">
        <f>SUM(AM16:AP16)</f>
        <v>503.77496400000001</v>
      </c>
      <c r="AS16" s="7">
        <f>$AW$27*AS8</f>
        <v>69.505831783079984</v>
      </c>
      <c r="AT16" s="7">
        <f>$AW$27*AT8</f>
        <v>146.84032650672</v>
      </c>
      <c r="AU16" s="7">
        <f>$AW$27*AU8</f>
        <v>165.98881288836003</v>
      </c>
      <c r="AV16" s="7">
        <f>$AW$27*AV8</f>
        <v>146.62874102184</v>
      </c>
      <c r="AW16" s="7">
        <f>SUM(AS16:AV16)</f>
        <v>528.96371220000003</v>
      </c>
    </row>
    <row r="17" spans="2:49" ht="15" customHeight="1" x14ac:dyDescent="0.35">
      <c r="B17" s="5" t="s">
        <v>59</v>
      </c>
      <c r="C17" s="7">
        <v>341.98500000000001</v>
      </c>
      <c r="D17" s="7">
        <v>347.55</v>
      </c>
      <c r="E17" s="7">
        <v>342.93</v>
      </c>
      <c r="F17" s="7">
        <v>387.76499999999999</v>
      </c>
      <c r="G17" s="7">
        <v>1420.23</v>
      </c>
      <c r="I17" s="7">
        <v>441.315</v>
      </c>
      <c r="J17" s="7">
        <v>424.51499999999999</v>
      </c>
      <c r="K17" s="7">
        <v>481.21499999999997</v>
      </c>
      <c r="L17" s="7">
        <v>527.20500000000004</v>
      </c>
      <c r="M17" s="7">
        <v>1874.25</v>
      </c>
      <c r="O17" s="7">
        <v>540.33000000000004</v>
      </c>
      <c r="P17" s="7">
        <v>501.69</v>
      </c>
      <c r="Q17" s="7">
        <v>482.16</v>
      </c>
      <c r="R17" s="7">
        <v>471.55500000000001</v>
      </c>
      <c r="S17" s="7">
        <v>1995.7349999999999</v>
      </c>
      <c r="U17" s="7">
        <v>502.63499999999999</v>
      </c>
      <c r="V17" s="7">
        <v>468.09</v>
      </c>
      <c r="W17" s="7">
        <v>495.18</v>
      </c>
      <c r="X17" s="7">
        <v>556.08000000000004</v>
      </c>
      <c r="Y17" s="7">
        <v>2021.9849999999999</v>
      </c>
      <c r="AA17" s="7">
        <f>$AE$28*AA12</f>
        <v>569.6</v>
      </c>
      <c r="AB17" s="7">
        <f>$AE$28*AB12</f>
        <v>525.06787240000006</v>
      </c>
      <c r="AC17" s="7">
        <f>$AE$28*AC12</f>
        <v>566.64541952000002</v>
      </c>
      <c r="AD17" s="7">
        <f>$AE$28*AD12</f>
        <v>619.02344641600007</v>
      </c>
      <c r="AE17" s="7">
        <f>SUM(AA17:AD17)</f>
        <v>2280.3367383360001</v>
      </c>
      <c r="AG17" s="7">
        <f>$AK$28*AG12</f>
        <v>641.59865233280016</v>
      </c>
      <c r="AH17" s="7">
        <f>$AK$28*AH12</f>
        <v>586.83006661024012</v>
      </c>
      <c r="AI17" s="7">
        <f>$AK$28*AI12</f>
        <v>624.85064218419211</v>
      </c>
      <c r="AJ17" s="7">
        <f>$AK$28*AJ12</f>
        <v>675.53005119535385</v>
      </c>
      <c r="AK17" s="7">
        <f>SUM(AG17:AJ17)</f>
        <v>2528.809412322586</v>
      </c>
      <c r="AM17" s="7">
        <f>$AQ$28*AM12</f>
        <v>695.58672986828299</v>
      </c>
      <c r="AN17" s="7">
        <f>$AQ$28*AN12</f>
        <v>633.69808587582634</v>
      </c>
      <c r="AO17" s="7">
        <f>$AQ$28*AO12</f>
        <v>670.11438704146099</v>
      </c>
      <c r="AP17" s="7">
        <f>$AQ$28*AP12</f>
        <v>720.52352395356888</v>
      </c>
      <c r="AQ17" s="7">
        <f>SUM(AM17:AP17)</f>
        <v>2719.9227267391393</v>
      </c>
      <c r="AS17" s="7">
        <f>$AW$28*AS12</f>
        <v>702.37266039443239</v>
      </c>
      <c r="AT17" s="7">
        <f>$AW$28*AT12</f>
        <v>645.95748514573722</v>
      </c>
      <c r="AU17" s="7">
        <f>$AW$28*AU12</f>
        <v>685.97359151299509</v>
      </c>
      <c r="AV17" s="7">
        <f>$AW$28*AV12</f>
        <v>739.60954341012496</v>
      </c>
      <c r="AW17" s="7">
        <f>SUM(AS17:AV17)</f>
        <v>2773.9132804632895</v>
      </c>
    </row>
    <row r="18" spans="2:49" ht="15" customHeight="1" x14ac:dyDescent="0.35">
      <c r="B18" s="5" t="s">
        <v>60</v>
      </c>
      <c r="C18" s="7">
        <v>136.63999999999999</v>
      </c>
      <c r="D18" s="7">
        <v>150.08000000000001</v>
      </c>
      <c r="E18" s="7">
        <v>170.88</v>
      </c>
      <c r="F18" s="7">
        <v>181.6</v>
      </c>
      <c r="G18" s="7">
        <v>639.20000000000005</v>
      </c>
      <c r="I18" s="7">
        <v>171.36</v>
      </c>
      <c r="J18" s="7">
        <v>179.04</v>
      </c>
      <c r="K18" s="7">
        <v>173.44</v>
      </c>
      <c r="L18" s="7">
        <v>213.28</v>
      </c>
      <c r="M18" s="7">
        <v>737.12</v>
      </c>
      <c r="O18" s="7">
        <v>273.27999999999997</v>
      </c>
      <c r="P18" s="7">
        <v>308.16000000000003</v>
      </c>
      <c r="Q18" s="7">
        <v>372.96</v>
      </c>
      <c r="R18" s="7">
        <v>418.88</v>
      </c>
      <c r="S18" s="7">
        <v>1373.28</v>
      </c>
      <c r="U18" s="7">
        <v>455.2</v>
      </c>
      <c r="V18" s="7">
        <v>498.56</v>
      </c>
      <c r="W18" s="7">
        <v>543.67999999999995</v>
      </c>
      <c r="X18" s="7">
        <v>589.76</v>
      </c>
      <c r="Y18" s="7">
        <v>2087.1999999999998</v>
      </c>
      <c r="AA18" s="7">
        <f>$AE$29*AA15</f>
        <v>611.52</v>
      </c>
      <c r="AB18" s="7">
        <f>$AE$29*AB15</f>
        <v>642.87700428800008</v>
      </c>
      <c r="AC18" s="7">
        <f>$AE$29*AC15</f>
        <v>704.44324417791995</v>
      </c>
      <c r="AD18" s="7">
        <f>$AE$29*AD15</f>
        <v>773.29777872865282</v>
      </c>
      <c r="AE18" s="7">
        <f>SUM(AA18:AD18)</f>
        <v>2732.1380271945727</v>
      </c>
      <c r="AG18" s="7">
        <f>$AK$29*AG15</f>
        <v>828.91371378262829</v>
      </c>
      <c r="AH18" s="7">
        <f>$AK$29*AH15</f>
        <v>839.29136049593592</v>
      </c>
      <c r="AI18" s="7">
        <f>$AK$29*AI15</f>
        <v>884.13819652574477</v>
      </c>
      <c r="AJ18" s="7">
        <f>$AK$29*AJ15</f>
        <v>939.0085055168563</v>
      </c>
      <c r="AK18" s="7">
        <f>SUM(AG18:AJ18)</f>
        <v>3491.3517763211648</v>
      </c>
      <c r="AM18" s="7">
        <f>$AQ$29*AM15</f>
        <v>981.96977074285576</v>
      </c>
      <c r="AN18" s="7">
        <f>$AQ$29*AN15</f>
        <v>978.51394357546803</v>
      </c>
      <c r="AO18" s="7">
        <f>$AQ$29*AO15</f>
        <v>1012.8460815476213</v>
      </c>
      <c r="AP18" s="7">
        <f>$AQ$29*AP15</f>
        <v>1059.1831439966836</v>
      </c>
      <c r="AQ18" s="7">
        <f>SUM(AM18:AP18)</f>
        <v>4032.5129398626286</v>
      </c>
      <c r="AS18" s="7">
        <f>$AW$29*AS15</f>
        <v>1094.3713136030972</v>
      </c>
      <c r="AT18" s="7">
        <f>$AW$29*AT15</f>
        <v>1076.1352614308821</v>
      </c>
      <c r="AU18" s="7">
        <f>$AW$29*AU15</f>
        <v>1101.28462618956</v>
      </c>
      <c r="AV18" s="7">
        <f>$AW$29*AV15</f>
        <v>1141.0677008898597</v>
      </c>
      <c r="AW18" s="7">
        <f>SUM(AS18:AV18)</f>
        <v>4412.8589021133994</v>
      </c>
    </row>
    <row r="19" spans="2:49" ht="15" customHeight="1" x14ac:dyDescent="0.35">
      <c r="B19" s="9" t="s">
        <v>61</v>
      </c>
      <c r="C19" s="6">
        <v>468</v>
      </c>
      <c r="D19" s="6">
        <v>586</v>
      </c>
      <c r="E19" s="6">
        <v>574</v>
      </c>
      <c r="F19" s="6">
        <v>534</v>
      </c>
      <c r="G19" s="10">
        <v>2162</v>
      </c>
      <c r="I19" s="6">
        <v>557</v>
      </c>
      <c r="J19" s="6">
        <v>605</v>
      </c>
      <c r="K19" s="6">
        <v>558</v>
      </c>
      <c r="L19" s="6">
        <v>635</v>
      </c>
      <c r="M19" s="10">
        <v>2355</v>
      </c>
      <c r="O19" s="6">
        <v>669</v>
      </c>
      <c r="P19" s="6">
        <v>844</v>
      </c>
      <c r="Q19" s="6">
        <v>911</v>
      </c>
      <c r="R19" s="6">
        <v>924</v>
      </c>
      <c r="S19" s="10">
        <v>3348</v>
      </c>
      <c r="U19" s="6">
        <v>894</v>
      </c>
      <c r="V19" s="6">
        <v>1065</v>
      </c>
      <c r="W19" s="6">
        <v>1158</v>
      </c>
      <c r="X19" s="6">
        <v>1226</v>
      </c>
      <c r="Y19" s="10">
        <v>4343</v>
      </c>
      <c r="AA19" s="10">
        <f>AA16+AA17+AA18</f>
        <v>1240.5953191999999</v>
      </c>
      <c r="AB19" s="10">
        <f>AB16+AB17+AB18</f>
        <v>1293.5944094880001</v>
      </c>
      <c r="AC19" s="10">
        <f>AC16+AC17+AC18</f>
        <v>1413.12333009792</v>
      </c>
      <c r="AD19" s="10">
        <f>AD16+AD17+AD18</f>
        <v>1517.7897067446529</v>
      </c>
      <c r="AE19" s="258">
        <f>SUM(AA19:AD19)</f>
        <v>5465.1027655305734</v>
      </c>
      <c r="AG19" s="10">
        <f>AG16+AG17+AG18</f>
        <v>1533.5562044674284</v>
      </c>
      <c r="AH19" s="10">
        <f>AH16+AH17+AH18</f>
        <v>1559.3099318741761</v>
      </c>
      <c r="AI19" s="10">
        <f>AI16+AI17+AI18</f>
        <v>1659.545585093937</v>
      </c>
      <c r="AJ19" s="10">
        <f>AJ16+AJ17+AJ18</f>
        <v>1747.5351472082102</v>
      </c>
      <c r="AK19" s="258">
        <f>SUM(AG19:AJ19)</f>
        <v>6499.9468686437513</v>
      </c>
      <c r="AM19" s="10">
        <f>AM16+AM17+AM18</f>
        <v>1743.7525308807387</v>
      </c>
      <c r="AN19" s="10">
        <f>AN16+AN17+AN18</f>
        <v>1752.0599594576943</v>
      </c>
      <c r="AO19" s="10">
        <f>AO16+AO17+AO18</f>
        <v>1841.0450522922824</v>
      </c>
      <c r="AP19" s="10">
        <f>AP16+AP17+AP18</f>
        <v>1919.3530879710524</v>
      </c>
      <c r="AQ19" s="258">
        <f>SUM(AM19:AP19)</f>
        <v>7256.2106306017686</v>
      </c>
      <c r="AS19" s="10">
        <f>AS16+AS17+AS18</f>
        <v>1866.2498057806097</v>
      </c>
      <c r="AT19" s="10">
        <f>AT16+AT17+AT18</f>
        <v>1868.9330730833394</v>
      </c>
      <c r="AU19" s="10">
        <f>AU16+AU17+AU18</f>
        <v>1953.2470305909151</v>
      </c>
      <c r="AV19" s="10">
        <f>AV16+AV17+AV18</f>
        <v>2027.3059853218247</v>
      </c>
      <c r="AW19" s="258">
        <f>SUM(AS19:AV19)</f>
        <v>7715.7358947766888</v>
      </c>
    </row>
    <row r="21" spans="2:49" ht="15" customHeight="1" x14ac:dyDescent="0.35">
      <c r="B21" s="9" t="s">
        <v>62</v>
      </c>
      <c r="C21" s="6">
        <v>938</v>
      </c>
      <c r="D21" s="6">
        <v>1068</v>
      </c>
      <c r="E21" s="6">
        <v>1135</v>
      </c>
      <c r="F21" s="6">
        <v>1071</v>
      </c>
      <c r="G21" s="10">
        <v>1071</v>
      </c>
      <c r="I21" s="6">
        <v>1119</v>
      </c>
      <c r="J21" s="6">
        <v>1084</v>
      </c>
      <c r="K21" s="6">
        <v>1333</v>
      </c>
      <c r="L21" s="6">
        <v>1708</v>
      </c>
      <c r="M21" s="10">
        <v>1708</v>
      </c>
      <c r="O21" s="6">
        <v>1926</v>
      </c>
      <c r="P21" s="6">
        <v>2331</v>
      </c>
      <c r="Q21" s="6">
        <v>2618</v>
      </c>
      <c r="R21" s="6">
        <v>2845</v>
      </c>
      <c r="S21" s="10">
        <v>2845</v>
      </c>
      <c r="U21" s="6">
        <v>3116</v>
      </c>
      <c r="V21" s="6">
        <v>3398</v>
      </c>
      <c r="W21" s="6">
        <v>3686</v>
      </c>
      <c r="X21" s="6">
        <v>3822</v>
      </c>
      <c r="Y21" s="10">
        <v>3822</v>
      </c>
      <c r="AA21" s="10">
        <f>AA15+AA13-AA19</f>
        <v>4017.9812768000002</v>
      </c>
      <c r="AB21" s="10">
        <f>AB15+AB13-AB19</f>
        <v>4402.7702761119999</v>
      </c>
      <c r="AC21" s="10">
        <f>AC15+AC13-AC19</f>
        <v>4833.1111170540798</v>
      </c>
      <c r="AD21" s="10">
        <f>AD15+AD13-AD19</f>
        <v>5180.7107111414271</v>
      </c>
      <c r="AE21" s="10">
        <f>AD21</f>
        <v>5180.7107111414271</v>
      </c>
      <c r="AG21" s="10">
        <f>AG15+AG13-AG19</f>
        <v>5245.5710030995997</v>
      </c>
      <c r="AH21" s="10">
        <f>AH15+AH13-AH19</f>
        <v>5525.8637282859045</v>
      </c>
      <c r="AI21" s="10">
        <f>AI15+AI13-AI19</f>
        <v>5868.8031594803515</v>
      </c>
      <c r="AJ21" s="10">
        <f>AJ15+AJ13-AJ19</f>
        <v>6137.3110671428485</v>
      </c>
      <c r="AK21" s="10">
        <f>AJ21</f>
        <v>6137.3110671428485</v>
      </c>
      <c r="AM21" s="10">
        <f>AM15+AM13-AM19</f>
        <v>6115.712147346675</v>
      </c>
      <c r="AN21" s="10">
        <f>AN15+AN13-AN19</f>
        <v>6330.2880096726331</v>
      </c>
      <c r="AO21" s="10">
        <f>AO15+AO13-AO19</f>
        <v>6619.8946499792728</v>
      </c>
      <c r="AP21" s="10">
        <f>AP15+AP13-AP19</f>
        <v>6839.8207100193576</v>
      </c>
      <c r="AQ21" s="10">
        <f>AP21</f>
        <v>6839.8207100193576</v>
      </c>
      <c r="AS21" s="10">
        <f>AS15+AS13-AS19</f>
        <v>6725.8453839430131</v>
      </c>
      <c r="AT21" s="10">
        <f>AT15+AT13-AT19</f>
        <v>6883.0289136847496</v>
      </c>
      <c r="AU21" s="10">
        <f>AU15+AU13-AU19</f>
        <v>7131.6731305616231</v>
      </c>
      <c r="AV21" s="10">
        <f>AV15+AV13-AV19</f>
        <v>7316.7299371692488</v>
      </c>
      <c r="AW21" s="10">
        <f>AV21</f>
        <v>7316.7299371692488</v>
      </c>
    </row>
    <row r="22" spans="2:49" ht="15" customHeight="1" x14ac:dyDescent="0.35">
      <c r="B22" s="9" t="s">
        <v>63</v>
      </c>
      <c r="C22" s="6">
        <v>3310</v>
      </c>
      <c r="D22" s="6">
        <v>3266</v>
      </c>
      <c r="E22" s="6">
        <v>3693</v>
      </c>
      <c r="F22" s="6">
        <v>4203</v>
      </c>
      <c r="G22" s="10">
        <v>4203</v>
      </c>
      <c r="I22" s="6">
        <v>4043</v>
      </c>
      <c r="J22" s="6">
        <v>4583</v>
      </c>
      <c r="K22" s="6">
        <v>5021</v>
      </c>
      <c r="L22" s="6">
        <v>5146</v>
      </c>
      <c r="M22" s="10">
        <v>5146</v>
      </c>
      <c r="O22" s="6">
        <v>4778</v>
      </c>
      <c r="P22" s="6">
        <v>4592</v>
      </c>
      <c r="Q22" s="6">
        <v>4491</v>
      </c>
      <c r="R22" s="6">
        <v>4787</v>
      </c>
      <c r="S22" s="10">
        <v>4787</v>
      </c>
      <c r="U22" s="6">
        <v>4458</v>
      </c>
      <c r="V22" s="6">
        <v>4716</v>
      </c>
      <c r="W22" s="6">
        <v>5296</v>
      </c>
      <c r="X22" s="6">
        <v>5696</v>
      </c>
      <c r="Y22" s="10">
        <v>5696</v>
      </c>
      <c r="AA22" s="10">
        <f>AA10+AA6-AA13</f>
        <v>5250.6787240000003</v>
      </c>
      <c r="AB22" s="10">
        <f>AB10+AB6-AB13</f>
        <v>5666.4541952</v>
      </c>
      <c r="AC22" s="10">
        <f>AC10+AC6-AC13</f>
        <v>6190.2344641600002</v>
      </c>
      <c r="AD22" s="10">
        <f>AD10+AD6-AD13</f>
        <v>6415.9865233280007</v>
      </c>
      <c r="AE22" s="10">
        <f>AD22</f>
        <v>6415.9865233280007</v>
      </c>
      <c r="AG22" s="10">
        <f>AG10+AG6-AG13</f>
        <v>5868.300666102401</v>
      </c>
      <c r="AH22" s="10">
        <f>AH10+AH6-AH13</f>
        <v>6248.5064218419211</v>
      </c>
      <c r="AI22" s="10">
        <f>AI10+AI6-AI13</f>
        <v>6755.3005119535383</v>
      </c>
      <c r="AJ22" s="10">
        <f>AJ10+AJ6-AJ13</f>
        <v>6955.8672986828296</v>
      </c>
      <c r="AK22" s="10">
        <f>AJ22</f>
        <v>6955.8672986828296</v>
      </c>
      <c r="AM22" s="10">
        <f>AM10+AM6-AM13</f>
        <v>6336.9808587582629</v>
      </c>
      <c r="AN22" s="10">
        <f>AN10+AN6-AN13</f>
        <v>6701.1438704146094</v>
      </c>
      <c r="AO22" s="10">
        <f>AO10+AO6-AO13</f>
        <v>7205.2352395356884</v>
      </c>
      <c r="AP22" s="10">
        <f>AP10+AP6-AP13</f>
        <v>7393.3964252045516</v>
      </c>
      <c r="AQ22" s="10">
        <f>AP22</f>
        <v>7393.3964252045516</v>
      </c>
      <c r="AS22" s="10">
        <f>AS10+AS6-AS13</f>
        <v>6799.5524752182864</v>
      </c>
      <c r="AT22" s="10">
        <f>AT10+AT6-AT13</f>
        <v>7220.7746475052109</v>
      </c>
      <c r="AU22" s="10">
        <f>AU10+AU6-AU13</f>
        <v>7785.3636148434207</v>
      </c>
      <c r="AV22" s="10">
        <f>AV10+AV6-AV13</f>
        <v>8016.8131732779711</v>
      </c>
      <c r="AW22" s="10">
        <f>AV22</f>
        <v>8016.8131732779711</v>
      </c>
    </row>
    <row r="24" spans="2:49" ht="15" customHeight="1" x14ac:dyDescent="0.35">
      <c r="B24" s="4" t="s">
        <v>64</v>
      </c>
    </row>
    <row r="25" spans="2:49" ht="15" customHeight="1" x14ac:dyDescent="0.35">
      <c r="B25" s="5" t="s">
        <v>65</v>
      </c>
      <c r="AE25" s="11">
        <v>0.3</v>
      </c>
      <c r="AK25" s="11">
        <v>0.3</v>
      </c>
      <c r="AQ25" s="11">
        <v>0.3</v>
      </c>
      <c r="AW25" s="11">
        <v>0.3</v>
      </c>
    </row>
    <row r="26" spans="2:49" ht="15" customHeight="1" x14ac:dyDescent="0.35">
      <c r="B26" s="5" t="s">
        <v>66</v>
      </c>
      <c r="AE26" s="11">
        <v>0.2</v>
      </c>
      <c r="AK26" s="11">
        <v>0.2</v>
      </c>
      <c r="AQ26" s="11">
        <v>0.2</v>
      </c>
      <c r="AW26" s="11">
        <v>0.19</v>
      </c>
    </row>
    <row r="27" spans="2:49" ht="15" customHeight="1" x14ac:dyDescent="0.35">
      <c r="B27" s="5" t="s">
        <v>67</v>
      </c>
      <c r="AE27" s="11">
        <v>0.2</v>
      </c>
      <c r="AK27" s="11">
        <v>0.2</v>
      </c>
      <c r="AQ27" s="11">
        <v>0.2</v>
      </c>
      <c r="AW27" s="11">
        <v>0.2</v>
      </c>
    </row>
    <row r="28" spans="2:49" ht="15" customHeight="1" x14ac:dyDescent="0.35">
      <c r="B28" s="5" t="s">
        <v>68</v>
      </c>
      <c r="AE28" s="11">
        <v>0.5</v>
      </c>
      <c r="AK28" s="11">
        <v>0.5</v>
      </c>
      <c r="AQ28" s="11">
        <v>0.5</v>
      </c>
      <c r="AW28" s="11">
        <v>0.5</v>
      </c>
    </row>
    <row r="29" spans="2:49" ht="15" customHeight="1" x14ac:dyDescent="0.35">
      <c r="B29" s="5" t="s">
        <v>69</v>
      </c>
      <c r="AE29" s="11">
        <v>0.16</v>
      </c>
      <c r="AK29" s="11">
        <v>0.16</v>
      </c>
      <c r="AQ29" s="11">
        <v>0.16</v>
      </c>
      <c r="AW29" s="11">
        <v>0.16</v>
      </c>
    </row>
    <row r="30" spans="2:49" ht="15" customHeight="1" x14ac:dyDescent="0.35">
      <c r="B30" s="5" t="s">
        <v>70</v>
      </c>
      <c r="AE30" s="11">
        <v>0.13139999999999999</v>
      </c>
      <c r="AK30" s="11">
        <v>0.13139999999999999</v>
      </c>
      <c r="AQ30" s="11">
        <v>0.13139999999999999</v>
      </c>
      <c r="AW30" s="11">
        <v>0.13139999999999999</v>
      </c>
    </row>
    <row r="31" spans="2:49" ht="15" customHeight="1" x14ac:dyDescent="0.35">
      <c r="B31" s="5" t="s">
        <v>71</v>
      </c>
      <c r="AE31" s="11">
        <v>0.27760000000000001</v>
      </c>
      <c r="AK31" s="11">
        <v>0.27760000000000001</v>
      </c>
      <c r="AQ31" s="11">
        <v>0.27760000000000001</v>
      </c>
      <c r="AW31" s="11">
        <v>0.27760000000000001</v>
      </c>
    </row>
    <row r="32" spans="2:49" ht="15" customHeight="1" x14ac:dyDescent="0.35">
      <c r="B32" s="5" t="s">
        <v>72</v>
      </c>
      <c r="AE32" s="11">
        <v>0.31380000000000002</v>
      </c>
      <c r="AK32" s="11">
        <v>0.31380000000000002</v>
      </c>
      <c r="AQ32" s="11">
        <v>0.31380000000000002</v>
      </c>
      <c r="AW32" s="11">
        <v>0.31380000000000002</v>
      </c>
    </row>
    <row r="33" spans="2:49" ht="15" customHeight="1" x14ac:dyDescent="0.35">
      <c r="B33" s="5" t="s">
        <v>73</v>
      </c>
      <c r="AE33" s="11">
        <v>0.2772</v>
      </c>
      <c r="AK33" s="11">
        <v>0.2772</v>
      </c>
      <c r="AQ33" s="11">
        <v>0.2772</v>
      </c>
      <c r="AW33" s="11">
        <v>0.2772</v>
      </c>
    </row>
    <row r="34" spans="2:49" ht="15" customHeight="1" x14ac:dyDescent="0.35">
      <c r="B34" s="9" t="s">
        <v>74</v>
      </c>
      <c r="G34" s="6">
        <v>3636</v>
      </c>
      <c r="M34" s="6">
        <v>4857</v>
      </c>
      <c r="S34" s="6">
        <v>5484</v>
      </c>
      <c r="Y34" s="6">
        <v>6858</v>
      </c>
      <c r="AC34" s="12">
        <v>0.1</v>
      </c>
      <c r="AE34" s="6">
        <f>Y34*(1+AC34)</f>
        <v>7543.8</v>
      </c>
      <c r="AK34" s="6">
        <v>7996.4279999999999</v>
      </c>
      <c r="AQ34" s="6">
        <v>8396.2494000000006</v>
      </c>
      <c r="AW34" s="6">
        <v>8816.0618699999995</v>
      </c>
    </row>
    <row r="35" spans="2:49" ht="15" customHeight="1" x14ac:dyDescent="0.35">
      <c r="B35" s="5" t="s">
        <v>75</v>
      </c>
      <c r="AE35" s="8">
        <f>SUM(AE30:AE33)</f>
        <v>1</v>
      </c>
      <c r="AK35" s="8">
        <f>SUM(AK30:AK33)</f>
        <v>1</v>
      </c>
      <c r="AQ35" s="8">
        <f>SUM(AQ30:AQ33)</f>
        <v>1</v>
      </c>
      <c r="AW35" s="8">
        <f>SUM(AW30:AW33)</f>
        <v>1</v>
      </c>
    </row>
    <row r="37" spans="2:49" ht="15" customHeight="1" x14ac:dyDescent="0.35">
      <c r="B37" s="4" t="s">
        <v>76</v>
      </c>
    </row>
    <row r="38" spans="2:49" ht="15" customHeight="1" x14ac:dyDescent="0.35">
      <c r="B38" s="9" t="s">
        <v>77</v>
      </c>
      <c r="G38" s="10">
        <v>3635</v>
      </c>
      <c r="M38" s="10">
        <v>4857</v>
      </c>
      <c r="S38" s="10">
        <v>5483</v>
      </c>
      <c r="Y38" s="10">
        <v>6858</v>
      </c>
      <c r="AE38" s="10">
        <f>AE6</f>
        <v>7543.8000000000011</v>
      </c>
      <c r="AK38" s="10">
        <f>AK6</f>
        <v>7996.4279999999999</v>
      </c>
      <c r="AQ38" s="10">
        <f>AQ6</f>
        <v>8396.2494000000006</v>
      </c>
      <c r="AW38" s="10">
        <f>AW6</f>
        <v>8816.0618699999995</v>
      </c>
    </row>
    <row r="39" spans="2:49" ht="15" customHeight="1" x14ac:dyDescent="0.35">
      <c r="B39" s="9" t="s">
        <v>78</v>
      </c>
      <c r="G39" s="10">
        <v>3000</v>
      </c>
      <c r="M39" s="10">
        <v>3990</v>
      </c>
      <c r="S39" s="10">
        <v>6000</v>
      </c>
      <c r="Y39" s="10">
        <v>6162</v>
      </c>
      <c r="AE39" s="10">
        <f>AE13</f>
        <v>6823.8134766720004</v>
      </c>
      <c r="AK39" s="10">
        <f>AK13</f>
        <v>7456.5472246451718</v>
      </c>
      <c r="AQ39" s="10">
        <f>AQ13</f>
        <v>7958.7202734782786</v>
      </c>
      <c r="AW39" s="10">
        <f>AW13</f>
        <v>8192.64512192658</v>
      </c>
    </row>
    <row r="40" spans="2:49" ht="15" customHeight="1" x14ac:dyDescent="0.35">
      <c r="B40" s="9" t="s">
        <v>79</v>
      </c>
      <c r="G40" s="10">
        <v>2162</v>
      </c>
      <c r="M40" s="10">
        <v>2355</v>
      </c>
      <c r="S40" s="10">
        <v>3348</v>
      </c>
      <c r="Y40" s="10">
        <v>4343</v>
      </c>
      <c r="AE40" s="10">
        <f>AE19</f>
        <v>5465.1027655305734</v>
      </c>
      <c r="AK40" s="10">
        <f>AK19</f>
        <v>6499.9468686437513</v>
      </c>
      <c r="AQ40" s="10">
        <f>AQ19</f>
        <v>7256.2106306017686</v>
      </c>
      <c r="AW40" s="10">
        <f>AW19</f>
        <v>7715.7358947766888</v>
      </c>
    </row>
    <row r="41" spans="2:49" ht="15" customHeight="1" x14ac:dyDescent="0.35">
      <c r="B41" s="9" t="s">
        <v>80</v>
      </c>
      <c r="G41" s="10">
        <v>4203</v>
      </c>
      <c r="M41" s="10">
        <v>5146</v>
      </c>
      <c r="S41" s="10">
        <v>4787</v>
      </c>
      <c r="Y41" s="10">
        <v>5696</v>
      </c>
      <c r="AD41" t="s">
        <v>429</v>
      </c>
      <c r="AE41" s="258">
        <f>AE22</f>
        <v>6415.9865233280007</v>
      </c>
      <c r="AJ41" t="s">
        <v>429</v>
      </c>
      <c r="AK41" s="10">
        <f>AK22</f>
        <v>6955.8672986828296</v>
      </c>
      <c r="AP41" t="s">
        <v>429</v>
      </c>
      <c r="AQ41" s="10">
        <f>AQ22</f>
        <v>7393.3964252045516</v>
      </c>
      <c r="AV41" t="s">
        <v>429</v>
      </c>
      <c r="AW41" s="10">
        <f>AW22</f>
        <v>8016.8131732779711</v>
      </c>
    </row>
    <row r="42" spans="2:49" ht="15" customHeight="1" x14ac:dyDescent="0.35">
      <c r="B42" s="9" t="s">
        <v>81</v>
      </c>
      <c r="G42" s="10">
        <v>1071</v>
      </c>
      <c r="M42" s="10">
        <v>1708</v>
      </c>
      <c r="S42" s="10">
        <v>2845</v>
      </c>
      <c r="Y42" s="10">
        <v>3822</v>
      </c>
      <c r="AE42" s="10">
        <f>AE21</f>
        <v>5180.7107111414271</v>
      </c>
      <c r="AK42" s="10">
        <f>AK21</f>
        <v>6137.3110671428485</v>
      </c>
      <c r="AQ42" s="10">
        <f>AQ21</f>
        <v>6839.8207100193576</v>
      </c>
      <c r="AW42" s="10">
        <f>AW21</f>
        <v>7316.7299371692488</v>
      </c>
    </row>
    <row r="55" spans="30:37" x14ac:dyDescent="0.35">
      <c r="AD55" s="12"/>
      <c r="AE55" s="12"/>
      <c r="AF55" s="13"/>
      <c r="AG55" s="12"/>
      <c r="AH55" s="12"/>
      <c r="AI55" s="12"/>
      <c r="AJ55" s="12"/>
      <c r="AK55" s="12"/>
    </row>
    <row r="56" spans="30:37" x14ac:dyDescent="0.35">
      <c r="AF56" s="12"/>
      <c r="AG56" s="12"/>
      <c r="AH56" s="12"/>
      <c r="AI56" s="12"/>
      <c r="AJ56" s="12"/>
      <c r="AK56" s="12"/>
    </row>
    <row r="57" spans="30:37" x14ac:dyDescent="0.35">
      <c r="AD57" s="12"/>
      <c r="AF57" s="12"/>
      <c r="AG57" s="12"/>
      <c r="AH57" s="12"/>
      <c r="AI57" s="12"/>
      <c r="AJ57" s="12"/>
      <c r="AK57" s="12"/>
    </row>
    <row r="58" spans="30:37" x14ac:dyDescent="0.35">
      <c r="AF58" s="12"/>
      <c r="AG58" s="12"/>
      <c r="AH58" s="12"/>
      <c r="AI58" s="12"/>
      <c r="AJ58" s="12"/>
      <c r="AK58" s="12"/>
    </row>
    <row r="59" spans="30:37" x14ac:dyDescent="0.35">
      <c r="AF59" s="12"/>
      <c r="AG59" s="12"/>
      <c r="AH59" s="12"/>
      <c r="AI59" s="12"/>
      <c r="AJ59" s="12"/>
      <c r="AK59" s="12"/>
    </row>
    <row r="60" spans="30:37" x14ac:dyDescent="0.35">
      <c r="AF60" s="12"/>
      <c r="AG60" s="12"/>
      <c r="AH60" s="12"/>
      <c r="AI60" s="12"/>
      <c r="AJ60" s="12"/>
      <c r="AK60" s="12"/>
    </row>
  </sheetData>
  <mergeCells count="8">
    <mergeCell ref="AM1:AQ1"/>
    <mergeCell ref="AS1:AW1"/>
    <mergeCell ref="C1:G1"/>
    <mergeCell ref="I1:M1"/>
    <mergeCell ref="O1:S1"/>
    <mergeCell ref="U1:Y1"/>
    <mergeCell ref="AA1:AE1"/>
    <mergeCell ref="AG1:AK1"/>
  </mergeCells>
  <conditionalFormatting sqref="AG56:AK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E0E2-63C5-46C7-9294-7698E2B1C93B}">
  <sheetPr>
    <tabColor rgb="FF002060"/>
  </sheetPr>
  <dimension ref="B1:AB148"/>
  <sheetViews>
    <sheetView showGridLines="0" topLeftCell="A116" workbookViewId="0">
      <selection activeCell="H138" sqref="H138"/>
    </sheetView>
  </sheetViews>
  <sheetFormatPr defaultRowHeight="14.5" x14ac:dyDescent="0.35"/>
  <cols>
    <col min="1" max="1" width="2.81640625" customWidth="1"/>
    <col min="2" max="2" width="57.1796875" customWidth="1"/>
    <col min="3" max="21" width="15" customWidth="1"/>
    <col min="22" max="28" width="15" style="31" customWidth="1"/>
    <col min="29" max="72" width="15" customWidth="1"/>
  </cols>
  <sheetData>
    <row r="1" spans="2:28" x14ac:dyDescent="0.35">
      <c r="V1"/>
      <c r="W1"/>
      <c r="X1"/>
      <c r="Y1"/>
      <c r="Z1"/>
      <c r="AA1"/>
      <c r="AB1"/>
    </row>
    <row r="2" spans="2:28" ht="17.25" customHeight="1" x14ac:dyDescent="0.45">
      <c r="B2" s="139" t="s">
        <v>181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40"/>
      <c r="N2" s="139"/>
      <c r="O2" s="139"/>
      <c r="P2" s="139"/>
      <c r="Q2" s="139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2:28" ht="2.25" customHeight="1" x14ac:dyDescent="0.35"/>
    <row r="4" spans="2:28" x14ac:dyDescent="0.35">
      <c r="B4" s="141" t="s">
        <v>182</v>
      </c>
      <c r="C4" s="142">
        <v>2025</v>
      </c>
      <c r="D4" s="140" t="s">
        <v>27</v>
      </c>
      <c r="E4" s="140" t="s">
        <v>26</v>
      </c>
      <c r="F4" s="140" t="s">
        <v>25</v>
      </c>
      <c r="G4" s="140" t="s">
        <v>24</v>
      </c>
      <c r="H4" s="142">
        <v>2024</v>
      </c>
      <c r="I4" s="140" t="s">
        <v>22</v>
      </c>
      <c r="J4" s="140" t="s">
        <v>21</v>
      </c>
      <c r="K4" s="140" t="s">
        <v>20</v>
      </c>
      <c r="L4" s="140" t="s">
        <v>19</v>
      </c>
      <c r="M4" s="142">
        <v>2023</v>
      </c>
      <c r="N4" s="140" t="s">
        <v>17</v>
      </c>
      <c r="O4" s="140" t="s">
        <v>16</v>
      </c>
      <c r="P4" s="140" t="s">
        <v>15</v>
      </c>
      <c r="Q4" s="140" t="s">
        <v>14</v>
      </c>
      <c r="R4" s="142">
        <v>2022</v>
      </c>
      <c r="S4" s="142">
        <v>2021</v>
      </c>
      <c r="T4" s="142">
        <v>2020</v>
      </c>
      <c r="U4" s="142">
        <v>2019</v>
      </c>
      <c r="V4" s="142">
        <v>2018</v>
      </c>
      <c r="W4" s="142">
        <v>2017</v>
      </c>
      <c r="X4" s="142">
        <v>2016</v>
      </c>
      <c r="Y4" s="142">
        <v>2015</v>
      </c>
      <c r="Z4" s="142">
        <v>2014</v>
      </c>
      <c r="AA4" s="142">
        <v>2013</v>
      </c>
      <c r="AB4" s="142">
        <v>2012</v>
      </c>
    </row>
    <row r="5" spans="2:28" s="145" customFormat="1" x14ac:dyDescent="0.35">
      <c r="B5" s="143" t="s">
        <v>183</v>
      </c>
      <c r="C5" s="144">
        <v>6128834</v>
      </c>
      <c r="D5" s="144">
        <v>6128834</v>
      </c>
      <c r="E5" s="144">
        <v>5613159</v>
      </c>
      <c r="F5" s="144">
        <v>5250822</v>
      </c>
      <c r="G5" s="144">
        <v>4685810</v>
      </c>
      <c r="H5" s="144">
        <v>4571386</v>
      </c>
      <c r="I5" s="144">
        <v>4571386</v>
      </c>
      <c r="J5" s="144">
        <v>4331445.1948800571</v>
      </c>
      <c r="K5" s="144">
        <v>4280991.1064900141</v>
      </c>
      <c r="L5" s="144">
        <v>3356579.9050600524</v>
      </c>
      <c r="M5" s="144">
        <v>3583354.7981300373</v>
      </c>
      <c r="N5" s="144">
        <v>3583354.7981300373</v>
      </c>
      <c r="O5" s="144">
        <v>3359245.3791201063</v>
      </c>
      <c r="P5" s="144">
        <v>3272452.6765801562</v>
      </c>
      <c r="Q5" s="144">
        <v>2979504.2930600001</v>
      </c>
      <c r="R5" s="144">
        <v>2777103</v>
      </c>
      <c r="S5" s="144">
        <v>2832036</v>
      </c>
      <c r="T5" s="144">
        <v>2657226</v>
      </c>
      <c r="U5" s="144">
        <v>2333425</v>
      </c>
      <c r="V5" s="144">
        <v>2251114</v>
      </c>
      <c r="W5" s="144">
        <v>2351425</v>
      </c>
      <c r="X5" s="144">
        <v>2518272</v>
      </c>
      <c r="Y5" s="144">
        <v>2434863</v>
      </c>
      <c r="Z5" s="144">
        <v>2720652</v>
      </c>
      <c r="AA5" s="144">
        <v>2441768</v>
      </c>
      <c r="AB5" s="144">
        <v>2566313</v>
      </c>
    </row>
    <row r="6" spans="2:28" x14ac:dyDescent="0.35">
      <c r="B6" s="146" t="s">
        <v>184</v>
      </c>
      <c r="C6" s="147">
        <v>1199343</v>
      </c>
      <c r="D6" s="147">
        <v>1199343</v>
      </c>
      <c r="E6" s="147">
        <v>1575523</v>
      </c>
      <c r="F6" s="147">
        <v>1251709</v>
      </c>
      <c r="G6" s="147">
        <v>837999</v>
      </c>
      <c r="H6" s="147">
        <v>792054</v>
      </c>
      <c r="I6" s="147">
        <v>792054</v>
      </c>
      <c r="J6" s="147">
        <v>858169</v>
      </c>
      <c r="K6" s="147">
        <v>649740</v>
      </c>
      <c r="L6" s="147">
        <v>445832</v>
      </c>
      <c r="M6" s="147">
        <v>633978</v>
      </c>
      <c r="N6" s="147">
        <v>633978</v>
      </c>
      <c r="O6" s="147">
        <v>813714</v>
      </c>
      <c r="P6" s="147">
        <v>637397</v>
      </c>
      <c r="Q6" s="147">
        <v>605952</v>
      </c>
      <c r="R6" s="147">
        <v>733124</v>
      </c>
      <c r="S6" s="147">
        <v>723954</v>
      </c>
      <c r="T6" s="147">
        <v>731569</v>
      </c>
      <c r="U6" s="147">
        <v>533795</v>
      </c>
      <c r="V6" s="148">
        <v>715294</v>
      </c>
      <c r="W6" s="147">
        <v>413048</v>
      </c>
      <c r="X6" s="147">
        <v>432735</v>
      </c>
      <c r="Y6" s="147">
        <v>436624</v>
      </c>
      <c r="Z6" s="147">
        <v>636110</v>
      </c>
      <c r="AA6" s="147">
        <v>489776</v>
      </c>
      <c r="AB6" s="147">
        <v>374580</v>
      </c>
    </row>
    <row r="7" spans="2:28" x14ac:dyDescent="0.35">
      <c r="B7" s="146" t="s">
        <v>185</v>
      </c>
      <c r="C7" s="147">
        <v>983456</v>
      </c>
      <c r="D7" s="147">
        <v>983456</v>
      </c>
      <c r="E7" s="147">
        <v>873983</v>
      </c>
      <c r="F7" s="147">
        <v>872871</v>
      </c>
      <c r="G7" s="147">
        <v>791523</v>
      </c>
      <c r="H7" s="147">
        <v>823127</v>
      </c>
      <c r="I7" s="147">
        <v>823127</v>
      </c>
      <c r="J7" s="147">
        <v>687599</v>
      </c>
      <c r="K7" s="147">
        <v>772261</v>
      </c>
      <c r="L7" s="147">
        <v>730530</v>
      </c>
      <c r="M7" s="147">
        <v>693193</v>
      </c>
      <c r="N7" s="147">
        <v>693193</v>
      </c>
      <c r="O7" s="147">
        <v>527447</v>
      </c>
      <c r="P7" s="147">
        <v>475806</v>
      </c>
      <c r="Q7" s="147">
        <v>465975</v>
      </c>
      <c r="R7" s="147">
        <v>454248</v>
      </c>
      <c r="S7" s="147">
        <v>325206</v>
      </c>
      <c r="T7" s="147">
        <v>195360</v>
      </c>
      <c r="U7" s="147">
        <v>195587</v>
      </c>
      <c r="V7" s="148">
        <v>144050</v>
      </c>
      <c r="W7" s="147">
        <v>70709</v>
      </c>
      <c r="X7" s="147">
        <v>134816</v>
      </c>
      <c r="Y7" s="147">
        <v>62541</v>
      </c>
      <c r="Z7" s="147">
        <v>29099</v>
      </c>
      <c r="AA7" s="147">
        <v>52775</v>
      </c>
      <c r="AB7" s="147">
        <v>75313</v>
      </c>
    </row>
    <row r="8" spans="2:28" x14ac:dyDescent="0.35">
      <c r="B8" s="146" t="s">
        <v>186</v>
      </c>
      <c r="C8" s="147">
        <v>1438700</v>
      </c>
      <c r="D8" s="147">
        <v>1438700</v>
      </c>
      <c r="E8" s="147">
        <v>1348006</v>
      </c>
      <c r="F8" s="147">
        <v>1280505</v>
      </c>
      <c r="G8" s="147">
        <v>1106026</v>
      </c>
      <c r="H8" s="147">
        <v>992821</v>
      </c>
      <c r="I8" s="147">
        <v>992821</v>
      </c>
      <c r="J8" s="147">
        <v>844423.49779000017</v>
      </c>
      <c r="K8" s="147">
        <v>789183.91602</v>
      </c>
      <c r="L8" s="147">
        <v>634970.39084000001</v>
      </c>
      <c r="M8" s="147">
        <v>521946.46011000033</v>
      </c>
      <c r="N8" s="147">
        <v>521946.46011000033</v>
      </c>
      <c r="O8" s="147">
        <v>407922.49727999989</v>
      </c>
      <c r="P8" s="147">
        <v>399289.03845000011</v>
      </c>
      <c r="Q8" s="147">
        <v>403426.98439999984</v>
      </c>
      <c r="R8" s="147">
        <v>363372</v>
      </c>
      <c r="S8" s="147">
        <v>231761</v>
      </c>
      <c r="T8" s="147">
        <v>246717</v>
      </c>
      <c r="U8" s="147">
        <v>347538</v>
      </c>
      <c r="V8" s="148">
        <v>394942</v>
      </c>
      <c r="W8" s="147">
        <v>702949</v>
      </c>
      <c r="X8" s="147">
        <v>949979</v>
      </c>
      <c r="Y8" s="147">
        <v>1122388</v>
      </c>
      <c r="Z8" s="147">
        <v>1172496</v>
      </c>
      <c r="AA8" s="147">
        <v>1391817</v>
      </c>
      <c r="AB8" s="147">
        <v>1325430</v>
      </c>
    </row>
    <row r="9" spans="2:28" x14ac:dyDescent="0.35">
      <c r="B9" s="146" t="s">
        <v>187</v>
      </c>
      <c r="C9" s="147">
        <v>2086835</v>
      </c>
      <c r="D9" s="147">
        <v>2086835</v>
      </c>
      <c r="E9" s="147">
        <v>1442734</v>
      </c>
      <c r="F9" s="147">
        <v>1497527</v>
      </c>
      <c r="G9" s="147">
        <v>1598745</v>
      </c>
      <c r="H9" s="147">
        <v>1643111</v>
      </c>
      <c r="I9" s="147">
        <v>1643111</v>
      </c>
      <c r="J9" s="147">
        <v>1570926.3486200566</v>
      </c>
      <c r="K9" s="147">
        <v>1710111.7604200151</v>
      </c>
      <c r="L9" s="147">
        <v>1222127.2162000523</v>
      </c>
      <c r="M9" s="147">
        <v>1420698.947690038</v>
      </c>
      <c r="N9" s="147">
        <v>1420698.947690038</v>
      </c>
      <c r="O9" s="147">
        <v>1318928.1359501069</v>
      </c>
      <c r="P9" s="147">
        <v>1369589.2897101562</v>
      </c>
      <c r="Q9" s="147">
        <v>1206108</v>
      </c>
      <c r="R9" s="147">
        <v>960135</v>
      </c>
      <c r="S9" s="147">
        <v>1239177</v>
      </c>
      <c r="T9" s="147">
        <v>1270816</v>
      </c>
      <c r="U9" s="147">
        <v>1080673</v>
      </c>
      <c r="V9" s="148">
        <v>823164</v>
      </c>
      <c r="W9" s="147">
        <v>971225</v>
      </c>
      <c r="X9" s="147">
        <v>805817</v>
      </c>
      <c r="Y9" s="147">
        <v>656290</v>
      </c>
      <c r="Z9" s="147">
        <v>735011</v>
      </c>
      <c r="AA9" s="147">
        <v>396119</v>
      </c>
      <c r="AB9" s="147">
        <v>680201</v>
      </c>
    </row>
    <row r="10" spans="2:28" x14ac:dyDescent="0.35">
      <c r="B10" s="146" t="s">
        <v>188</v>
      </c>
      <c r="C10" s="147">
        <v>0</v>
      </c>
      <c r="D10" s="147">
        <v>0</v>
      </c>
      <c r="E10" s="147">
        <v>0</v>
      </c>
      <c r="F10" s="147">
        <v>0</v>
      </c>
      <c r="G10" s="147">
        <v>0</v>
      </c>
      <c r="H10" s="147">
        <v>0</v>
      </c>
      <c r="I10" s="147">
        <v>0</v>
      </c>
      <c r="J10" s="147">
        <v>0</v>
      </c>
      <c r="K10" s="147">
        <v>0</v>
      </c>
      <c r="L10" s="147">
        <v>0</v>
      </c>
      <c r="M10" s="147">
        <v>0</v>
      </c>
      <c r="N10" s="147">
        <v>0</v>
      </c>
      <c r="O10" s="147">
        <v>0</v>
      </c>
      <c r="P10" s="147">
        <v>0</v>
      </c>
      <c r="Q10" s="147">
        <v>0</v>
      </c>
      <c r="R10" s="147">
        <v>0</v>
      </c>
      <c r="S10" s="147">
        <v>0</v>
      </c>
      <c r="T10" s="147">
        <v>0</v>
      </c>
      <c r="U10" s="147">
        <v>0</v>
      </c>
      <c r="V10" s="148">
        <v>0</v>
      </c>
      <c r="W10" s="147">
        <v>0</v>
      </c>
      <c r="X10" s="147">
        <v>0</v>
      </c>
      <c r="Y10" s="147">
        <v>0</v>
      </c>
      <c r="Z10" s="147">
        <v>0</v>
      </c>
      <c r="AA10" s="147">
        <v>0</v>
      </c>
      <c r="AB10" s="147">
        <v>0</v>
      </c>
    </row>
    <row r="11" spans="2:28" x14ac:dyDescent="0.35">
      <c r="B11" s="146" t="s">
        <v>189</v>
      </c>
      <c r="C11" s="147">
        <v>92922</v>
      </c>
      <c r="D11" s="147">
        <v>92922</v>
      </c>
      <c r="E11" s="147">
        <v>80933</v>
      </c>
      <c r="F11" s="147">
        <v>75761</v>
      </c>
      <c r="G11" s="147">
        <v>65055</v>
      </c>
      <c r="H11" s="147">
        <v>71054</v>
      </c>
      <c r="I11" s="147">
        <v>71054</v>
      </c>
      <c r="J11" s="147">
        <v>110101.34847000051</v>
      </c>
      <c r="K11" s="147">
        <v>81642.801759999507</v>
      </c>
      <c r="L11" s="147">
        <v>71760.298020000133</v>
      </c>
      <c r="M11" s="147">
        <v>67184.390329998932</v>
      </c>
      <c r="N11" s="147">
        <v>67184.390329998932</v>
      </c>
      <c r="O11" s="147">
        <v>70725.502649999878</v>
      </c>
      <c r="P11" s="147">
        <v>74512.34841999982</v>
      </c>
      <c r="Q11" s="147">
        <v>66674.308660000155</v>
      </c>
      <c r="R11" s="147">
        <v>64551</v>
      </c>
      <c r="S11" s="147">
        <v>82261</v>
      </c>
      <c r="T11" s="147">
        <v>37363</v>
      </c>
      <c r="U11" s="147">
        <v>44973</v>
      </c>
      <c r="V11" s="148">
        <v>71227</v>
      </c>
      <c r="W11" s="147">
        <v>81576</v>
      </c>
      <c r="X11" s="147">
        <v>76926</v>
      </c>
      <c r="Y11" s="147">
        <v>50104</v>
      </c>
      <c r="Z11" s="147">
        <v>41949</v>
      </c>
      <c r="AA11" s="147">
        <v>37046</v>
      </c>
      <c r="AB11" s="147">
        <v>44673</v>
      </c>
    </row>
    <row r="12" spans="2:28" x14ac:dyDescent="0.35">
      <c r="B12" s="146" t="s">
        <v>190</v>
      </c>
      <c r="C12" s="147">
        <v>43855</v>
      </c>
      <c r="D12" s="147">
        <v>43855</v>
      </c>
      <c r="E12" s="147">
        <v>38964</v>
      </c>
      <c r="F12" s="147">
        <v>46453</v>
      </c>
      <c r="G12" s="147">
        <v>42178</v>
      </c>
      <c r="H12" s="147">
        <v>37062</v>
      </c>
      <c r="I12" s="147">
        <v>37062</v>
      </c>
      <c r="J12" s="147">
        <v>49451</v>
      </c>
      <c r="K12" s="147">
        <v>42229.628290000088</v>
      </c>
      <c r="L12" s="147">
        <v>35185</v>
      </c>
      <c r="M12" s="147">
        <v>25753</v>
      </c>
      <c r="N12" s="147">
        <v>25753</v>
      </c>
      <c r="O12" s="147">
        <v>37992.243239999967</v>
      </c>
      <c r="P12" s="147">
        <v>34158</v>
      </c>
      <c r="Q12" s="147">
        <v>26556</v>
      </c>
      <c r="R12" s="147">
        <v>23122</v>
      </c>
      <c r="S12" s="147">
        <v>24462</v>
      </c>
      <c r="T12" s="147">
        <v>21185</v>
      </c>
      <c r="U12" s="147">
        <v>24560</v>
      </c>
      <c r="V12" s="148">
        <v>26135</v>
      </c>
      <c r="W12" s="147">
        <v>24684</v>
      </c>
      <c r="X12" s="147">
        <v>22424</v>
      </c>
      <c r="Y12" s="147">
        <v>26814</v>
      </c>
      <c r="Z12" s="147">
        <v>23256</v>
      </c>
      <c r="AA12" s="147">
        <v>17315</v>
      </c>
      <c r="AB12" s="147">
        <v>14122</v>
      </c>
    </row>
    <row r="13" spans="2:28" x14ac:dyDescent="0.35">
      <c r="B13" s="146" t="s">
        <v>191</v>
      </c>
      <c r="C13" s="147">
        <v>0</v>
      </c>
      <c r="D13" s="147">
        <v>0</v>
      </c>
      <c r="E13" s="147">
        <v>0</v>
      </c>
      <c r="F13" s="147">
        <v>0</v>
      </c>
      <c r="G13" s="147">
        <v>0</v>
      </c>
      <c r="H13" s="147">
        <v>0</v>
      </c>
      <c r="I13" s="147">
        <v>0</v>
      </c>
      <c r="J13" s="147">
        <v>0</v>
      </c>
      <c r="K13" s="147">
        <v>0</v>
      </c>
      <c r="L13" s="147">
        <v>0</v>
      </c>
      <c r="M13" s="147">
        <v>0</v>
      </c>
      <c r="N13" s="147">
        <v>0</v>
      </c>
      <c r="O13" s="147">
        <v>0</v>
      </c>
      <c r="P13" s="147">
        <v>0</v>
      </c>
      <c r="Q13" s="147">
        <v>0</v>
      </c>
      <c r="R13" s="147">
        <v>0</v>
      </c>
      <c r="S13" s="147">
        <v>0</v>
      </c>
      <c r="T13" s="147">
        <v>0</v>
      </c>
      <c r="U13" s="147">
        <v>0</v>
      </c>
      <c r="V13" s="148">
        <v>0</v>
      </c>
      <c r="W13" s="147">
        <v>0</v>
      </c>
      <c r="X13" s="147">
        <v>0</v>
      </c>
      <c r="Y13" s="147">
        <v>0</v>
      </c>
      <c r="Z13" s="147">
        <v>0</v>
      </c>
      <c r="AA13" s="147">
        <v>0</v>
      </c>
      <c r="AB13" s="147">
        <v>0</v>
      </c>
    </row>
    <row r="14" spans="2:28" x14ac:dyDescent="0.35">
      <c r="B14" s="146" t="s">
        <v>192</v>
      </c>
      <c r="C14" s="147">
        <v>1718</v>
      </c>
      <c r="D14" s="147">
        <v>1718</v>
      </c>
      <c r="E14" s="147">
        <v>2744</v>
      </c>
      <c r="F14" s="147">
        <v>3774</v>
      </c>
      <c r="G14" s="147">
        <v>36303</v>
      </c>
      <c r="H14" s="147">
        <v>5833</v>
      </c>
      <c r="I14" s="147">
        <v>5833</v>
      </c>
      <c r="J14" s="147">
        <v>0</v>
      </c>
      <c r="K14" s="147">
        <v>0</v>
      </c>
      <c r="L14" s="147">
        <v>0</v>
      </c>
      <c r="M14" s="147">
        <v>0</v>
      </c>
      <c r="N14" s="147">
        <v>0</v>
      </c>
      <c r="O14" s="147">
        <v>0</v>
      </c>
      <c r="P14" s="147">
        <v>68332</v>
      </c>
      <c r="Q14" s="147">
        <v>500.99999999999972</v>
      </c>
      <c r="R14" s="147">
        <v>501</v>
      </c>
      <c r="S14" s="147">
        <v>17540</v>
      </c>
      <c r="T14" s="147">
        <v>50000</v>
      </c>
      <c r="U14" s="147">
        <v>22514</v>
      </c>
      <c r="V14" s="148">
        <v>2013</v>
      </c>
      <c r="W14" s="147">
        <v>4000</v>
      </c>
      <c r="X14" s="147">
        <v>34102</v>
      </c>
      <c r="Y14" s="147">
        <v>0</v>
      </c>
      <c r="Z14" s="147">
        <v>0</v>
      </c>
      <c r="AA14" s="147">
        <v>0</v>
      </c>
      <c r="AB14" s="147">
        <v>0</v>
      </c>
    </row>
    <row r="15" spans="2:28" x14ac:dyDescent="0.35">
      <c r="B15" s="146" t="s">
        <v>193</v>
      </c>
      <c r="C15" s="147">
        <v>282005</v>
      </c>
      <c r="D15" s="147">
        <v>282005</v>
      </c>
      <c r="E15" s="147">
        <v>250272</v>
      </c>
      <c r="F15" s="147">
        <v>222222</v>
      </c>
      <c r="G15" s="147">
        <v>207981</v>
      </c>
      <c r="H15" s="147">
        <v>206324</v>
      </c>
      <c r="I15" s="147">
        <v>206324</v>
      </c>
      <c r="J15" s="147">
        <v>210776</v>
      </c>
      <c r="K15" s="147">
        <v>235821</v>
      </c>
      <c r="L15" s="147">
        <v>216176</v>
      </c>
      <c r="M15" s="147">
        <v>220602</v>
      </c>
      <c r="N15" s="147">
        <v>220602</v>
      </c>
      <c r="O15" s="147">
        <v>182516</v>
      </c>
      <c r="P15" s="147">
        <v>213370</v>
      </c>
      <c r="Q15" s="147">
        <v>204311</v>
      </c>
      <c r="R15" s="147">
        <v>178050</v>
      </c>
      <c r="S15" s="147">
        <v>187675</v>
      </c>
      <c r="T15" s="147">
        <v>104216</v>
      </c>
      <c r="U15" s="147">
        <v>83786</v>
      </c>
      <c r="V15" s="148">
        <v>74289</v>
      </c>
      <c r="W15" s="147">
        <v>83234</v>
      </c>
      <c r="X15" s="147">
        <v>61473</v>
      </c>
      <c r="Y15" s="147">
        <v>80102</v>
      </c>
      <c r="Z15" s="147">
        <v>82731</v>
      </c>
      <c r="AA15" s="147">
        <v>56920</v>
      </c>
      <c r="AB15" s="147">
        <v>51994</v>
      </c>
    </row>
    <row r="16" spans="2:28" s="145" customFormat="1" x14ac:dyDescent="0.35">
      <c r="B16" s="143" t="s">
        <v>194</v>
      </c>
      <c r="C16" s="144">
        <v>7090801</v>
      </c>
      <c r="D16" s="144">
        <v>7090801</v>
      </c>
      <c r="E16" s="144">
        <v>6802575</v>
      </c>
      <c r="F16" s="144">
        <v>6316036</v>
      </c>
      <c r="G16" s="144">
        <v>5926440</v>
      </c>
      <c r="H16" s="144">
        <v>5496020</v>
      </c>
      <c r="I16" s="144">
        <v>5496020</v>
      </c>
      <c r="J16" s="144">
        <v>5189567.1936400011</v>
      </c>
      <c r="K16" s="144">
        <v>4519836.9599900004</v>
      </c>
      <c r="L16" s="144">
        <v>4521375.7422700003</v>
      </c>
      <c r="M16" s="144">
        <v>3988242.95138</v>
      </c>
      <c r="N16" s="144">
        <v>3988242.95138</v>
      </c>
      <c r="O16" s="144">
        <v>3830456.7011099998</v>
      </c>
      <c r="P16" s="144">
        <v>3534217.5954200001</v>
      </c>
      <c r="Q16" s="144">
        <v>3502521.6147099999</v>
      </c>
      <c r="R16" s="144">
        <v>3712312</v>
      </c>
      <c r="S16" s="144">
        <v>2823260</v>
      </c>
      <c r="T16" s="144">
        <v>2435058</v>
      </c>
      <c r="U16" s="144">
        <v>2321291</v>
      </c>
      <c r="V16" s="144">
        <v>2400571</v>
      </c>
      <c r="W16" s="144">
        <v>1790339</v>
      </c>
      <c r="X16" s="144">
        <v>1571495</v>
      </c>
      <c r="Y16" s="144">
        <v>1452589</v>
      </c>
      <c r="Z16" s="144">
        <v>1234868</v>
      </c>
      <c r="AA16" s="144">
        <v>991888</v>
      </c>
      <c r="AB16" s="144">
        <v>615561</v>
      </c>
    </row>
    <row r="17" spans="2:28" s="145" customFormat="1" x14ac:dyDescent="0.35">
      <c r="B17" s="143" t="s">
        <v>195</v>
      </c>
      <c r="C17" s="144">
        <v>6673444</v>
      </c>
      <c r="D17" s="144">
        <v>6673444</v>
      </c>
      <c r="E17" s="144">
        <v>6390858</v>
      </c>
      <c r="F17" s="144">
        <v>5885790</v>
      </c>
      <c r="G17" s="144">
        <v>5496068</v>
      </c>
      <c r="H17" s="144">
        <v>5028708</v>
      </c>
      <c r="I17" s="144">
        <v>5028708</v>
      </c>
      <c r="J17" s="144">
        <v>4765579.559770002</v>
      </c>
      <c r="K17" s="144">
        <v>4108831.9599899999</v>
      </c>
      <c r="L17" s="144">
        <v>4133368.7422699998</v>
      </c>
      <c r="M17" s="144">
        <v>3671815.95138</v>
      </c>
      <c r="N17" s="144">
        <v>3671815.95138</v>
      </c>
      <c r="O17" s="144">
        <v>3514699.7011099998</v>
      </c>
      <c r="P17" s="144">
        <v>3236455.5954200001</v>
      </c>
      <c r="Q17" s="144">
        <v>3207918.2811600002</v>
      </c>
      <c r="R17" s="144">
        <v>3407532</v>
      </c>
      <c r="S17" s="144">
        <v>2587211</v>
      </c>
      <c r="T17" s="144">
        <v>2258264</v>
      </c>
      <c r="U17" s="144">
        <v>2162619</v>
      </c>
      <c r="V17" s="144">
        <v>2265702</v>
      </c>
      <c r="W17" s="144">
        <v>1682866</v>
      </c>
      <c r="X17" s="144">
        <v>1447635</v>
      </c>
      <c r="Y17" s="144">
        <v>1324998</v>
      </c>
      <c r="Z17" s="144">
        <v>1085627</v>
      </c>
      <c r="AA17" s="144">
        <v>852001</v>
      </c>
      <c r="AB17" s="144">
        <v>529143</v>
      </c>
    </row>
    <row r="18" spans="2:28" x14ac:dyDescent="0.35">
      <c r="B18" s="146" t="s">
        <v>185</v>
      </c>
      <c r="C18" s="147">
        <v>230360</v>
      </c>
      <c r="D18" s="147">
        <v>230360</v>
      </c>
      <c r="E18" s="147">
        <v>168215</v>
      </c>
      <c r="F18" s="147">
        <v>149823</v>
      </c>
      <c r="G18" s="147">
        <v>102698</v>
      </c>
      <c r="H18" s="147">
        <v>99714</v>
      </c>
      <c r="I18" s="147">
        <v>99714</v>
      </c>
      <c r="J18" s="147">
        <v>54841.214779999988</v>
      </c>
      <c r="K18" s="147">
        <v>54200</v>
      </c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8"/>
      <c r="W18" s="147"/>
      <c r="X18" s="147"/>
      <c r="Y18" s="147"/>
      <c r="Z18" s="147"/>
      <c r="AA18" s="147"/>
      <c r="AB18" s="147"/>
    </row>
    <row r="19" spans="2:28" x14ac:dyDescent="0.35">
      <c r="B19" s="146" t="s">
        <v>186</v>
      </c>
      <c r="C19" s="147">
        <v>1389073</v>
      </c>
      <c r="D19" s="147">
        <v>1389073</v>
      </c>
      <c r="E19" s="147">
        <v>1271939</v>
      </c>
      <c r="F19" s="147">
        <v>1104148</v>
      </c>
      <c r="G19" s="147">
        <v>987445</v>
      </c>
      <c r="H19" s="147">
        <v>846706</v>
      </c>
      <c r="I19" s="147">
        <v>846706</v>
      </c>
      <c r="J19" s="147">
        <v>770586.48378000013</v>
      </c>
      <c r="K19" s="147">
        <v>658009.95998999989</v>
      </c>
      <c r="L19" s="147">
        <v>574103.74226999981</v>
      </c>
      <c r="M19" s="147">
        <v>464034.95137999981</v>
      </c>
      <c r="N19" s="147">
        <v>464034.95137999981</v>
      </c>
      <c r="O19" s="147">
        <v>412750.70110999991</v>
      </c>
      <c r="P19" s="147">
        <v>340819.59542000009</v>
      </c>
      <c r="Q19" s="147">
        <v>334608.50074999995</v>
      </c>
      <c r="R19" s="147">
        <v>314813</v>
      </c>
      <c r="S19" s="147">
        <v>244585</v>
      </c>
      <c r="T19" s="147">
        <v>128727</v>
      </c>
      <c r="U19" s="147">
        <v>96579</v>
      </c>
      <c r="V19" s="148">
        <v>121262</v>
      </c>
      <c r="W19" s="147">
        <v>132436</v>
      </c>
      <c r="X19" s="147">
        <v>138364</v>
      </c>
      <c r="Y19" s="147">
        <v>152137</v>
      </c>
      <c r="Z19" s="147">
        <v>240735</v>
      </c>
      <c r="AA19" s="147">
        <v>180454</v>
      </c>
      <c r="AB19" s="147">
        <v>138458</v>
      </c>
    </row>
    <row r="20" spans="2:28" x14ac:dyDescent="0.35">
      <c r="B20" s="146" t="s">
        <v>196</v>
      </c>
      <c r="C20" s="147">
        <v>4864673</v>
      </c>
      <c r="D20" s="147">
        <v>4864673</v>
      </c>
      <c r="E20" s="147">
        <v>4761035</v>
      </c>
      <c r="F20" s="147">
        <v>4416854</v>
      </c>
      <c r="G20" s="147">
        <v>4208796</v>
      </c>
      <c r="H20" s="147">
        <v>3888979</v>
      </c>
      <c r="I20" s="147">
        <v>3888979</v>
      </c>
      <c r="J20" s="147">
        <v>3758232.5559400008</v>
      </c>
      <c r="K20" s="147">
        <v>3210466</v>
      </c>
      <c r="L20" s="147">
        <v>3378229</v>
      </c>
      <c r="M20" s="147">
        <v>3041218</v>
      </c>
      <c r="N20" s="147">
        <v>3041218</v>
      </c>
      <c r="O20" s="147">
        <v>2971545</v>
      </c>
      <c r="P20" s="147">
        <v>2774269</v>
      </c>
      <c r="Q20" s="147">
        <v>2777860.42692</v>
      </c>
      <c r="R20" s="147">
        <v>3018121</v>
      </c>
      <c r="S20" s="147">
        <v>2303436</v>
      </c>
      <c r="T20" s="147">
        <v>2071074</v>
      </c>
      <c r="U20" s="147">
        <v>2008992</v>
      </c>
      <c r="V20" s="148">
        <v>2090294</v>
      </c>
      <c r="W20" s="147">
        <v>1516643</v>
      </c>
      <c r="X20" s="147">
        <v>1276593</v>
      </c>
      <c r="Y20" s="147">
        <v>1134083</v>
      </c>
      <c r="Z20" s="147">
        <v>805869</v>
      </c>
      <c r="AA20" s="147">
        <v>615178</v>
      </c>
      <c r="AB20" s="147">
        <v>259356</v>
      </c>
    </row>
    <row r="21" spans="2:28" x14ac:dyDescent="0.35">
      <c r="B21" s="146" t="s">
        <v>197</v>
      </c>
      <c r="C21" s="147">
        <v>24277</v>
      </c>
      <c r="D21" s="147">
        <v>24277</v>
      </c>
      <c r="E21" s="147">
        <v>23484</v>
      </c>
      <c r="F21" s="147">
        <v>23959</v>
      </c>
      <c r="G21" s="147">
        <v>22544</v>
      </c>
      <c r="H21" s="147">
        <v>21555</v>
      </c>
      <c r="I21" s="147">
        <v>21555</v>
      </c>
      <c r="J21" s="147">
        <v>21719.038390000009</v>
      </c>
      <c r="K21" s="147">
        <v>21046</v>
      </c>
      <c r="L21" s="147">
        <v>18973</v>
      </c>
      <c r="M21" s="147">
        <v>18111</v>
      </c>
      <c r="N21" s="147">
        <v>18111</v>
      </c>
      <c r="O21" s="147">
        <v>17739</v>
      </c>
      <c r="P21" s="147">
        <v>17832</v>
      </c>
      <c r="Q21" s="147">
        <v>17601.353489999998</v>
      </c>
      <c r="R21" s="147">
        <v>17367</v>
      </c>
      <c r="S21" s="147">
        <v>16097</v>
      </c>
      <c r="T21" s="147">
        <v>15928</v>
      </c>
      <c r="U21" s="147">
        <v>16472</v>
      </c>
      <c r="V21" s="148">
        <v>15143</v>
      </c>
      <c r="W21" s="147">
        <v>18128</v>
      </c>
      <c r="X21" s="147">
        <v>0</v>
      </c>
      <c r="Y21" s="147">
        <v>0</v>
      </c>
      <c r="Z21" s="147">
        <v>0</v>
      </c>
      <c r="AA21" s="147">
        <v>0</v>
      </c>
      <c r="AB21" s="147">
        <v>0</v>
      </c>
    </row>
    <row r="22" spans="2:28" x14ac:dyDescent="0.35">
      <c r="B22" s="146" t="s">
        <v>189</v>
      </c>
      <c r="C22" s="147">
        <v>0</v>
      </c>
      <c r="D22" s="147">
        <v>0</v>
      </c>
      <c r="E22" s="147">
        <v>0</v>
      </c>
      <c r="F22" s="147">
        <v>0</v>
      </c>
      <c r="G22" s="147">
        <v>0</v>
      </c>
      <c r="H22" s="147">
        <v>0</v>
      </c>
      <c r="I22" s="147">
        <v>0</v>
      </c>
      <c r="J22" s="147">
        <v>0</v>
      </c>
      <c r="K22" s="147">
        <v>0</v>
      </c>
      <c r="L22" s="147">
        <v>0</v>
      </c>
      <c r="M22" s="147">
        <v>0</v>
      </c>
      <c r="N22" s="147">
        <v>0</v>
      </c>
      <c r="O22" s="147">
        <v>0</v>
      </c>
      <c r="P22" s="147">
        <v>0</v>
      </c>
      <c r="Q22" s="147">
        <v>0</v>
      </c>
      <c r="R22" s="147">
        <v>0</v>
      </c>
      <c r="S22" s="147">
        <v>1636</v>
      </c>
      <c r="T22" s="147">
        <v>1636</v>
      </c>
      <c r="U22" s="147">
        <v>0</v>
      </c>
      <c r="V22" s="148">
        <v>649</v>
      </c>
      <c r="W22" s="147">
        <v>5400</v>
      </c>
      <c r="X22" s="147">
        <v>8089</v>
      </c>
      <c r="Y22" s="147">
        <v>13249</v>
      </c>
      <c r="Z22" s="147">
        <v>15910</v>
      </c>
      <c r="AA22" s="147">
        <v>20489</v>
      </c>
      <c r="AB22" s="147">
        <v>65801</v>
      </c>
    </row>
    <row r="23" spans="2:28" x14ac:dyDescent="0.35">
      <c r="B23" s="146" t="s">
        <v>190</v>
      </c>
      <c r="C23" s="147">
        <v>11059</v>
      </c>
      <c r="D23" s="147">
        <v>11059</v>
      </c>
      <c r="E23" s="147">
        <v>9461</v>
      </c>
      <c r="F23" s="147">
        <v>9574</v>
      </c>
      <c r="G23" s="147">
        <v>10363</v>
      </c>
      <c r="H23" s="147">
        <v>20611</v>
      </c>
      <c r="I23" s="147">
        <v>20611</v>
      </c>
      <c r="J23" s="147">
        <v>11151.78854000003</v>
      </c>
      <c r="K23" s="147">
        <v>15973</v>
      </c>
      <c r="L23" s="147">
        <v>25156</v>
      </c>
      <c r="M23" s="147">
        <v>27548</v>
      </c>
      <c r="N23" s="147">
        <v>27548</v>
      </c>
      <c r="O23" s="147">
        <v>6526</v>
      </c>
      <c r="P23" s="147">
        <v>6526</v>
      </c>
      <c r="Q23" s="147">
        <v>6526</v>
      </c>
      <c r="R23" s="147">
        <v>6440</v>
      </c>
      <c r="S23" s="147">
        <v>0</v>
      </c>
      <c r="T23" s="147">
        <v>0</v>
      </c>
      <c r="U23" s="147">
        <v>0</v>
      </c>
      <c r="V23" s="148">
        <v>0</v>
      </c>
      <c r="W23" s="147">
        <v>0</v>
      </c>
      <c r="X23" s="147">
        <v>0</v>
      </c>
      <c r="Y23" s="147">
        <v>0</v>
      </c>
      <c r="Z23" s="147">
        <v>0</v>
      </c>
      <c r="AA23" s="147">
        <v>0</v>
      </c>
      <c r="AB23" s="147">
        <v>0</v>
      </c>
    </row>
    <row r="24" spans="2:28" x14ac:dyDescent="0.35">
      <c r="B24" s="146" t="s">
        <v>192</v>
      </c>
      <c r="C24" s="147">
        <v>5798</v>
      </c>
      <c r="D24" s="147">
        <v>5798</v>
      </c>
      <c r="E24" s="147">
        <v>5799</v>
      </c>
      <c r="F24" s="147">
        <v>5799</v>
      </c>
      <c r="G24" s="147">
        <v>7630</v>
      </c>
      <c r="H24" s="147">
        <v>7630</v>
      </c>
      <c r="I24" s="147">
        <v>7630</v>
      </c>
      <c r="J24" s="147">
        <v>7630.0841200000004</v>
      </c>
      <c r="K24" s="147">
        <v>7630</v>
      </c>
      <c r="L24" s="147">
        <v>7630</v>
      </c>
      <c r="M24" s="147">
        <v>7630</v>
      </c>
      <c r="N24" s="147">
        <v>7630</v>
      </c>
      <c r="O24" s="147">
        <v>7630</v>
      </c>
      <c r="P24" s="147">
        <v>7129</v>
      </c>
      <c r="Q24" s="147">
        <v>7129</v>
      </c>
      <c r="R24" s="147">
        <v>7129</v>
      </c>
      <c r="S24" s="147">
        <v>0</v>
      </c>
      <c r="T24" s="147">
        <v>30685</v>
      </c>
      <c r="U24" s="147">
        <v>29722</v>
      </c>
      <c r="V24" s="148">
        <v>27985</v>
      </c>
      <c r="W24" s="147">
        <v>0</v>
      </c>
      <c r="X24" s="147">
        <v>0</v>
      </c>
      <c r="Y24" s="147">
        <v>0</v>
      </c>
      <c r="Z24" s="147">
        <v>0</v>
      </c>
      <c r="AA24" s="147">
        <v>0</v>
      </c>
      <c r="AB24" s="147">
        <v>0</v>
      </c>
    </row>
    <row r="25" spans="2:28" x14ac:dyDescent="0.35">
      <c r="B25" s="146" t="s">
        <v>193</v>
      </c>
      <c r="C25" s="147">
        <v>148204</v>
      </c>
      <c r="D25" s="147">
        <v>148204</v>
      </c>
      <c r="E25" s="147">
        <v>150924</v>
      </c>
      <c r="F25" s="147">
        <v>175633</v>
      </c>
      <c r="G25" s="147">
        <v>156592</v>
      </c>
      <c r="H25" s="147">
        <v>143513</v>
      </c>
      <c r="I25" s="147">
        <v>143513</v>
      </c>
      <c r="J25" s="147">
        <v>141418.39421999999</v>
      </c>
      <c r="K25" s="147">
        <v>141507</v>
      </c>
      <c r="L25" s="147">
        <v>129277</v>
      </c>
      <c r="M25" s="147">
        <v>113274</v>
      </c>
      <c r="N25" s="147">
        <v>113274</v>
      </c>
      <c r="O25" s="147">
        <v>98509</v>
      </c>
      <c r="P25" s="147">
        <v>89880</v>
      </c>
      <c r="Q25" s="147">
        <v>64193</v>
      </c>
      <c r="R25" s="147">
        <v>43662</v>
      </c>
      <c r="S25" s="147">
        <v>21457</v>
      </c>
      <c r="T25" s="147">
        <v>10214</v>
      </c>
      <c r="U25" s="147">
        <v>10854</v>
      </c>
      <c r="V25" s="148">
        <v>10369</v>
      </c>
      <c r="W25" s="147">
        <v>10259</v>
      </c>
      <c r="X25" s="147">
        <v>24589</v>
      </c>
      <c r="Y25" s="147">
        <v>25529</v>
      </c>
      <c r="Z25" s="147">
        <v>23113</v>
      </c>
      <c r="AA25" s="147">
        <v>35880</v>
      </c>
      <c r="AB25" s="147">
        <v>65528</v>
      </c>
    </row>
    <row r="26" spans="2:28" s="145" customFormat="1" x14ac:dyDescent="0.35">
      <c r="B26" s="143" t="s">
        <v>198</v>
      </c>
      <c r="C26" s="144">
        <v>417357</v>
      </c>
      <c r="D26" s="144">
        <v>417357</v>
      </c>
      <c r="E26" s="144">
        <v>411718</v>
      </c>
      <c r="F26" s="144">
        <v>430246</v>
      </c>
      <c r="G26" s="144">
        <v>430372</v>
      </c>
      <c r="H26" s="144">
        <v>467312</v>
      </c>
      <c r="I26" s="144">
        <v>467312</v>
      </c>
      <c r="J26" s="144">
        <v>423986.63386999938</v>
      </c>
      <c r="K26" s="144">
        <v>411005</v>
      </c>
      <c r="L26" s="144">
        <v>388007</v>
      </c>
      <c r="M26" s="144">
        <v>316427</v>
      </c>
      <c r="N26" s="144">
        <v>316427</v>
      </c>
      <c r="O26" s="144">
        <v>315757</v>
      </c>
      <c r="P26" s="144">
        <v>297762</v>
      </c>
      <c r="Q26" s="144">
        <v>294604.33354999957</v>
      </c>
      <c r="R26" s="144">
        <v>304780</v>
      </c>
      <c r="S26" s="144">
        <v>236049</v>
      </c>
      <c r="T26" s="144">
        <v>176794</v>
      </c>
      <c r="U26" s="144">
        <v>158672</v>
      </c>
      <c r="V26" s="144">
        <v>134869</v>
      </c>
      <c r="W26" s="144">
        <v>107473</v>
      </c>
      <c r="X26" s="144">
        <v>123860</v>
      </c>
      <c r="Y26" s="144">
        <v>127591</v>
      </c>
      <c r="Z26" s="144">
        <v>149241</v>
      </c>
      <c r="AA26" s="144">
        <v>139887</v>
      </c>
      <c r="AB26" s="144">
        <v>86418</v>
      </c>
    </row>
    <row r="27" spans="2:28" x14ac:dyDescent="0.35">
      <c r="B27" s="146" t="s">
        <v>199</v>
      </c>
      <c r="C27" s="147">
        <v>124135</v>
      </c>
      <c r="D27" s="147">
        <v>124135</v>
      </c>
      <c r="E27" s="147">
        <v>105527</v>
      </c>
      <c r="F27" s="147">
        <v>138434</v>
      </c>
      <c r="G27" s="147">
        <v>161671</v>
      </c>
      <c r="H27" s="147">
        <v>212504</v>
      </c>
      <c r="I27" s="147">
        <v>212504</v>
      </c>
      <c r="J27" s="147">
        <v>193959.47081000009</v>
      </c>
      <c r="K27" s="147">
        <v>193645</v>
      </c>
      <c r="L27" s="147">
        <v>174396</v>
      </c>
      <c r="M27" s="147">
        <v>169375</v>
      </c>
      <c r="N27" s="147">
        <v>169375</v>
      </c>
      <c r="O27" s="147">
        <v>171047</v>
      </c>
      <c r="P27" s="147">
        <v>142090</v>
      </c>
      <c r="Q27" s="147">
        <v>133771</v>
      </c>
      <c r="R27" s="147">
        <v>143717</v>
      </c>
      <c r="S27" s="147">
        <v>117961</v>
      </c>
      <c r="T27" s="147">
        <v>73045</v>
      </c>
      <c r="U27" s="147">
        <v>48885</v>
      </c>
      <c r="V27" s="148">
        <v>64161</v>
      </c>
      <c r="W27" s="147">
        <v>49501</v>
      </c>
      <c r="X27" s="147">
        <v>50593</v>
      </c>
      <c r="Y27" s="147">
        <v>37783</v>
      </c>
      <c r="Z27" s="147">
        <v>36839</v>
      </c>
      <c r="AA27" s="147">
        <v>37154</v>
      </c>
      <c r="AB27" s="147">
        <v>24730</v>
      </c>
    </row>
    <row r="28" spans="2:28" x14ac:dyDescent="0.35">
      <c r="B28" s="146" t="s">
        <v>200</v>
      </c>
      <c r="C28" s="147">
        <v>260159</v>
      </c>
      <c r="D28" s="147">
        <v>260159</v>
      </c>
      <c r="E28" s="147">
        <v>266560</v>
      </c>
      <c r="F28" s="147">
        <v>252372</v>
      </c>
      <c r="G28" s="147">
        <v>230724</v>
      </c>
      <c r="H28" s="147">
        <v>220762</v>
      </c>
      <c r="I28" s="147">
        <v>220762</v>
      </c>
      <c r="J28" s="147">
        <v>197255.89040999927</v>
      </c>
      <c r="K28" s="147">
        <v>184863</v>
      </c>
      <c r="L28" s="147">
        <v>181833</v>
      </c>
      <c r="M28" s="147">
        <v>111474</v>
      </c>
      <c r="N28" s="147">
        <v>111474</v>
      </c>
      <c r="O28" s="147">
        <v>113832</v>
      </c>
      <c r="P28" s="147">
        <v>129142</v>
      </c>
      <c r="Q28" s="147">
        <v>136224.84708999959</v>
      </c>
      <c r="R28" s="147">
        <v>140115</v>
      </c>
      <c r="S28" s="147">
        <v>99075</v>
      </c>
      <c r="T28" s="147">
        <v>89594</v>
      </c>
      <c r="U28" s="147">
        <v>101972</v>
      </c>
      <c r="V28" s="148">
        <v>66272</v>
      </c>
      <c r="W28" s="147">
        <v>55265</v>
      </c>
      <c r="X28" s="147">
        <v>69777</v>
      </c>
      <c r="Y28" s="147">
        <v>87086</v>
      </c>
      <c r="Z28" s="147">
        <v>109968</v>
      </c>
      <c r="AA28" s="147">
        <v>100908</v>
      </c>
      <c r="AB28" s="147">
        <v>59340</v>
      </c>
    </row>
    <row r="29" spans="2:28" x14ac:dyDescent="0.35">
      <c r="B29" s="146" t="s">
        <v>201</v>
      </c>
      <c r="C29" s="147">
        <v>33063</v>
      </c>
      <c r="D29" s="147">
        <v>33063</v>
      </c>
      <c r="E29" s="147">
        <v>39631</v>
      </c>
      <c r="F29" s="147">
        <v>39440</v>
      </c>
      <c r="G29" s="147">
        <v>37977</v>
      </c>
      <c r="H29" s="147">
        <v>34046</v>
      </c>
      <c r="I29" s="147">
        <v>34046</v>
      </c>
      <c r="J29" s="147">
        <v>32771.272650000014</v>
      </c>
      <c r="K29" s="147">
        <v>32497</v>
      </c>
      <c r="L29" s="147">
        <v>31778</v>
      </c>
      <c r="M29" s="147">
        <v>35578</v>
      </c>
      <c r="N29" s="147">
        <v>35578</v>
      </c>
      <c r="O29" s="147">
        <v>30878</v>
      </c>
      <c r="P29" s="147">
        <v>26530</v>
      </c>
      <c r="Q29" s="147">
        <v>24608.48646</v>
      </c>
      <c r="R29" s="147">
        <v>20948</v>
      </c>
      <c r="S29" s="147">
        <v>19013</v>
      </c>
      <c r="T29" s="147">
        <v>14155</v>
      </c>
      <c r="U29" s="147">
        <v>7815</v>
      </c>
      <c r="V29" s="148">
        <v>4436</v>
      </c>
      <c r="W29" s="147">
        <v>2707</v>
      </c>
      <c r="X29" s="147">
        <v>3490</v>
      </c>
      <c r="Y29" s="147">
        <v>2722</v>
      </c>
      <c r="Z29" s="147">
        <v>2434</v>
      </c>
      <c r="AA29" s="147">
        <v>1825</v>
      </c>
      <c r="AB29" s="147">
        <v>2348</v>
      </c>
    </row>
    <row r="30" spans="2:28" x14ac:dyDescent="0.35">
      <c r="B30" s="146" t="s">
        <v>202</v>
      </c>
      <c r="C30" s="147">
        <v>0</v>
      </c>
      <c r="D30" s="147">
        <v>0</v>
      </c>
      <c r="E30" s="147">
        <v>0</v>
      </c>
      <c r="F30" s="147">
        <v>0</v>
      </c>
      <c r="G30" s="147">
        <v>0</v>
      </c>
      <c r="H30" s="147">
        <v>0</v>
      </c>
      <c r="I30" s="147">
        <v>0</v>
      </c>
      <c r="J30" s="147">
        <v>0</v>
      </c>
      <c r="K30" s="147">
        <v>0</v>
      </c>
      <c r="L30" s="147">
        <v>0</v>
      </c>
      <c r="M30" s="147">
        <v>0</v>
      </c>
      <c r="N30" s="147">
        <v>0</v>
      </c>
      <c r="O30" s="147">
        <v>0</v>
      </c>
      <c r="P30" s="147">
        <v>0</v>
      </c>
      <c r="Q30" s="147">
        <v>0</v>
      </c>
      <c r="R30" s="147">
        <v>0</v>
      </c>
      <c r="S30" s="147">
        <v>0</v>
      </c>
      <c r="T30" s="147">
        <v>0</v>
      </c>
      <c r="U30" s="147">
        <v>0</v>
      </c>
      <c r="V30" s="148">
        <v>0</v>
      </c>
      <c r="W30" s="147">
        <v>0</v>
      </c>
      <c r="X30" s="147">
        <v>0</v>
      </c>
      <c r="Y30" s="147">
        <v>0</v>
      </c>
      <c r="Z30" s="147">
        <v>0</v>
      </c>
      <c r="AA30" s="147">
        <v>0</v>
      </c>
      <c r="AB30" s="147">
        <v>0</v>
      </c>
    </row>
    <row r="31" spans="2:28" s="145" customFormat="1" x14ac:dyDescent="0.35">
      <c r="B31" s="143" t="s">
        <v>203</v>
      </c>
      <c r="C31" s="144">
        <v>13219635</v>
      </c>
      <c r="D31" s="144">
        <v>13219635</v>
      </c>
      <c r="E31" s="144">
        <v>12415734</v>
      </c>
      <c r="F31" s="144">
        <v>11566858</v>
      </c>
      <c r="G31" s="144">
        <v>10612250</v>
      </c>
      <c r="H31" s="144">
        <v>10067406</v>
      </c>
      <c r="I31" s="144">
        <v>10067406</v>
      </c>
      <c r="J31" s="144">
        <v>9521012.3885200582</v>
      </c>
      <c r="K31" s="144">
        <v>8800828.0664800145</v>
      </c>
      <c r="L31" s="144">
        <v>7877955.6473300532</v>
      </c>
      <c r="M31" s="144">
        <v>7571597.7495100368</v>
      </c>
      <c r="N31" s="144">
        <v>7571597.7495100368</v>
      </c>
      <c r="O31" s="144">
        <v>7189702.0802301057</v>
      </c>
      <c r="P31" s="144">
        <v>6806671.2720001563</v>
      </c>
      <c r="Q31" s="144">
        <v>6482025.9077700004</v>
      </c>
      <c r="R31" s="144">
        <v>6489415</v>
      </c>
      <c r="S31" s="144">
        <v>5655296</v>
      </c>
      <c r="T31" s="144">
        <v>5092284</v>
      </c>
      <c r="U31" s="144">
        <v>4654716</v>
      </c>
      <c r="V31" s="144">
        <v>4651685</v>
      </c>
      <c r="W31" s="144">
        <v>4141764</v>
      </c>
      <c r="X31" s="144">
        <v>4089767</v>
      </c>
      <c r="Y31" s="144">
        <v>3887452</v>
      </c>
      <c r="Z31" s="144">
        <v>3955520</v>
      </c>
      <c r="AA31" s="144">
        <v>3433656</v>
      </c>
      <c r="AB31" s="144">
        <v>3181874</v>
      </c>
    </row>
    <row r="32" spans="2:28" x14ac:dyDescent="0.35">
      <c r="B32" s="149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</row>
    <row r="33" spans="2:28" s="145" customFormat="1" x14ac:dyDescent="0.35">
      <c r="B33" s="143" t="s">
        <v>204</v>
      </c>
      <c r="C33" s="144">
        <v>1621183</v>
      </c>
      <c r="D33" s="144">
        <v>1621183</v>
      </c>
      <c r="E33" s="144">
        <v>1427396</v>
      </c>
      <c r="F33" s="144">
        <v>1791260</v>
      </c>
      <c r="G33" s="144">
        <v>1225680</v>
      </c>
      <c r="H33" s="144">
        <v>1508358</v>
      </c>
      <c r="I33" s="144">
        <v>1508358</v>
      </c>
      <c r="J33" s="144">
        <v>1282876.2936400003</v>
      </c>
      <c r="K33" s="144">
        <v>1137196</v>
      </c>
      <c r="L33" s="144">
        <v>991041</v>
      </c>
      <c r="M33" s="144">
        <v>1042766</v>
      </c>
      <c r="N33" s="144">
        <v>1042766</v>
      </c>
      <c r="O33" s="144">
        <v>942553</v>
      </c>
      <c r="P33" s="144">
        <v>905389</v>
      </c>
      <c r="Q33" s="144">
        <v>869165</v>
      </c>
      <c r="R33" s="144">
        <v>918216</v>
      </c>
      <c r="S33" s="144">
        <v>496841</v>
      </c>
      <c r="T33" s="144">
        <v>572132</v>
      </c>
      <c r="U33" s="144">
        <v>516564</v>
      </c>
      <c r="V33" s="144">
        <v>764158</v>
      </c>
      <c r="W33" s="144">
        <v>701791</v>
      </c>
      <c r="X33" s="144">
        <v>753276</v>
      </c>
      <c r="Y33" s="144">
        <v>668383</v>
      </c>
      <c r="Z33" s="144">
        <v>858910</v>
      </c>
      <c r="AA33" s="144">
        <v>740599</v>
      </c>
      <c r="AB33" s="144">
        <v>761334</v>
      </c>
    </row>
    <row r="34" spans="2:28" x14ac:dyDescent="0.35">
      <c r="B34" s="146" t="s">
        <v>205</v>
      </c>
      <c r="C34" s="147">
        <v>274805</v>
      </c>
      <c r="D34" s="147">
        <v>274805</v>
      </c>
      <c r="E34" s="147">
        <v>238164</v>
      </c>
      <c r="F34" s="147">
        <v>252391</v>
      </c>
      <c r="G34" s="147">
        <v>192587</v>
      </c>
      <c r="H34" s="147">
        <v>202562</v>
      </c>
      <c r="I34" s="147">
        <v>202562</v>
      </c>
      <c r="J34" s="147">
        <v>268592.38487000013</v>
      </c>
      <c r="K34" s="147">
        <v>248566</v>
      </c>
      <c r="L34" s="147">
        <v>254827</v>
      </c>
      <c r="M34" s="147">
        <v>234933</v>
      </c>
      <c r="N34" s="147">
        <v>234933</v>
      </c>
      <c r="O34" s="147">
        <v>319628</v>
      </c>
      <c r="P34" s="147">
        <v>326169</v>
      </c>
      <c r="Q34" s="147">
        <v>312729</v>
      </c>
      <c r="R34" s="147">
        <v>309722</v>
      </c>
      <c r="S34" s="147">
        <v>127205</v>
      </c>
      <c r="T34" s="147">
        <v>219061</v>
      </c>
      <c r="U34" s="147">
        <v>212514</v>
      </c>
      <c r="V34" s="148">
        <v>448666</v>
      </c>
      <c r="W34" s="147">
        <v>405234</v>
      </c>
      <c r="X34" s="147">
        <v>467295</v>
      </c>
      <c r="Y34" s="147">
        <v>371584</v>
      </c>
      <c r="Z34" s="147">
        <v>457772</v>
      </c>
      <c r="AA34" s="147">
        <v>308165</v>
      </c>
      <c r="AB34" s="147">
        <v>362532</v>
      </c>
    </row>
    <row r="35" spans="2:28" x14ac:dyDescent="0.35">
      <c r="B35" s="146" t="s">
        <v>206</v>
      </c>
      <c r="C35" s="147">
        <v>296402</v>
      </c>
      <c r="D35" s="147">
        <v>296402</v>
      </c>
      <c r="E35" s="147">
        <v>198428</v>
      </c>
      <c r="F35" s="147">
        <v>204067</v>
      </c>
      <c r="G35" s="147">
        <v>169511</v>
      </c>
      <c r="H35" s="147">
        <v>169847</v>
      </c>
      <c r="I35" s="147">
        <v>169847</v>
      </c>
      <c r="J35" s="147">
        <v>108199</v>
      </c>
      <c r="K35" s="147">
        <v>79372</v>
      </c>
      <c r="L35" s="147">
        <v>41297</v>
      </c>
      <c r="M35" s="147">
        <v>58926</v>
      </c>
      <c r="N35" s="147">
        <v>58926</v>
      </c>
      <c r="O35" s="147">
        <v>18274</v>
      </c>
      <c r="P35" s="147">
        <v>18947</v>
      </c>
      <c r="Q35" s="147">
        <v>22536</v>
      </c>
      <c r="R35" s="147">
        <v>13826</v>
      </c>
      <c r="S35" s="147">
        <v>0</v>
      </c>
      <c r="T35" s="147">
        <v>0</v>
      </c>
      <c r="U35" s="147">
        <v>0</v>
      </c>
      <c r="V35" s="148">
        <v>0</v>
      </c>
      <c r="W35" s="147">
        <v>0</v>
      </c>
      <c r="X35" s="147">
        <v>0</v>
      </c>
      <c r="Y35" s="147">
        <v>0</v>
      </c>
      <c r="Z35" s="147">
        <v>0</v>
      </c>
      <c r="AA35" s="147">
        <v>0</v>
      </c>
      <c r="AB35" s="147">
        <v>0</v>
      </c>
    </row>
    <row r="36" spans="2:28" x14ac:dyDescent="0.35">
      <c r="B36" s="146" t="s">
        <v>207</v>
      </c>
      <c r="C36" s="147">
        <v>181281</v>
      </c>
      <c r="D36" s="147">
        <v>181281</v>
      </c>
      <c r="E36" s="147">
        <v>170298</v>
      </c>
      <c r="F36" s="147">
        <v>140235</v>
      </c>
      <c r="G36" s="147">
        <v>133339</v>
      </c>
      <c r="H36" s="147">
        <v>128837</v>
      </c>
      <c r="I36" s="147">
        <v>128837</v>
      </c>
      <c r="J36" s="147">
        <v>155934</v>
      </c>
      <c r="K36" s="147">
        <v>144459</v>
      </c>
      <c r="L36" s="147">
        <v>128362</v>
      </c>
      <c r="M36" s="147">
        <v>121652</v>
      </c>
      <c r="N36" s="147">
        <v>121652</v>
      </c>
      <c r="O36" s="147">
        <v>122771</v>
      </c>
      <c r="P36" s="147">
        <v>112545</v>
      </c>
      <c r="Q36" s="147">
        <v>87224</v>
      </c>
      <c r="R36" s="147">
        <v>112474</v>
      </c>
      <c r="S36" s="147">
        <v>77052</v>
      </c>
      <c r="T36" s="147">
        <v>56346</v>
      </c>
      <c r="U36" s="147">
        <v>51601</v>
      </c>
      <c r="V36" s="148">
        <v>75747</v>
      </c>
      <c r="W36" s="147">
        <v>71174</v>
      </c>
      <c r="X36" s="147">
        <v>99116</v>
      </c>
      <c r="Y36" s="147">
        <v>107802</v>
      </c>
      <c r="Z36" s="147">
        <v>129615</v>
      </c>
      <c r="AA36" s="147">
        <v>72992</v>
      </c>
      <c r="AB36" s="147">
        <v>30862</v>
      </c>
    </row>
    <row r="37" spans="2:28" x14ac:dyDescent="0.35">
      <c r="B37" s="146" t="s">
        <v>208</v>
      </c>
      <c r="C37" s="147">
        <v>12949</v>
      </c>
      <c r="D37" s="147">
        <v>12949</v>
      </c>
      <c r="E37" s="147">
        <v>15862</v>
      </c>
      <c r="F37" s="147">
        <v>12571</v>
      </c>
      <c r="G37" s="147">
        <v>10506</v>
      </c>
      <c r="H37" s="147">
        <v>7576</v>
      </c>
      <c r="I37" s="147">
        <v>7576</v>
      </c>
      <c r="J37" s="147">
        <v>8885</v>
      </c>
      <c r="K37" s="147">
        <v>7445</v>
      </c>
      <c r="L37" s="147">
        <v>6664</v>
      </c>
      <c r="M37" s="147">
        <v>7879</v>
      </c>
      <c r="N37" s="147">
        <v>7879</v>
      </c>
      <c r="O37" s="147">
        <v>6709</v>
      </c>
      <c r="P37" s="147">
        <v>7226</v>
      </c>
      <c r="Q37" s="147">
        <v>6635</v>
      </c>
      <c r="R37" s="147">
        <v>10220</v>
      </c>
      <c r="S37" s="147">
        <v>15002</v>
      </c>
      <c r="T37" s="147">
        <v>33740</v>
      </c>
      <c r="U37" s="147">
        <v>0</v>
      </c>
      <c r="V37" s="148">
        <v>0</v>
      </c>
      <c r="W37" s="147">
        <v>0</v>
      </c>
      <c r="X37" s="147">
        <v>0</v>
      </c>
      <c r="Y37" s="147">
        <v>0</v>
      </c>
      <c r="Z37" s="147">
        <v>0</v>
      </c>
      <c r="AA37" s="147">
        <v>0</v>
      </c>
      <c r="AB37" s="147">
        <v>0</v>
      </c>
    </row>
    <row r="38" spans="2:28" x14ac:dyDescent="0.35">
      <c r="B38" s="146" t="s">
        <v>209</v>
      </c>
      <c r="C38" s="147">
        <v>87815</v>
      </c>
      <c r="D38" s="147">
        <v>87815</v>
      </c>
      <c r="E38" s="147">
        <v>103684</v>
      </c>
      <c r="F38" s="147">
        <v>81795</v>
      </c>
      <c r="G38" s="147">
        <v>82388</v>
      </c>
      <c r="H38" s="147">
        <v>68360</v>
      </c>
      <c r="I38" s="147">
        <v>68360</v>
      </c>
      <c r="J38" s="147">
        <v>76038.294500000236</v>
      </c>
      <c r="K38" s="147">
        <v>65472</v>
      </c>
      <c r="L38" s="147">
        <v>57288</v>
      </c>
      <c r="M38" s="147">
        <v>45411</v>
      </c>
      <c r="N38" s="147">
        <v>45411</v>
      </c>
      <c r="O38" s="147">
        <v>55581</v>
      </c>
      <c r="P38" s="147">
        <v>48699</v>
      </c>
      <c r="Q38" s="147">
        <v>46975</v>
      </c>
      <c r="R38" s="147">
        <v>39233</v>
      </c>
      <c r="S38" s="147">
        <v>31827</v>
      </c>
      <c r="T38" s="147">
        <v>28253</v>
      </c>
      <c r="U38" s="147">
        <v>30640</v>
      </c>
      <c r="V38" s="148">
        <v>26183</v>
      </c>
      <c r="W38" s="147">
        <v>20571</v>
      </c>
      <c r="X38" s="147">
        <v>26831</v>
      </c>
      <c r="Y38" s="147">
        <v>43956</v>
      </c>
      <c r="Z38" s="147">
        <v>42230</v>
      </c>
      <c r="AA38" s="147">
        <v>42201</v>
      </c>
      <c r="AB38" s="147">
        <v>37962</v>
      </c>
    </row>
    <row r="39" spans="2:28" x14ac:dyDescent="0.35">
      <c r="B39" s="146" t="s">
        <v>210</v>
      </c>
      <c r="C39" s="147">
        <v>67093</v>
      </c>
      <c r="D39" s="147">
        <v>67093</v>
      </c>
      <c r="E39" s="147">
        <v>58012</v>
      </c>
      <c r="F39" s="147">
        <v>58918</v>
      </c>
      <c r="G39" s="147">
        <v>51397</v>
      </c>
      <c r="H39" s="147">
        <v>55567</v>
      </c>
      <c r="I39" s="147">
        <v>55567</v>
      </c>
      <c r="J39" s="147">
        <v>48861.775119999947</v>
      </c>
      <c r="K39" s="147">
        <v>43321</v>
      </c>
      <c r="L39" s="147">
        <v>28771</v>
      </c>
      <c r="M39" s="147">
        <v>36179</v>
      </c>
      <c r="N39" s="147">
        <v>36179</v>
      </c>
      <c r="O39" s="147">
        <v>30233</v>
      </c>
      <c r="P39" s="147">
        <v>29897</v>
      </c>
      <c r="Q39" s="147">
        <v>30040</v>
      </c>
      <c r="R39" s="147">
        <v>28690</v>
      </c>
      <c r="S39" s="147">
        <v>25094</v>
      </c>
      <c r="T39" s="147">
        <v>25227</v>
      </c>
      <c r="U39" s="147">
        <v>22968</v>
      </c>
      <c r="V39" s="148">
        <v>23305</v>
      </c>
      <c r="W39" s="147">
        <v>19506</v>
      </c>
      <c r="X39" s="147">
        <v>40540</v>
      </c>
      <c r="Y39" s="147">
        <v>45756</v>
      </c>
      <c r="Z39" s="147">
        <v>51021</v>
      </c>
      <c r="AA39" s="147">
        <v>59421</v>
      </c>
      <c r="AB39" s="147">
        <v>56556</v>
      </c>
    </row>
    <row r="40" spans="2:28" x14ac:dyDescent="0.35">
      <c r="B40" s="146" t="s">
        <v>211</v>
      </c>
      <c r="C40" s="147">
        <v>0</v>
      </c>
      <c r="D40" s="147">
        <v>0</v>
      </c>
      <c r="E40" s="147">
        <v>0</v>
      </c>
      <c r="F40" s="147">
        <v>0</v>
      </c>
      <c r="G40" s="147">
        <v>0</v>
      </c>
      <c r="H40" s="147">
        <v>0</v>
      </c>
      <c r="I40" s="147">
        <v>0</v>
      </c>
      <c r="J40" s="147">
        <v>0</v>
      </c>
      <c r="K40" s="147">
        <v>0</v>
      </c>
      <c r="L40" s="147">
        <v>0</v>
      </c>
      <c r="M40" s="147">
        <v>0</v>
      </c>
      <c r="N40" s="147">
        <v>0</v>
      </c>
      <c r="O40" s="147">
        <v>0</v>
      </c>
      <c r="P40" s="147">
        <v>0</v>
      </c>
      <c r="Q40" s="147">
        <v>0</v>
      </c>
      <c r="R40" s="147">
        <v>0</v>
      </c>
      <c r="S40" s="147">
        <v>0</v>
      </c>
      <c r="T40" s="147">
        <v>0</v>
      </c>
      <c r="U40" s="147">
        <v>0</v>
      </c>
      <c r="V40" s="148">
        <v>0</v>
      </c>
      <c r="W40" s="147">
        <v>2831</v>
      </c>
      <c r="X40" s="147">
        <v>0</v>
      </c>
      <c r="Y40" s="147">
        <v>0</v>
      </c>
      <c r="Z40" s="147">
        <v>0</v>
      </c>
      <c r="AA40" s="147">
        <v>0</v>
      </c>
      <c r="AB40" s="147">
        <v>0</v>
      </c>
    </row>
    <row r="41" spans="2:28" x14ac:dyDescent="0.35">
      <c r="B41" s="146" t="s">
        <v>212</v>
      </c>
      <c r="C41" s="147">
        <v>0</v>
      </c>
      <c r="D41" s="147">
        <v>0</v>
      </c>
      <c r="E41" s="147">
        <v>0</v>
      </c>
      <c r="F41" s="147">
        <v>0</v>
      </c>
      <c r="G41" s="147">
        <v>0</v>
      </c>
      <c r="H41" s="147">
        <v>0</v>
      </c>
      <c r="I41" s="147">
        <v>0</v>
      </c>
      <c r="J41" s="147">
        <v>0</v>
      </c>
      <c r="K41" s="147">
        <v>0</v>
      </c>
      <c r="L41" s="147">
        <v>0</v>
      </c>
      <c r="M41" s="147">
        <v>0</v>
      </c>
      <c r="N41" s="147">
        <v>0</v>
      </c>
      <c r="O41" s="147">
        <v>0</v>
      </c>
      <c r="P41" s="147">
        <v>0</v>
      </c>
      <c r="Q41" s="147">
        <v>0</v>
      </c>
      <c r="R41" s="147">
        <v>0</v>
      </c>
      <c r="S41" s="147">
        <v>0</v>
      </c>
      <c r="T41" s="147">
        <v>0</v>
      </c>
      <c r="U41" s="147">
        <v>0</v>
      </c>
      <c r="V41" s="148">
        <v>0</v>
      </c>
      <c r="W41" s="147">
        <v>12237</v>
      </c>
      <c r="X41" s="147">
        <v>0</v>
      </c>
      <c r="Y41" s="147">
        <v>0</v>
      </c>
      <c r="Z41" s="147">
        <v>0</v>
      </c>
      <c r="AA41" s="147">
        <v>0</v>
      </c>
      <c r="AB41" s="147">
        <v>0</v>
      </c>
    </row>
    <row r="42" spans="2:28" x14ac:dyDescent="0.35">
      <c r="B42" s="146" t="s">
        <v>213</v>
      </c>
      <c r="C42" s="147">
        <v>12686</v>
      </c>
      <c r="D42" s="147">
        <v>12686</v>
      </c>
      <c r="E42" s="147">
        <v>10120</v>
      </c>
      <c r="F42" s="147">
        <v>10371</v>
      </c>
      <c r="G42" s="147">
        <v>9411</v>
      </c>
      <c r="H42" s="147">
        <v>7911</v>
      </c>
      <c r="I42" s="147">
        <v>7911</v>
      </c>
      <c r="J42" s="147">
        <v>8200</v>
      </c>
      <c r="K42" s="147">
        <v>8469</v>
      </c>
      <c r="L42" s="147">
        <v>8735</v>
      </c>
      <c r="M42" s="147">
        <v>7456</v>
      </c>
      <c r="N42" s="147">
        <v>7456</v>
      </c>
      <c r="O42" s="147">
        <v>10456</v>
      </c>
      <c r="P42" s="147">
        <v>10632</v>
      </c>
      <c r="Q42" s="147">
        <v>10885</v>
      </c>
      <c r="R42" s="147">
        <v>11324</v>
      </c>
      <c r="S42" s="147">
        <v>10088</v>
      </c>
      <c r="T42" s="147">
        <v>9887</v>
      </c>
      <c r="U42" s="147">
        <v>8468</v>
      </c>
      <c r="V42" s="148">
        <v>0</v>
      </c>
      <c r="W42" s="147">
        <v>0</v>
      </c>
      <c r="X42" s="147">
        <v>0</v>
      </c>
      <c r="Y42" s="147">
        <v>0</v>
      </c>
      <c r="Z42" s="147">
        <v>0</v>
      </c>
      <c r="AA42" s="147">
        <v>0</v>
      </c>
      <c r="AB42" s="147">
        <v>0</v>
      </c>
    </row>
    <row r="43" spans="2:28" x14ac:dyDescent="0.35">
      <c r="B43" s="146" t="s">
        <v>214</v>
      </c>
      <c r="C43" s="147">
        <v>131775</v>
      </c>
      <c r="D43" s="147">
        <v>131775</v>
      </c>
      <c r="E43" s="147">
        <v>127395</v>
      </c>
      <c r="F43" s="147">
        <v>203878</v>
      </c>
      <c r="G43" s="147">
        <v>150709</v>
      </c>
      <c r="H43" s="147">
        <v>194059</v>
      </c>
      <c r="I43" s="147">
        <v>194059</v>
      </c>
      <c r="J43" s="147">
        <v>165984.56439999989</v>
      </c>
      <c r="K43" s="147">
        <v>164882</v>
      </c>
      <c r="L43" s="147">
        <v>147741</v>
      </c>
      <c r="M43" s="147">
        <v>146827</v>
      </c>
      <c r="N43" s="147">
        <v>146827</v>
      </c>
      <c r="O43" s="147">
        <v>114228</v>
      </c>
      <c r="P43" s="147">
        <v>111111</v>
      </c>
      <c r="Q43" s="147">
        <v>109832</v>
      </c>
      <c r="R43" s="147">
        <v>113361</v>
      </c>
      <c r="S43" s="147">
        <v>62779</v>
      </c>
      <c r="T43" s="147">
        <v>77434</v>
      </c>
      <c r="U43" s="147">
        <v>94094</v>
      </c>
      <c r="V43" s="148">
        <v>92367</v>
      </c>
      <c r="W43" s="147">
        <v>90441</v>
      </c>
      <c r="X43" s="147">
        <v>55786</v>
      </c>
      <c r="Y43" s="147">
        <v>36266</v>
      </c>
      <c r="Z43" s="147">
        <v>43440</v>
      </c>
      <c r="AA43" s="147">
        <v>32531</v>
      </c>
      <c r="AB43" s="147">
        <v>31362</v>
      </c>
    </row>
    <row r="44" spans="2:28" x14ac:dyDescent="0.35">
      <c r="B44" s="146" t="s">
        <v>215</v>
      </c>
      <c r="C44" s="147">
        <v>83947</v>
      </c>
      <c r="D44" s="147">
        <v>83947</v>
      </c>
      <c r="E44" s="147">
        <v>96239</v>
      </c>
      <c r="F44" s="147">
        <v>102423</v>
      </c>
      <c r="G44" s="147">
        <v>58843</v>
      </c>
      <c r="H44" s="147">
        <v>66546</v>
      </c>
      <c r="I44" s="147">
        <v>66546</v>
      </c>
      <c r="J44" s="147">
        <v>79973.274749999982</v>
      </c>
      <c r="K44" s="147">
        <v>101555</v>
      </c>
      <c r="L44" s="147">
        <v>95612</v>
      </c>
      <c r="M44" s="147">
        <v>69264</v>
      </c>
      <c r="N44" s="147">
        <v>69264</v>
      </c>
      <c r="O44" s="147">
        <v>75765</v>
      </c>
      <c r="P44" s="147">
        <v>45816</v>
      </c>
      <c r="Q44" s="147">
        <v>65314</v>
      </c>
      <c r="R44" s="147">
        <v>28540</v>
      </c>
      <c r="S44" s="147">
        <v>14705</v>
      </c>
      <c r="T44" s="147">
        <v>22249</v>
      </c>
      <c r="U44" s="147">
        <v>37745</v>
      </c>
      <c r="V44" s="148">
        <v>12913</v>
      </c>
      <c r="W44" s="147">
        <v>11975</v>
      </c>
      <c r="X44" s="147">
        <v>5869</v>
      </c>
      <c r="Y44" s="147">
        <v>28742</v>
      </c>
      <c r="Z44" s="147">
        <v>54348</v>
      </c>
      <c r="AA44" s="147">
        <v>68074</v>
      </c>
      <c r="AB44" s="147">
        <v>96873</v>
      </c>
    </row>
    <row r="45" spans="2:28" x14ac:dyDescent="0.35">
      <c r="B45" s="146" t="s">
        <v>216</v>
      </c>
      <c r="C45" s="147">
        <v>222844</v>
      </c>
      <c r="D45" s="147">
        <v>222844</v>
      </c>
      <c r="E45" s="147">
        <v>203389</v>
      </c>
      <c r="F45" s="147">
        <v>185879</v>
      </c>
      <c r="G45" s="147">
        <v>188664</v>
      </c>
      <c r="H45" s="147">
        <v>184636</v>
      </c>
      <c r="I45" s="147">
        <v>184636</v>
      </c>
      <c r="J45" s="147">
        <v>158901</v>
      </c>
      <c r="K45" s="147">
        <v>150744</v>
      </c>
      <c r="L45" s="147">
        <v>108335</v>
      </c>
      <c r="M45" s="147">
        <v>120996</v>
      </c>
      <c r="N45" s="147">
        <v>120996</v>
      </c>
      <c r="O45" s="147">
        <v>101293</v>
      </c>
      <c r="P45" s="147">
        <v>127136</v>
      </c>
      <c r="Q45" s="147">
        <v>118085</v>
      </c>
      <c r="R45" s="147">
        <v>84799</v>
      </c>
      <c r="S45" s="147">
        <v>90346</v>
      </c>
      <c r="T45" s="147">
        <v>49536</v>
      </c>
      <c r="U45" s="147">
        <v>19015</v>
      </c>
      <c r="V45" s="148">
        <v>55143</v>
      </c>
      <c r="W45" s="147">
        <v>51010</v>
      </c>
      <c r="X45" s="147">
        <v>44706</v>
      </c>
      <c r="Y45" s="147">
        <v>25682</v>
      </c>
      <c r="Z45" s="147">
        <v>55831</v>
      </c>
      <c r="AA45" s="147">
        <v>92235</v>
      </c>
      <c r="AB45" s="147">
        <v>81658</v>
      </c>
    </row>
    <row r="46" spans="2:28" x14ac:dyDescent="0.35">
      <c r="B46" s="146" t="s">
        <v>217</v>
      </c>
      <c r="C46" s="147">
        <v>11519</v>
      </c>
      <c r="D46" s="147">
        <v>11519</v>
      </c>
      <c r="E46" s="147">
        <v>0</v>
      </c>
      <c r="F46" s="147">
        <v>346664</v>
      </c>
      <c r="G46" s="147">
        <v>0</v>
      </c>
      <c r="H46" s="147">
        <v>299399</v>
      </c>
      <c r="I46" s="147">
        <v>299399</v>
      </c>
      <c r="J46" s="147">
        <v>79700</v>
      </c>
      <c r="K46" s="147">
        <v>0</v>
      </c>
      <c r="L46" s="147">
        <v>0</v>
      </c>
      <c r="M46" s="147">
        <v>81162</v>
      </c>
      <c r="N46" s="147">
        <v>81162</v>
      </c>
      <c r="O46" s="147">
        <v>0</v>
      </c>
      <c r="P46" s="147">
        <v>0</v>
      </c>
      <c r="Q46" s="147">
        <v>0</v>
      </c>
      <c r="R46" s="147">
        <v>104287</v>
      </c>
      <c r="S46" s="147">
        <v>0</v>
      </c>
      <c r="T46" s="147">
        <v>0</v>
      </c>
      <c r="U46" s="147">
        <v>0</v>
      </c>
      <c r="V46" s="148">
        <v>146</v>
      </c>
      <c r="W46" s="147">
        <v>0</v>
      </c>
      <c r="X46" s="147">
        <v>0</v>
      </c>
      <c r="Y46" s="147">
        <v>46</v>
      </c>
      <c r="Z46" s="147">
        <v>15490</v>
      </c>
      <c r="AA46" s="147">
        <v>57051</v>
      </c>
      <c r="AB46" s="147">
        <v>56900</v>
      </c>
    </row>
    <row r="47" spans="2:28" x14ac:dyDescent="0.35">
      <c r="B47" s="146" t="s">
        <v>218</v>
      </c>
      <c r="C47" s="147">
        <v>23533</v>
      </c>
      <c r="D47" s="147">
        <v>23533</v>
      </c>
      <c r="E47" s="147">
        <v>23488</v>
      </c>
      <c r="F47" s="147">
        <v>22561</v>
      </c>
      <c r="G47" s="147">
        <v>22386</v>
      </c>
      <c r="H47" s="147">
        <v>21964</v>
      </c>
      <c r="I47" s="147">
        <v>21964</v>
      </c>
      <c r="J47" s="147">
        <v>22506</v>
      </c>
      <c r="K47" s="147">
        <v>21920</v>
      </c>
      <c r="L47" s="147">
        <v>23035</v>
      </c>
      <c r="M47" s="147">
        <v>24259</v>
      </c>
      <c r="N47" s="147">
        <v>24259</v>
      </c>
      <c r="O47" s="147">
        <v>21940</v>
      </c>
      <c r="P47" s="147">
        <v>25934</v>
      </c>
      <c r="Q47" s="147">
        <v>25972</v>
      </c>
      <c r="R47" s="147">
        <v>28392</v>
      </c>
      <c r="S47" s="147">
        <v>28143</v>
      </c>
      <c r="T47" s="147">
        <v>27377</v>
      </c>
      <c r="U47" s="147">
        <v>20752</v>
      </c>
      <c r="V47" s="148">
        <v>10959</v>
      </c>
      <c r="W47" s="147">
        <v>0</v>
      </c>
      <c r="X47" s="147">
        <v>0</v>
      </c>
      <c r="Y47" s="147">
        <v>0</v>
      </c>
      <c r="Z47" s="147">
        <v>0</v>
      </c>
      <c r="AA47" s="147">
        <v>0</v>
      </c>
      <c r="AB47" s="147">
        <v>0</v>
      </c>
    </row>
    <row r="48" spans="2:28" x14ac:dyDescent="0.35">
      <c r="B48" s="146" t="s">
        <v>219</v>
      </c>
      <c r="C48" s="147">
        <v>214534</v>
      </c>
      <c r="D48" s="147">
        <v>214534</v>
      </c>
      <c r="E48" s="147">
        <v>182317</v>
      </c>
      <c r="F48" s="147">
        <v>169507</v>
      </c>
      <c r="G48" s="147">
        <v>155939</v>
      </c>
      <c r="H48" s="147">
        <v>101094</v>
      </c>
      <c r="I48" s="147">
        <v>101094</v>
      </c>
      <c r="J48" s="147">
        <v>101101</v>
      </c>
      <c r="K48" s="147">
        <v>100991</v>
      </c>
      <c r="L48" s="147">
        <v>90374</v>
      </c>
      <c r="M48" s="147">
        <v>87822</v>
      </c>
      <c r="N48" s="147">
        <v>87822</v>
      </c>
      <c r="O48" s="147">
        <v>65675</v>
      </c>
      <c r="P48" s="147">
        <v>41277</v>
      </c>
      <c r="Q48" s="147">
        <v>32938</v>
      </c>
      <c r="R48" s="147">
        <v>33348</v>
      </c>
      <c r="S48" s="147">
        <v>14600</v>
      </c>
      <c r="T48" s="147">
        <v>23022</v>
      </c>
      <c r="U48" s="147">
        <v>18767</v>
      </c>
      <c r="V48" s="148">
        <v>18729</v>
      </c>
      <c r="W48" s="147">
        <v>16812</v>
      </c>
      <c r="X48" s="147">
        <v>13133</v>
      </c>
      <c r="Y48" s="147">
        <v>8549</v>
      </c>
      <c r="Z48" s="147">
        <v>9163</v>
      </c>
      <c r="AA48" s="147">
        <v>7929</v>
      </c>
      <c r="AB48" s="147">
        <v>6629</v>
      </c>
    </row>
    <row r="49" spans="2:28" s="145" customFormat="1" x14ac:dyDescent="0.35">
      <c r="B49" s="143" t="s">
        <v>220</v>
      </c>
      <c r="C49" s="144">
        <v>9278301</v>
      </c>
      <c r="D49" s="144">
        <v>9278301</v>
      </c>
      <c r="E49" s="144">
        <v>8268156</v>
      </c>
      <c r="F49" s="144">
        <v>7304948</v>
      </c>
      <c r="G49" s="144">
        <v>7019860</v>
      </c>
      <c r="H49" s="144">
        <v>6335297</v>
      </c>
      <c r="I49" s="144">
        <v>6335297</v>
      </c>
      <c r="J49" s="144">
        <v>5992679</v>
      </c>
      <c r="K49" s="144">
        <v>5225066</v>
      </c>
      <c r="L49" s="144">
        <v>4615686</v>
      </c>
      <c r="M49" s="144">
        <v>4418246</v>
      </c>
      <c r="N49" s="144">
        <v>4418246</v>
      </c>
      <c r="O49" s="144">
        <v>4153638</v>
      </c>
      <c r="P49" s="144">
        <v>4290672</v>
      </c>
      <c r="Q49" s="144">
        <v>4101870</v>
      </c>
      <c r="R49" s="144">
        <v>4121504</v>
      </c>
      <c r="S49" s="144">
        <v>3723998</v>
      </c>
      <c r="T49" s="144">
        <v>3189279</v>
      </c>
      <c r="U49" s="144">
        <v>2768808</v>
      </c>
      <c r="V49" s="144">
        <v>2494251</v>
      </c>
      <c r="W49" s="144">
        <v>1835658</v>
      </c>
      <c r="X49" s="144">
        <v>1589073</v>
      </c>
      <c r="Y49" s="144">
        <v>1441584</v>
      </c>
      <c r="Z49" s="144">
        <v>1361079</v>
      </c>
      <c r="AA49" s="144">
        <v>1091626</v>
      </c>
      <c r="AB49" s="144">
        <v>905233</v>
      </c>
    </row>
    <row r="50" spans="2:28" x14ac:dyDescent="0.35">
      <c r="B50" s="146" t="s">
        <v>205</v>
      </c>
      <c r="C50" s="147">
        <v>2483542</v>
      </c>
      <c r="D50" s="147">
        <v>2483542</v>
      </c>
      <c r="E50" s="147">
        <v>2341473</v>
      </c>
      <c r="F50" s="147">
        <v>1774509</v>
      </c>
      <c r="G50" s="147">
        <v>1701507</v>
      </c>
      <c r="H50" s="147">
        <v>1347099</v>
      </c>
      <c r="I50" s="147">
        <v>1347099</v>
      </c>
      <c r="J50" s="147">
        <v>1412044</v>
      </c>
      <c r="K50" s="147">
        <v>1088924</v>
      </c>
      <c r="L50" s="147">
        <v>1061373</v>
      </c>
      <c r="M50" s="147">
        <v>1088111</v>
      </c>
      <c r="N50" s="147">
        <v>1088111</v>
      </c>
      <c r="O50" s="147">
        <v>971640</v>
      </c>
      <c r="P50" s="147">
        <v>1118460</v>
      </c>
      <c r="Q50" s="147">
        <v>1070985</v>
      </c>
      <c r="R50" s="147">
        <v>1080104</v>
      </c>
      <c r="S50" s="147">
        <v>1114197</v>
      </c>
      <c r="T50" s="147">
        <v>812107</v>
      </c>
      <c r="U50" s="147">
        <v>618554</v>
      </c>
      <c r="V50" s="148">
        <v>548926</v>
      </c>
      <c r="W50" s="147">
        <v>488717</v>
      </c>
      <c r="X50" s="147">
        <v>439565</v>
      </c>
      <c r="Y50" s="147">
        <v>464867</v>
      </c>
      <c r="Z50" s="147">
        <v>490625</v>
      </c>
      <c r="AA50" s="147">
        <v>582135</v>
      </c>
      <c r="AB50" s="147">
        <v>430633</v>
      </c>
    </row>
    <row r="51" spans="2:28" x14ac:dyDescent="0.35">
      <c r="B51" s="146" t="s">
        <v>206</v>
      </c>
      <c r="C51" s="147">
        <v>900748</v>
      </c>
      <c r="D51" s="147">
        <v>900748</v>
      </c>
      <c r="E51" s="147">
        <v>708838</v>
      </c>
      <c r="F51" s="147">
        <v>673029</v>
      </c>
      <c r="G51" s="147">
        <v>501570</v>
      </c>
      <c r="H51" s="147">
        <v>524452</v>
      </c>
      <c r="I51" s="147">
        <v>524452</v>
      </c>
      <c r="J51" s="147">
        <v>401624</v>
      </c>
      <c r="K51" s="147">
        <v>358077</v>
      </c>
      <c r="L51" s="147">
        <v>127621</v>
      </c>
      <c r="M51" s="147">
        <v>128260</v>
      </c>
      <c r="N51" s="147">
        <v>128260</v>
      </c>
      <c r="O51" s="147">
        <v>93820</v>
      </c>
      <c r="P51" s="147">
        <v>98691</v>
      </c>
      <c r="Q51" s="147">
        <v>110701</v>
      </c>
      <c r="R51" s="147">
        <v>74494</v>
      </c>
      <c r="S51" s="147">
        <v>0</v>
      </c>
      <c r="T51" s="147">
        <v>0</v>
      </c>
      <c r="U51" s="147">
        <v>0</v>
      </c>
      <c r="V51" s="148">
        <v>0</v>
      </c>
      <c r="W51" s="147">
        <v>0</v>
      </c>
      <c r="X51" s="147">
        <v>0</v>
      </c>
      <c r="Y51" s="147">
        <v>0</v>
      </c>
      <c r="Z51" s="147">
        <v>0</v>
      </c>
      <c r="AA51" s="147">
        <v>0</v>
      </c>
      <c r="AB51" s="147">
        <v>0</v>
      </c>
    </row>
    <row r="52" spans="2:28" x14ac:dyDescent="0.35">
      <c r="B52" s="146" t="s">
        <v>207</v>
      </c>
      <c r="C52" s="147">
        <v>14082</v>
      </c>
      <c r="D52" s="147">
        <v>14082</v>
      </c>
      <c r="E52" s="147">
        <v>13970</v>
      </c>
      <c r="F52" s="147">
        <v>12878</v>
      </c>
      <c r="G52" s="147">
        <v>14538</v>
      </c>
      <c r="H52" s="147">
        <v>11116</v>
      </c>
      <c r="I52" s="147">
        <v>11116</v>
      </c>
      <c r="J52" s="147">
        <v>10950</v>
      </c>
      <c r="K52" s="147">
        <v>9977</v>
      </c>
      <c r="L52" s="147">
        <v>10285</v>
      </c>
      <c r="M52" s="147">
        <v>10004</v>
      </c>
      <c r="N52" s="147">
        <v>10004</v>
      </c>
      <c r="O52" s="147">
        <v>9284</v>
      </c>
      <c r="P52" s="147">
        <v>8742</v>
      </c>
      <c r="Q52" s="147">
        <v>9196</v>
      </c>
      <c r="R52" s="147">
        <v>9471</v>
      </c>
      <c r="S52" s="147">
        <v>5958</v>
      </c>
      <c r="T52" s="147">
        <v>17368</v>
      </c>
      <c r="U52" s="147">
        <v>13098</v>
      </c>
      <c r="V52" s="148">
        <v>1093</v>
      </c>
      <c r="W52" s="147">
        <v>0</v>
      </c>
      <c r="X52" s="147">
        <v>7866</v>
      </c>
      <c r="Y52" s="147">
        <v>7866</v>
      </c>
      <c r="Z52" s="147">
        <v>0</v>
      </c>
      <c r="AA52" s="147">
        <v>0</v>
      </c>
      <c r="AB52" s="147">
        <v>0</v>
      </c>
    </row>
    <row r="53" spans="2:28" x14ac:dyDescent="0.35">
      <c r="B53" s="146" t="s">
        <v>210</v>
      </c>
      <c r="C53" s="147">
        <v>60531</v>
      </c>
      <c r="D53" s="147">
        <v>60531</v>
      </c>
      <c r="E53" s="147">
        <v>59310</v>
      </c>
      <c r="F53" s="147">
        <v>47551</v>
      </c>
      <c r="G53" s="147">
        <v>42832</v>
      </c>
      <c r="H53" s="147">
        <v>28523</v>
      </c>
      <c r="I53" s="147">
        <v>28523</v>
      </c>
      <c r="J53" s="147">
        <v>31136</v>
      </c>
      <c r="K53" s="147">
        <v>24107</v>
      </c>
      <c r="L53" s="147">
        <v>29817</v>
      </c>
      <c r="M53" s="147">
        <v>18589</v>
      </c>
      <c r="N53" s="147">
        <v>18589</v>
      </c>
      <c r="O53" s="147">
        <v>16117</v>
      </c>
      <c r="P53" s="147">
        <v>14535</v>
      </c>
      <c r="Q53" s="147">
        <v>13275</v>
      </c>
      <c r="R53" s="147">
        <v>12737</v>
      </c>
      <c r="S53" s="147">
        <v>9701</v>
      </c>
      <c r="T53" s="147">
        <v>3594</v>
      </c>
      <c r="U53" s="147">
        <v>3924</v>
      </c>
      <c r="V53" s="148">
        <v>3740</v>
      </c>
      <c r="W53" s="147">
        <v>2546</v>
      </c>
      <c r="X53" s="147">
        <v>5667</v>
      </c>
      <c r="Y53" s="147">
        <v>7126</v>
      </c>
      <c r="Z53" s="147">
        <v>9771</v>
      </c>
      <c r="AA53" s="147">
        <v>7686</v>
      </c>
      <c r="AB53" s="147">
        <v>5927</v>
      </c>
    </row>
    <row r="54" spans="2:28" x14ac:dyDescent="0.35">
      <c r="B54" s="146" t="s">
        <v>212</v>
      </c>
      <c r="C54" s="147">
        <v>0</v>
      </c>
      <c r="D54" s="147">
        <v>0</v>
      </c>
      <c r="E54" s="147">
        <v>0</v>
      </c>
      <c r="F54" s="147">
        <v>0</v>
      </c>
      <c r="G54" s="147">
        <v>0</v>
      </c>
      <c r="H54" s="147">
        <v>0</v>
      </c>
      <c r="I54" s="147">
        <v>0</v>
      </c>
      <c r="J54" s="147">
        <v>0</v>
      </c>
      <c r="K54" s="147">
        <v>0</v>
      </c>
      <c r="L54" s="147">
        <v>0</v>
      </c>
      <c r="M54" s="147">
        <v>0</v>
      </c>
      <c r="N54" s="147">
        <v>0</v>
      </c>
      <c r="O54" s="147">
        <v>0</v>
      </c>
      <c r="P54" s="147">
        <v>0</v>
      </c>
      <c r="Q54" s="147">
        <v>0</v>
      </c>
      <c r="R54" s="147">
        <v>0</v>
      </c>
      <c r="S54" s="147">
        <v>0</v>
      </c>
      <c r="T54" s="147">
        <v>0</v>
      </c>
      <c r="U54" s="147">
        <v>0</v>
      </c>
      <c r="V54" s="148">
        <v>0</v>
      </c>
      <c r="W54" s="147">
        <v>2401</v>
      </c>
      <c r="X54" s="147">
        <v>0</v>
      </c>
      <c r="Y54" s="147">
        <v>0</v>
      </c>
      <c r="Z54" s="147">
        <v>0</v>
      </c>
      <c r="AA54" s="147">
        <v>0</v>
      </c>
      <c r="AB54" s="147">
        <v>0</v>
      </c>
    </row>
    <row r="55" spans="2:28" x14ac:dyDescent="0.35">
      <c r="B55" s="146" t="s">
        <v>213</v>
      </c>
      <c r="C55" s="147">
        <v>76290</v>
      </c>
      <c r="D55" s="147">
        <v>76290</v>
      </c>
      <c r="E55" s="147">
        <v>77318</v>
      </c>
      <c r="F55" s="147">
        <v>78332</v>
      </c>
      <c r="G55" s="147">
        <v>76530</v>
      </c>
      <c r="H55" s="147">
        <v>75773</v>
      </c>
      <c r="I55" s="147">
        <v>75773</v>
      </c>
      <c r="J55" s="147">
        <v>76332</v>
      </c>
      <c r="K55" s="147">
        <v>76896</v>
      </c>
      <c r="L55" s="147">
        <v>77451</v>
      </c>
      <c r="M55" s="147">
        <v>13648</v>
      </c>
      <c r="N55" s="147">
        <v>13648</v>
      </c>
      <c r="O55" s="147">
        <v>15139</v>
      </c>
      <c r="P55" s="147">
        <v>16657</v>
      </c>
      <c r="Q55" s="147">
        <v>18235</v>
      </c>
      <c r="R55" s="147">
        <v>19821</v>
      </c>
      <c r="S55" s="147">
        <v>25129</v>
      </c>
      <c r="T55" s="147">
        <v>29679</v>
      </c>
      <c r="U55" s="147">
        <v>33465</v>
      </c>
      <c r="V55" s="148">
        <v>0</v>
      </c>
      <c r="W55" s="147">
        <v>0</v>
      </c>
      <c r="X55" s="147">
        <v>0</v>
      </c>
      <c r="Y55" s="147">
        <v>0</v>
      </c>
      <c r="Z55" s="147">
        <v>0</v>
      </c>
      <c r="AA55" s="147">
        <v>0</v>
      </c>
      <c r="AB55" s="147">
        <v>0</v>
      </c>
    </row>
    <row r="56" spans="2:28" x14ac:dyDescent="0.35">
      <c r="B56" s="146" t="s">
        <v>214</v>
      </c>
      <c r="C56" s="147">
        <v>5088473</v>
      </c>
      <c r="D56" s="147">
        <v>5088473</v>
      </c>
      <c r="E56" s="147">
        <v>4287585</v>
      </c>
      <c r="F56" s="147">
        <v>4001081</v>
      </c>
      <c r="G56" s="147">
        <v>3972236</v>
      </c>
      <c r="H56" s="147">
        <v>3655700</v>
      </c>
      <c r="I56" s="147">
        <v>3655700</v>
      </c>
      <c r="J56" s="147">
        <v>3450635</v>
      </c>
      <c r="K56" s="147">
        <v>3061010</v>
      </c>
      <c r="L56" s="147">
        <v>2757846</v>
      </c>
      <c r="M56" s="147">
        <v>2668090</v>
      </c>
      <c r="N56" s="147">
        <v>2668090</v>
      </c>
      <c r="O56" s="147">
        <v>2544262</v>
      </c>
      <c r="P56" s="147">
        <v>2495295</v>
      </c>
      <c r="Q56" s="147">
        <v>2343511</v>
      </c>
      <c r="R56" s="147">
        <v>2388485</v>
      </c>
      <c r="S56" s="147">
        <v>2060218</v>
      </c>
      <c r="T56" s="147">
        <v>1878215</v>
      </c>
      <c r="U56" s="147">
        <v>1639109</v>
      </c>
      <c r="V56" s="148">
        <v>1466972</v>
      </c>
      <c r="W56" s="147">
        <v>832042</v>
      </c>
      <c r="X56" s="147">
        <v>558585</v>
      </c>
      <c r="Y56" s="147">
        <v>324130</v>
      </c>
      <c r="Z56" s="147">
        <v>253830</v>
      </c>
      <c r="AA56" s="147">
        <v>204707</v>
      </c>
      <c r="AB56" s="147">
        <v>132770</v>
      </c>
    </row>
    <row r="57" spans="2:28" x14ac:dyDescent="0.35">
      <c r="B57" s="146" t="s">
        <v>215</v>
      </c>
      <c r="C57" s="147">
        <v>521793</v>
      </c>
      <c r="D57" s="147">
        <v>521793</v>
      </c>
      <c r="E57" s="147">
        <v>632661</v>
      </c>
      <c r="F57" s="147">
        <v>573462</v>
      </c>
      <c r="G57" s="147">
        <v>568812</v>
      </c>
      <c r="H57" s="147">
        <v>568086</v>
      </c>
      <c r="I57" s="147">
        <v>568086</v>
      </c>
      <c r="J57" s="147">
        <v>495137</v>
      </c>
      <c r="K57" s="147">
        <v>490847</v>
      </c>
      <c r="L57" s="147">
        <v>435679</v>
      </c>
      <c r="M57" s="147">
        <v>378427</v>
      </c>
      <c r="N57" s="147">
        <v>378427</v>
      </c>
      <c r="O57" s="147">
        <v>360703</v>
      </c>
      <c r="P57" s="147">
        <v>397131</v>
      </c>
      <c r="Q57" s="147">
        <v>395989</v>
      </c>
      <c r="R57" s="147">
        <v>398915</v>
      </c>
      <c r="S57" s="147">
        <v>375344</v>
      </c>
      <c r="T57" s="147">
        <v>372800</v>
      </c>
      <c r="U57" s="147">
        <v>368161</v>
      </c>
      <c r="V57" s="148">
        <v>396910</v>
      </c>
      <c r="W57" s="147">
        <v>416408</v>
      </c>
      <c r="X57" s="147">
        <v>472326</v>
      </c>
      <c r="Y57" s="147">
        <v>546792</v>
      </c>
      <c r="Z57" s="147">
        <v>529034</v>
      </c>
      <c r="AA57" s="147">
        <v>260932</v>
      </c>
      <c r="AB57" s="147">
        <v>290594</v>
      </c>
    </row>
    <row r="58" spans="2:28" x14ac:dyDescent="0.35">
      <c r="B58" s="146" t="s">
        <v>218</v>
      </c>
      <c r="C58" s="147">
        <v>24866</v>
      </c>
      <c r="D58" s="147">
        <v>24866</v>
      </c>
      <c r="E58" s="147">
        <v>25483</v>
      </c>
      <c r="F58" s="147">
        <v>23985</v>
      </c>
      <c r="G58" s="147">
        <v>22775</v>
      </c>
      <c r="H58" s="147">
        <v>21072</v>
      </c>
      <c r="I58" s="147">
        <v>21072</v>
      </c>
      <c r="J58" s="147">
        <v>18525</v>
      </c>
      <c r="K58" s="147">
        <v>17517</v>
      </c>
      <c r="L58" s="147">
        <v>16745</v>
      </c>
      <c r="M58" s="147">
        <v>16303</v>
      </c>
      <c r="N58" s="147">
        <v>16303</v>
      </c>
      <c r="O58" s="147">
        <v>19576</v>
      </c>
      <c r="P58" s="147">
        <v>16056</v>
      </c>
      <c r="Q58" s="147">
        <v>16772</v>
      </c>
      <c r="R58" s="147">
        <v>13887</v>
      </c>
      <c r="S58" s="147">
        <v>12051</v>
      </c>
      <c r="T58" s="147">
        <v>11530</v>
      </c>
      <c r="U58" s="147">
        <v>15347</v>
      </c>
      <c r="V58" s="148">
        <v>19302</v>
      </c>
      <c r="W58" s="147">
        <v>34813</v>
      </c>
      <c r="X58" s="147">
        <v>43065</v>
      </c>
      <c r="Y58" s="147">
        <v>29190</v>
      </c>
      <c r="Z58" s="147">
        <v>24568</v>
      </c>
      <c r="AA58" s="147">
        <v>21537</v>
      </c>
      <c r="AB58" s="147">
        <v>15823</v>
      </c>
    </row>
    <row r="59" spans="2:28" x14ac:dyDescent="0.35">
      <c r="B59" s="146" t="s">
        <v>221</v>
      </c>
      <c r="C59" s="147">
        <v>39280</v>
      </c>
      <c r="D59" s="147">
        <v>39280</v>
      </c>
      <c r="E59" s="147">
        <v>39713</v>
      </c>
      <c r="F59" s="147">
        <v>38316</v>
      </c>
      <c r="G59" s="147">
        <v>37254</v>
      </c>
      <c r="H59" s="147">
        <v>34319</v>
      </c>
      <c r="I59" s="147">
        <v>34319</v>
      </c>
      <c r="J59" s="147">
        <v>27141</v>
      </c>
      <c r="K59" s="147">
        <v>28554</v>
      </c>
      <c r="L59" s="147">
        <v>29712</v>
      </c>
      <c r="M59" s="147">
        <v>27657</v>
      </c>
      <c r="N59" s="147">
        <v>27657</v>
      </c>
      <c r="O59" s="147">
        <v>27705</v>
      </c>
      <c r="P59" s="147">
        <v>29713</v>
      </c>
      <c r="Q59" s="147">
        <v>27814</v>
      </c>
      <c r="R59" s="147">
        <v>26198</v>
      </c>
      <c r="S59" s="147">
        <v>24008</v>
      </c>
      <c r="T59" s="147">
        <v>29142</v>
      </c>
      <c r="U59" s="147">
        <v>33747</v>
      </c>
      <c r="V59" s="148">
        <v>31308</v>
      </c>
      <c r="W59" s="147">
        <v>32731</v>
      </c>
      <c r="X59" s="147">
        <v>35999</v>
      </c>
      <c r="Y59" s="147">
        <v>35595</v>
      </c>
      <c r="Z59" s="147">
        <v>27251</v>
      </c>
      <c r="AA59" s="147">
        <v>14629</v>
      </c>
      <c r="AB59" s="147">
        <v>9100</v>
      </c>
    </row>
    <row r="60" spans="2:28" x14ac:dyDescent="0.35">
      <c r="B60" s="146" t="s">
        <v>216</v>
      </c>
      <c r="C60" s="147">
        <v>68696</v>
      </c>
      <c r="D60" s="147">
        <v>68696</v>
      </c>
      <c r="E60" s="147">
        <v>81805</v>
      </c>
      <c r="F60" s="147">
        <v>81805</v>
      </c>
      <c r="G60" s="147">
        <v>81806</v>
      </c>
      <c r="H60" s="147">
        <v>69157</v>
      </c>
      <c r="I60" s="147">
        <v>69157</v>
      </c>
      <c r="J60" s="147">
        <v>69155</v>
      </c>
      <c r="K60" s="147">
        <v>69157</v>
      </c>
      <c r="L60" s="147">
        <v>69157</v>
      </c>
      <c r="M60" s="147">
        <v>69157</v>
      </c>
      <c r="N60" s="147">
        <v>69157</v>
      </c>
      <c r="O60" s="147">
        <v>95392</v>
      </c>
      <c r="P60" s="147">
        <v>95392</v>
      </c>
      <c r="Q60" s="147">
        <v>95392</v>
      </c>
      <c r="R60" s="147">
        <v>97392</v>
      </c>
      <c r="S60" s="147">
        <v>97392</v>
      </c>
      <c r="T60" s="147">
        <v>34844</v>
      </c>
      <c r="U60" s="147">
        <v>43403</v>
      </c>
      <c r="V60" s="148">
        <v>26000</v>
      </c>
      <c r="W60" s="147">
        <v>26000</v>
      </c>
      <c r="X60" s="147">
        <v>26000</v>
      </c>
      <c r="Y60" s="147">
        <v>26000</v>
      </c>
      <c r="Z60" s="147">
        <v>26000</v>
      </c>
      <c r="AA60" s="147">
        <v>0</v>
      </c>
      <c r="AB60" s="147">
        <v>20386</v>
      </c>
    </row>
    <row r="61" spans="2:28" x14ac:dyDescent="0.35">
      <c r="B61" s="146" t="s">
        <v>222</v>
      </c>
      <c r="C61" s="147">
        <v>0</v>
      </c>
      <c r="D61" s="147">
        <v>0</v>
      </c>
      <c r="E61" s="147">
        <v>0</v>
      </c>
      <c r="F61" s="147">
        <v>0</v>
      </c>
      <c r="G61" s="147">
        <v>0</v>
      </c>
      <c r="H61" s="147">
        <v>0</v>
      </c>
      <c r="I61" s="147">
        <v>0</v>
      </c>
      <c r="J61" s="147">
        <v>0</v>
      </c>
      <c r="K61" s="147">
        <v>0</v>
      </c>
      <c r="L61" s="147">
        <v>0</v>
      </c>
      <c r="M61" s="147">
        <v>0</v>
      </c>
      <c r="N61" s="147">
        <v>0</v>
      </c>
      <c r="O61" s="147">
        <v>0</v>
      </c>
      <c r="P61" s="147">
        <v>0</v>
      </c>
      <c r="Q61" s="147">
        <v>0</v>
      </c>
      <c r="R61" s="147">
        <v>0</v>
      </c>
      <c r="S61" s="147">
        <v>0</v>
      </c>
      <c r="T61" s="147">
        <v>0</v>
      </c>
      <c r="U61" s="147">
        <v>0</v>
      </c>
      <c r="V61" s="147">
        <v>0</v>
      </c>
      <c r="W61" s="147">
        <v>0</v>
      </c>
      <c r="X61" s="147">
        <v>0</v>
      </c>
      <c r="Y61" s="147">
        <v>18</v>
      </c>
      <c r="Z61" s="147">
        <v>0</v>
      </c>
      <c r="AA61" s="147">
        <v>0</v>
      </c>
      <c r="AB61" s="147">
        <v>0</v>
      </c>
    </row>
    <row r="62" spans="2:28" s="145" customFormat="1" x14ac:dyDescent="0.35">
      <c r="B62" s="143" t="s">
        <v>223</v>
      </c>
      <c r="C62" s="144">
        <v>1916621</v>
      </c>
      <c r="D62" s="144">
        <v>1916621</v>
      </c>
      <c r="E62" s="144">
        <v>2445693</v>
      </c>
      <c r="F62" s="144">
        <v>2203628</v>
      </c>
      <c r="G62" s="144">
        <v>2178391</v>
      </c>
      <c r="H62" s="144">
        <v>2015457</v>
      </c>
      <c r="I62" s="144">
        <v>2015457</v>
      </c>
      <c r="J62" s="144">
        <v>2058528</v>
      </c>
      <c r="K62" s="144">
        <v>2252491</v>
      </c>
      <c r="L62" s="144">
        <v>2105012</v>
      </c>
      <c r="M62" s="144">
        <v>1953405</v>
      </c>
      <c r="N62" s="144">
        <v>1953405</v>
      </c>
      <c r="O62" s="144">
        <v>1934466</v>
      </c>
      <c r="P62" s="144">
        <v>1456031</v>
      </c>
      <c r="Q62" s="144">
        <v>1350290</v>
      </c>
      <c r="R62" s="144">
        <v>1289981</v>
      </c>
      <c r="S62" s="144">
        <v>1278871</v>
      </c>
      <c r="T62" s="144">
        <v>1218207</v>
      </c>
      <c r="U62" s="144">
        <v>1256927</v>
      </c>
      <c r="V62" s="144">
        <v>1282691</v>
      </c>
      <c r="W62" s="144">
        <v>1454964</v>
      </c>
      <c r="X62" s="144">
        <v>1594183</v>
      </c>
      <c r="Y62" s="144">
        <v>1645541</v>
      </c>
      <c r="Z62" s="144">
        <v>1616036</v>
      </c>
      <c r="AA62" s="144">
        <v>1472828</v>
      </c>
      <c r="AB62" s="144">
        <v>1327992</v>
      </c>
    </row>
    <row r="63" spans="2:28" x14ac:dyDescent="0.35">
      <c r="B63" s="146" t="s">
        <v>224</v>
      </c>
      <c r="C63" s="147">
        <v>1181857</v>
      </c>
      <c r="D63" s="147">
        <v>1181857</v>
      </c>
      <c r="E63" s="147">
        <v>1181857</v>
      </c>
      <c r="F63" s="147">
        <v>1181857</v>
      </c>
      <c r="G63" s="147">
        <v>1181857</v>
      </c>
      <c r="H63" s="147">
        <v>1181857</v>
      </c>
      <c r="I63" s="147">
        <v>1181857</v>
      </c>
      <c r="J63" s="147">
        <v>1181857</v>
      </c>
      <c r="K63" s="147">
        <v>1181857</v>
      </c>
      <c r="L63" s="147">
        <v>1181857</v>
      </c>
      <c r="M63" s="147">
        <v>1181857</v>
      </c>
      <c r="N63" s="147">
        <v>1181857</v>
      </c>
      <c r="O63" s="147">
        <v>1181857</v>
      </c>
      <c r="P63" s="147">
        <v>752982</v>
      </c>
      <c r="Q63" s="147">
        <v>752982</v>
      </c>
      <c r="R63" s="147">
        <v>752982</v>
      </c>
      <c r="S63" s="147">
        <v>752982</v>
      </c>
      <c r="T63" s="147">
        <v>752982</v>
      </c>
      <c r="U63" s="147">
        <v>752982</v>
      </c>
      <c r="V63" s="148">
        <v>752982</v>
      </c>
      <c r="W63" s="147">
        <v>752982</v>
      </c>
      <c r="X63" s="147">
        <v>752982</v>
      </c>
      <c r="Y63" s="147">
        <v>752982</v>
      </c>
      <c r="Z63" s="147">
        <v>702982</v>
      </c>
      <c r="AA63" s="147">
        <v>702982</v>
      </c>
      <c r="AB63" s="147">
        <v>497158</v>
      </c>
    </row>
    <row r="64" spans="2:28" x14ac:dyDescent="0.35">
      <c r="B64" s="146" t="s">
        <v>225</v>
      </c>
      <c r="C64" s="147">
        <v>-21994</v>
      </c>
      <c r="D64" s="147">
        <v>-21994</v>
      </c>
      <c r="E64" s="147">
        <v>-21994</v>
      </c>
      <c r="F64" s="147">
        <v>-21994</v>
      </c>
      <c r="G64" s="147">
        <v>-21994</v>
      </c>
      <c r="H64" s="147">
        <v>-21994</v>
      </c>
      <c r="I64" s="147">
        <v>-21994</v>
      </c>
      <c r="J64" s="147">
        <v>-21994</v>
      </c>
      <c r="K64" s="147">
        <v>-21994</v>
      </c>
      <c r="L64" s="147">
        <v>-21994</v>
      </c>
      <c r="M64" s="147">
        <v>-21994</v>
      </c>
      <c r="N64" s="147">
        <v>-21994</v>
      </c>
      <c r="O64" s="147">
        <v>-20766</v>
      </c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</row>
    <row r="65" spans="2:28" x14ac:dyDescent="0.35">
      <c r="B65" s="146" t="s">
        <v>226</v>
      </c>
      <c r="C65" s="147">
        <v>-22571</v>
      </c>
      <c r="D65" s="147">
        <v>-22571</v>
      </c>
      <c r="E65" s="147">
        <v>-8042</v>
      </c>
      <c r="F65" s="147">
        <v>-4065</v>
      </c>
      <c r="G65" s="147">
        <v>-4065</v>
      </c>
      <c r="H65" s="147">
        <v>-9536</v>
      </c>
      <c r="I65" s="147">
        <v>-9536</v>
      </c>
      <c r="J65" s="147">
        <v>-2301</v>
      </c>
      <c r="K65" s="147">
        <v>-2301</v>
      </c>
      <c r="L65" s="147">
        <v>-2301</v>
      </c>
      <c r="M65" s="147">
        <v>-7748</v>
      </c>
      <c r="N65" s="147">
        <v>-7748</v>
      </c>
      <c r="O65" s="147">
        <v>-7748</v>
      </c>
      <c r="P65" s="147">
        <v>-7748</v>
      </c>
      <c r="Q65" s="147">
        <v>-9749</v>
      </c>
      <c r="R65" s="147">
        <v>-9749</v>
      </c>
      <c r="S65" s="147">
        <v>-7360</v>
      </c>
      <c r="T65" s="147">
        <v>-52129</v>
      </c>
      <c r="U65" s="147">
        <v>-32076</v>
      </c>
      <c r="V65" s="148">
        <v>-37531</v>
      </c>
      <c r="W65" s="147">
        <v>-40793</v>
      </c>
      <c r="X65" s="147">
        <v>-41511</v>
      </c>
      <c r="Y65" s="147">
        <v>-41791</v>
      </c>
      <c r="Z65" s="147">
        <v>-23118</v>
      </c>
      <c r="AA65" s="147">
        <v>-28137</v>
      </c>
      <c r="AB65" s="147">
        <v>-12659</v>
      </c>
    </row>
    <row r="66" spans="2:28" x14ac:dyDescent="0.35">
      <c r="B66" s="146" t="s">
        <v>227</v>
      </c>
      <c r="C66" s="147">
        <v>192734</v>
      </c>
      <c r="D66" s="147">
        <v>192734</v>
      </c>
      <c r="E66" s="147">
        <v>185857</v>
      </c>
      <c r="F66" s="147">
        <v>185540</v>
      </c>
      <c r="G66" s="147">
        <v>182348</v>
      </c>
      <c r="H66" s="147">
        <v>185178</v>
      </c>
      <c r="I66" s="147">
        <v>185178</v>
      </c>
      <c r="J66" s="147">
        <v>151029</v>
      </c>
      <c r="K66" s="147">
        <v>148551</v>
      </c>
      <c r="L66" s="147">
        <v>147249</v>
      </c>
      <c r="M66" s="147">
        <v>184240</v>
      </c>
      <c r="N66" s="147">
        <v>184240</v>
      </c>
      <c r="O66" s="147">
        <v>150757</v>
      </c>
      <c r="P66" s="147">
        <v>149179</v>
      </c>
      <c r="Q66" s="147">
        <v>149880</v>
      </c>
      <c r="R66" s="147">
        <v>148323</v>
      </c>
      <c r="S66" s="147">
        <v>150102</v>
      </c>
      <c r="T66" s="147">
        <v>193511</v>
      </c>
      <c r="U66" s="147">
        <v>194989</v>
      </c>
      <c r="V66" s="148">
        <v>196714</v>
      </c>
      <c r="W66" s="147">
        <v>193184</v>
      </c>
      <c r="X66" s="147">
        <v>189339</v>
      </c>
      <c r="Y66" s="147">
        <v>189115</v>
      </c>
      <c r="Z66" s="147">
        <v>212898</v>
      </c>
      <c r="AA66" s="147">
        <v>229111</v>
      </c>
      <c r="AB66" s="147">
        <v>445767</v>
      </c>
    </row>
    <row r="67" spans="2:28" x14ac:dyDescent="0.35">
      <c r="B67" s="146" t="s">
        <v>228</v>
      </c>
      <c r="C67" s="147">
        <v>0</v>
      </c>
      <c r="D67" s="147">
        <v>0</v>
      </c>
      <c r="E67" s="147">
        <v>0</v>
      </c>
      <c r="F67" s="147">
        <v>0</v>
      </c>
      <c r="G67" s="147">
        <v>0</v>
      </c>
      <c r="H67" s="147">
        <v>0</v>
      </c>
      <c r="I67" s="147">
        <v>0</v>
      </c>
      <c r="J67" s="147">
        <v>0</v>
      </c>
      <c r="K67" s="147">
        <v>0</v>
      </c>
      <c r="L67" s="147">
        <v>0</v>
      </c>
      <c r="M67" s="147">
        <v>0</v>
      </c>
      <c r="N67" s="147">
        <v>0</v>
      </c>
      <c r="O67" s="147">
        <v>0</v>
      </c>
      <c r="P67" s="147">
        <v>0</v>
      </c>
      <c r="Q67" s="147">
        <v>0</v>
      </c>
      <c r="R67" s="147">
        <v>0</v>
      </c>
      <c r="S67" s="147">
        <v>0</v>
      </c>
      <c r="T67" s="147">
        <v>0</v>
      </c>
      <c r="U67" s="147">
        <v>0</v>
      </c>
      <c r="V67" s="148">
        <v>0</v>
      </c>
      <c r="W67" s="147">
        <v>0</v>
      </c>
      <c r="X67" s="147">
        <v>0</v>
      </c>
      <c r="Y67" s="147">
        <v>0</v>
      </c>
      <c r="Z67" s="147">
        <v>0</v>
      </c>
      <c r="AA67" s="147">
        <v>0</v>
      </c>
      <c r="AB67" s="147">
        <v>0</v>
      </c>
    </row>
    <row r="68" spans="2:28" x14ac:dyDescent="0.35">
      <c r="B68" s="146" t="s">
        <v>229</v>
      </c>
      <c r="C68" s="147">
        <v>238956</v>
      </c>
      <c r="D68" s="147">
        <v>238956</v>
      </c>
      <c r="E68" s="147">
        <v>167444</v>
      </c>
      <c r="F68" s="147">
        <v>151699</v>
      </c>
      <c r="G68" s="147">
        <v>-33268</v>
      </c>
      <c r="H68" s="147">
        <v>-31759</v>
      </c>
      <c r="I68" s="147">
        <v>-31759</v>
      </c>
      <c r="J68" s="147">
        <v>0</v>
      </c>
      <c r="K68" s="147">
        <v>0</v>
      </c>
      <c r="L68" s="147">
        <v>0</v>
      </c>
      <c r="M68" s="147">
        <v>-31760</v>
      </c>
      <c r="N68" s="147">
        <v>-31760</v>
      </c>
      <c r="O68" s="147">
        <v>0</v>
      </c>
      <c r="P68" s="147">
        <v>0</v>
      </c>
      <c r="Q68" s="147">
        <v>0</v>
      </c>
      <c r="R68" s="147">
        <v>0</v>
      </c>
      <c r="S68" s="147">
        <v>0</v>
      </c>
      <c r="T68" s="147">
        <v>0</v>
      </c>
      <c r="U68" s="147">
        <v>0</v>
      </c>
      <c r="V68" s="148">
        <v>0</v>
      </c>
      <c r="W68" s="147">
        <v>0</v>
      </c>
      <c r="X68" s="147">
        <v>0</v>
      </c>
      <c r="Y68" s="147">
        <v>0</v>
      </c>
      <c r="Z68" s="147">
        <v>0</v>
      </c>
      <c r="AA68" s="147">
        <v>0</v>
      </c>
      <c r="AB68" s="147">
        <v>0</v>
      </c>
    </row>
    <row r="69" spans="2:28" x14ac:dyDescent="0.35">
      <c r="B69" s="146" t="s">
        <v>230</v>
      </c>
      <c r="C69" s="147">
        <v>347639</v>
      </c>
      <c r="D69" s="147">
        <v>347639</v>
      </c>
      <c r="E69" s="147">
        <v>362661</v>
      </c>
      <c r="F69" s="147">
        <v>362333</v>
      </c>
      <c r="G69" s="147">
        <v>708997</v>
      </c>
      <c r="H69" s="147">
        <v>711711</v>
      </c>
      <c r="I69" s="147">
        <v>711711</v>
      </c>
      <c r="J69" s="147">
        <v>649936</v>
      </c>
      <c r="K69" s="147">
        <v>649925</v>
      </c>
      <c r="L69" s="147">
        <v>649917</v>
      </c>
      <c r="M69" s="147">
        <v>648810</v>
      </c>
      <c r="N69" s="147">
        <v>648810</v>
      </c>
      <c r="O69" s="147">
        <v>398412</v>
      </c>
      <c r="P69" s="147">
        <v>398425</v>
      </c>
      <c r="Q69" s="147">
        <v>398423</v>
      </c>
      <c r="R69" s="147">
        <v>398425</v>
      </c>
      <c r="S69" s="147">
        <v>383147</v>
      </c>
      <c r="T69" s="147">
        <v>323843</v>
      </c>
      <c r="U69" s="147">
        <v>341032</v>
      </c>
      <c r="V69" s="147">
        <v>370526</v>
      </c>
      <c r="W69" s="147">
        <v>549591</v>
      </c>
      <c r="X69" s="147">
        <v>693373</v>
      </c>
      <c r="Y69" s="147">
        <v>745235</v>
      </c>
      <c r="Z69" s="147">
        <v>711584</v>
      </c>
      <c r="AA69" s="147">
        <v>568872</v>
      </c>
      <c r="AB69" s="147">
        <v>397726</v>
      </c>
    </row>
    <row r="70" spans="2:28" x14ac:dyDescent="0.35">
      <c r="B70" s="146" t="s">
        <v>231</v>
      </c>
      <c r="C70" s="147">
        <v>0</v>
      </c>
      <c r="D70" s="147">
        <v>0</v>
      </c>
      <c r="E70" s="147">
        <v>0</v>
      </c>
      <c r="F70" s="147">
        <v>0</v>
      </c>
      <c r="G70" s="147">
        <v>0</v>
      </c>
      <c r="H70" s="147">
        <v>0</v>
      </c>
      <c r="I70" s="147">
        <v>0</v>
      </c>
      <c r="J70" s="147">
        <v>0</v>
      </c>
      <c r="K70" s="147">
        <v>0</v>
      </c>
      <c r="L70" s="147">
        <v>0</v>
      </c>
      <c r="M70" s="147">
        <v>0</v>
      </c>
      <c r="N70" s="147">
        <v>0</v>
      </c>
      <c r="O70" s="147">
        <v>0</v>
      </c>
      <c r="P70" s="147">
        <v>0</v>
      </c>
      <c r="Q70" s="147">
        <v>0</v>
      </c>
      <c r="R70" s="147">
        <v>0</v>
      </c>
      <c r="S70" s="147">
        <v>0</v>
      </c>
      <c r="T70" s="147">
        <v>0</v>
      </c>
      <c r="U70" s="147">
        <v>0</v>
      </c>
      <c r="V70" s="148">
        <v>0</v>
      </c>
      <c r="W70" s="147">
        <v>0</v>
      </c>
      <c r="X70" s="147">
        <v>0</v>
      </c>
      <c r="Y70" s="147">
        <v>0</v>
      </c>
      <c r="Z70" s="147">
        <v>11690</v>
      </c>
      <c r="AA70" s="147">
        <v>0</v>
      </c>
      <c r="AB70" s="147">
        <v>0</v>
      </c>
    </row>
    <row r="71" spans="2:28" x14ac:dyDescent="0.35">
      <c r="B71" s="146" t="s">
        <v>232</v>
      </c>
      <c r="C71" s="147">
        <v>0</v>
      </c>
      <c r="D71" s="147">
        <v>0</v>
      </c>
      <c r="E71" s="147">
        <v>577910</v>
      </c>
      <c r="F71" s="147">
        <v>348258</v>
      </c>
      <c r="G71" s="147">
        <v>164516</v>
      </c>
      <c r="H71" s="147">
        <v>0</v>
      </c>
      <c r="I71" s="147">
        <v>0</v>
      </c>
      <c r="J71" s="147">
        <v>100001</v>
      </c>
      <c r="K71" s="147">
        <v>296453</v>
      </c>
      <c r="L71" s="147">
        <v>150284</v>
      </c>
      <c r="M71" s="147">
        <v>0</v>
      </c>
      <c r="N71" s="147">
        <v>0</v>
      </c>
      <c r="O71" s="147">
        <v>231954</v>
      </c>
      <c r="P71" s="147">
        <v>163193</v>
      </c>
      <c r="Q71" s="147">
        <v>58754</v>
      </c>
      <c r="R71" s="147">
        <v>0</v>
      </c>
      <c r="S71" s="147">
        <v>0</v>
      </c>
      <c r="T71" s="147">
        <v>0</v>
      </c>
      <c r="U71" s="147">
        <v>0</v>
      </c>
      <c r="V71" s="148">
        <v>0</v>
      </c>
      <c r="W71" s="147">
        <v>0</v>
      </c>
      <c r="X71" s="147">
        <v>0</v>
      </c>
      <c r="Y71" s="147">
        <v>0</v>
      </c>
      <c r="Z71" s="147">
        <v>0</v>
      </c>
      <c r="AA71" s="147">
        <v>0</v>
      </c>
      <c r="AB71" s="147">
        <v>0</v>
      </c>
    </row>
    <row r="72" spans="2:28" x14ac:dyDescent="0.35">
      <c r="B72" s="149" t="s">
        <v>233</v>
      </c>
      <c r="C72" s="147">
        <v>403530</v>
      </c>
      <c r="D72" s="147">
        <v>403530</v>
      </c>
      <c r="E72" s="147">
        <v>274489</v>
      </c>
      <c r="F72" s="147">
        <v>267022</v>
      </c>
      <c r="G72" s="147">
        <v>188319</v>
      </c>
      <c r="H72" s="147">
        <v>208294</v>
      </c>
      <c r="I72" s="147">
        <v>208294</v>
      </c>
      <c r="J72" s="147">
        <v>186929</v>
      </c>
      <c r="K72" s="147">
        <v>186075</v>
      </c>
      <c r="L72" s="147">
        <v>166217</v>
      </c>
      <c r="M72" s="147">
        <v>157181</v>
      </c>
      <c r="N72" s="147">
        <v>157181</v>
      </c>
      <c r="O72" s="147">
        <v>159045</v>
      </c>
      <c r="P72" s="147">
        <v>154579</v>
      </c>
      <c r="Q72" s="147">
        <v>160701</v>
      </c>
      <c r="R72" s="147">
        <v>159714</v>
      </c>
      <c r="S72" s="147">
        <v>155586</v>
      </c>
      <c r="T72" s="147">
        <v>112666</v>
      </c>
      <c r="U72" s="147">
        <v>112417</v>
      </c>
      <c r="V72" s="148">
        <v>110585</v>
      </c>
      <c r="W72" s="147">
        <v>149351</v>
      </c>
      <c r="X72" s="147">
        <v>153235</v>
      </c>
      <c r="Y72" s="147">
        <v>131944</v>
      </c>
      <c r="Z72" s="147">
        <v>119495</v>
      </c>
      <c r="AA72" s="147">
        <v>128603</v>
      </c>
      <c r="AB72" s="147">
        <v>187315</v>
      </c>
    </row>
    <row r="73" spans="2:28" s="145" customFormat="1" x14ac:dyDescent="0.35">
      <c r="B73" s="143" t="s">
        <v>234</v>
      </c>
      <c r="C73" s="144">
        <v>13219635</v>
      </c>
      <c r="D73" s="144">
        <v>13219635</v>
      </c>
      <c r="E73" s="144">
        <v>12415734</v>
      </c>
      <c r="F73" s="144">
        <v>11566858</v>
      </c>
      <c r="G73" s="144">
        <v>10612250</v>
      </c>
      <c r="H73" s="144">
        <v>10067406</v>
      </c>
      <c r="I73" s="144">
        <v>10067406</v>
      </c>
      <c r="J73" s="144">
        <v>9521012.2936400007</v>
      </c>
      <c r="K73" s="144">
        <v>8800828</v>
      </c>
      <c r="L73" s="144">
        <v>7877956</v>
      </c>
      <c r="M73" s="144">
        <v>7571598</v>
      </c>
      <c r="N73" s="144">
        <v>7571598</v>
      </c>
      <c r="O73" s="144">
        <v>7189702</v>
      </c>
      <c r="P73" s="144">
        <v>6806671</v>
      </c>
      <c r="Q73" s="144">
        <v>6482026</v>
      </c>
      <c r="R73" s="144">
        <v>6489415</v>
      </c>
      <c r="S73" s="144">
        <v>5655296</v>
      </c>
      <c r="T73" s="144">
        <v>5092284</v>
      </c>
      <c r="U73" s="144">
        <v>4654716</v>
      </c>
      <c r="V73" s="144">
        <v>4651685</v>
      </c>
      <c r="W73" s="144">
        <v>4141764</v>
      </c>
      <c r="X73" s="144">
        <v>4089767</v>
      </c>
      <c r="Y73" s="144">
        <v>3887452</v>
      </c>
      <c r="Z73" s="144">
        <v>3955520</v>
      </c>
      <c r="AA73" s="144">
        <v>3433656</v>
      </c>
      <c r="AB73" s="144">
        <v>3181874</v>
      </c>
    </row>
    <row r="74" spans="2:28" x14ac:dyDescent="0.35">
      <c r="C74" s="147"/>
      <c r="D74" s="147"/>
      <c r="E74" s="147"/>
      <c r="F74" s="147"/>
      <c r="G74" s="147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</row>
    <row r="75" spans="2:28" x14ac:dyDescent="0.35">
      <c r="C75" s="151"/>
      <c r="D75" s="151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</row>
    <row r="76" spans="2:28" x14ac:dyDescent="0.35">
      <c r="B76" s="153" t="s">
        <v>235</v>
      </c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3"/>
      <c r="O76" s="153"/>
      <c r="P76" s="153"/>
      <c r="Q76" s="153"/>
      <c r="R76" s="154"/>
      <c r="S76" s="154"/>
      <c r="T76" s="154"/>
      <c r="U76" s="154"/>
      <c r="V76" s="154"/>
    </row>
    <row r="79" spans="2:28" x14ac:dyDescent="0.35">
      <c r="B79" s="141" t="s">
        <v>182</v>
      </c>
      <c r="C79" s="142">
        <v>2022</v>
      </c>
      <c r="D79" s="142">
        <v>2023</v>
      </c>
      <c r="E79" s="142">
        <v>2024</v>
      </c>
      <c r="F79" s="142">
        <v>2025</v>
      </c>
    </row>
    <row r="80" spans="2:28" x14ac:dyDescent="0.35">
      <c r="B80" s="143" t="s">
        <v>183</v>
      </c>
      <c r="C80" s="144">
        <v>2777103</v>
      </c>
      <c r="D80" s="144">
        <v>3583354.7981300373</v>
      </c>
      <c r="E80" s="144">
        <v>4571386</v>
      </c>
      <c r="F80" s="144">
        <v>6128834</v>
      </c>
    </row>
    <row r="81" spans="2:6" x14ac:dyDescent="0.35">
      <c r="B81" s="146" t="s">
        <v>184</v>
      </c>
      <c r="C81" s="147">
        <v>733124</v>
      </c>
      <c r="D81" s="147">
        <v>633978</v>
      </c>
      <c r="E81" s="147">
        <v>792054</v>
      </c>
      <c r="F81" s="147">
        <v>1199343</v>
      </c>
    </row>
    <row r="82" spans="2:6" x14ac:dyDescent="0.35">
      <c r="B82" s="146" t="s">
        <v>185</v>
      </c>
      <c r="C82" s="147">
        <v>454248</v>
      </c>
      <c r="D82" s="147">
        <v>693193</v>
      </c>
      <c r="E82" s="147">
        <v>823127</v>
      </c>
      <c r="F82" s="147">
        <v>983456</v>
      </c>
    </row>
    <row r="83" spans="2:6" x14ac:dyDescent="0.35">
      <c r="B83" s="146" t="s">
        <v>186</v>
      </c>
      <c r="C83" s="147">
        <v>363372</v>
      </c>
      <c r="D83" s="147">
        <v>521946.46011000033</v>
      </c>
      <c r="E83" s="147">
        <v>992821</v>
      </c>
      <c r="F83" s="147">
        <v>1438700</v>
      </c>
    </row>
    <row r="84" spans="2:6" x14ac:dyDescent="0.35">
      <c r="B84" s="146" t="s">
        <v>187</v>
      </c>
      <c r="C84" s="147">
        <v>960135</v>
      </c>
      <c r="D84" s="147">
        <v>1420698.947690038</v>
      </c>
      <c r="E84" s="147">
        <v>1643111</v>
      </c>
      <c r="F84" s="147">
        <v>2086835</v>
      </c>
    </row>
    <row r="85" spans="2:6" x14ac:dyDescent="0.35">
      <c r="B85" s="146" t="s">
        <v>188</v>
      </c>
      <c r="C85" s="147">
        <v>0</v>
      </c>
      <c r="D85" s="147">
        <v>0</v>
      </c>
      <c r="E85" s="147">
        <v>0</v>
      </c>
      <c r="F85" s="147">
        <v>0</v>
      </c>
    </row>
    <row r="86" spans="2:6" x14ac:dyDescent="0.35">
      <c r="B86" s="146" t="s">
        <v>189</v>
      </c>
      <c r="C86" s="147">
        <v>64551</v>
      </c>
      <c r="D86" s="147">
        <v>67184.390329998932</v>
      </c>
      <c r="E86" s="147">
        <v>71054</v>
      </c>
      <c r="F86" s="147">
        <v>92922</v>
      </c>
    </row>
    <row r="87" spans="2:6" x14ac:dyDescent="0.35">
      <c r="B87" s="146" t="s">
        <v>190</v>
      </c>
      <c r="C87" s="147">
        <v>23122</v>
      </c>
      <c r="D87" s="147">
        <v>25753</v>
      </c>
      <c r="E87" s="147">
        <v>37062</v>
      </c>
      <c r="F87" s="147">
        <v>43855</v>
      </c>
    </row>
    <row r="88" spans="2:6" x14ac:dyDescent="0.35">
      <c r="B88" s="146" t="s">
        <v>191</v>
      </c>
      <c r="C88" s="147">
        <v>0</v>
      </c>
      <c r="D88" s="147">
        <v>0</v>
      </c>
      <c r="E88" s="147">
        <v>0</v>
      </c>
      <c r="F88" s="147">
        <v>0</v>
      </c>
    </row>
    <row r="89" spans="2:6" x14ac:dyDescent="0.35">
      <c r="B89" s="146" t="s">
        <v>192</v>
      </c>
      <c r="C89" s="147">
        <v>501</v>
      </c>
      <c r="D89" s="147">
        <v>0</v>
      </c>
      <c r="E89" s="147">
        <v>5833</v>
      </c>
      <c r="F89" s="147">
        <v>1718</v>
      </c>
    </row>
    <row r="90" spans="2:6" x14ac:dyDescent="0.35">
      <c r="B90" s="146" t="s">
        <v>193</v>
      </c>
      <c r="C90" s="147">
        <v>178050</v>
      </c>
      <c r="D90" s="147">
        <v>220602</v>
      </c>
      <c r="E90" s="147">
        <v>206324</v>
      </c>
      <c r="F90" s="147">
        <v>282005</v>
      </c>
    </row>
    <row r="91" spans="2:6" x14ac:dyDescent="0.35">
      <c r="B91" s="143" t="s">
        <v>194</v>
      </c>
      <c r="C91" s="144">
        <v>3712312</v>
      </c>
      <c r="D91" s="144">
        <v>3988242.95138</v>
      </c>
      <c r="E91" s="144">
        <v>5496020</v>
      </c>
      <c r="F91" s="144">
        <v>7090801</v>
      </c>
    </row>
    <row r="92" spans="2:6" x14ac:dyDescent="0.35">
      <c r="B92" s="143" t="s">
        <v>195</v>
      </c>
      <c r="C92" s="144">
        <v>3407532</v>
      </c>
      <c r="D92" s="144">
        <v>3671815.95138</v>
      </c>
      <c r="E92" s="144">
        <v>5028708</v>
      </c>
      <c r="F92" s="144">
        <v>6673444</v>
      </c>
    </row>
    <row r="93" spans="2:6" x14ac:dyDescent="0.35">
      <c r="B93" s="146" t="s">
        <v>185</v>
      </c>
      <c r="C93" s="147"/>
      <c r="D93" s="147"/>
      <c r="E93" s="147">
        <v>99714</v>
      </c>
      <c r="F93" s="147">
        <v>230360</v>
      </c>
    </row>
    <row r="94" spans="2:6" x14ac:dyDescent="0.35">
      <c r="B94" s="146" t="s">
        <v>186</v>
      </c>
      <c r="C94" s="147">
        <v>314813</v>
      </c>
      <c r="D94" s="147">
        <v>464034.95137999981</v>
      </c>
      <c r="E94" s="147">
        <v>846706</v>
      </c>
      <c r="F94" s="147">
        <v>1389073</v>
      </c>
    </row>
    <row r="95" spans="2:6" x14ac:dyDescent="0.35">
      <c r="B95" s="146" t="s">
        <v>196</v>
      </c>
      <c r="C95" s="147">
        <v>3018121</v>
      </c>
      <c r="D95" s="147">
        <v>3041218</v>
      </c>
      <c r="E95" s="147">
        <v>3888979</v>
      </c>
      <c r="F95" s="147">
        <v>4864673</v>
      </c>
    </row>
    <row r="96" spans="2:6" x14ac:dyDescent="0.35">
      <c r="B96" s="146" t="s">
        <v>197</v>
      </c>
      <c r="C96" s="147">
        <v>17367</v>
      </c>
      <c r="D96" s="147">
        <v>18111</v>
      </c>
      <c r="E96" s="147">
        <v>21555</v>
      </c>
      <c r="F96" s="147">
        <v>24277</v>
      </c>
    </row>
    <row r="97" spans="2:6" x14ac:dyDescent="0.35">
      <c r="B97" s="146" t="s">
        <v>189</v>
      </c>
      <c r="C97" s="147">
        <v>0</v>
      </c>
      <c r="D97" s="147">
        <v>0</v>
      </c>
      <c r="E97" s="147">
        <v>0</v>
      </c>
      <c r="F97" s="147">
        <v>0</v>
      </c>
    </row>
    <row r="98" spans="2:6" x14ac:dyDescent="0.35">
      <c r="B98" s="146" t="s">
        <v>190</v>
      </c>
      <c r="C98" s="147">
        <v>6440</v>
      </c>
      <c r="D98" s="147">
        <v>27548</v>
      </c>
      <c r="E98" s="147">
        <v>20611</v>
      </c>
      <c r="F98" s="147">
        <v>11059</v>
      </c>
    </row>
    <row r="99" spans="2:6" x14ac:dyDescent="0.35">
      <c r="B99" s="146" t="s">
        <v>192</v>
      </c>
      <c r="C99" s="147">
        <v>7129</v>
      </c>
      <c r="D99" s="147">
        <v>7630</v>
      </c>
      <c r="E99" s="147">
        <v>7630</v>
      </c>
      <c r="F99" s="147">
        <v>5798</v>
      </c>
    </row>
    <row r="100" spans="2:6" x14ac:dyDescent="0.35">
      <c r="B100" s="146" t="s">
        <v>193</v>
      </c>
      <c r="C100" s="147">
        <v>43662</v>
      </c>
      <c r="D100" s="147">
        <v>113274</v>
      </c>
      <c r="E100" s="147">
        <v>143513</v>
      </c>
      <c r="F100" s="147">
        <v>148204</v>
      </c>
    </row>
    <row r="101" spans="2:6" x14ac:dyDescent="0.35">
      <c r="B101" s="143" t="s">
        <v>198</v>
      </c>
      <c r="C101" s="144">
        <v>304780</v>
      </c>
      <c r="D101" s="144">
        <v>316427</v>
      </c>
      <c r="E101" s="144">
        <v>467312</v>
      </c>
      <c r="F101" s="144">
        <v>417357</v>
      </c>
    </row>
    <row r="102" spans="2:6" x14ac:dyDescent="0.35">
      <c r="B102" s="146" t="s">
        <v>199</v>
      </c>
      <c r="C102" s="147">
        <v>143717</v>
      </c>
      <c r="D102" s="147">
        <v>169375</v>
      </c>
      <c r="E102" s="147">
        <v>212504</v>
      </c>
      <c r="F102" s="147">
        <v>124135</v>
      </c>
    </row>
    <row r="103" spans="2:6" x14ac:dyDescent="0.35">
      <c r="B103" s="146" t="s">
        <v>200</v>
      </c>
      <c r="C103" s="147">
        <v>140115</v>
      </c>
      <c r="D103" s="147">
        <v>111474</v>
      </c>
      <c r="E103" s="147">
        <v>220762</v>
      </c>
      <c r="F103" s="147">
        <v>260159</v>
      </c>
    </row>
    <row r="104" spans="2:6" x14ac:dyDescent="0.35">
      <c r="B104" s="146" t="s">
        <v>201</v>
      </c>
      <c r="C104" s="147">
        <v>20948</v>
      </c>
      <c r="D104" s="147">
        <v>35578</v>
      </c>
      <c r="E104" s="147">
        <v>34046</v>
      </c>
      <c r="F104" s="147">
        <v>33063</v>
      </c>
    </row>
    <row r="105" spans="2:6" x14ac:dyDescent="0.35">
      <c r="B105" s="146" t="s">
        <v>202</v>
      </c>
      <c r="C105" s="147">
        <v>0</v>
      </c>
      <c r="D105" s="147">
        <v>0</v>
      </c>
      <c r="E105" s="147">
        <v>0</v>
      </c>
      <c r="F105" s="147">
        <v>0</v>
      </c>
    </row>
    <row r="106" spans="2:6" x14ac:dyDescent="0.35">
      <c r="B106" s="143" t="s">
        <v>203</v>
      </c>
      <c r="C106" s="144">
        <v>6489415</v>
      </c>
      <c r="D106" s="144">
        <v>7571597.7495100368</v>
      </c>
      <c r="E106" s="144">
        <v>10067406</v>
      </c>
      <c r="F106" s="144">
        <v>13219635</v>
      </c>
    </row>
    <row r="107" spans="2:6" x14ac:dyDescent="0.35">
      <c r="B107" s="149"/>
      <c r="C107" s="150"/>
      <c r="D107" s="150"/>
      <c r="E107" s="150"/>
      <c r="F107" s="150"/>
    </row>
    <row r="108" spans="2:6" x14ac:dyDescent="0.35">
      <c r="B108" s="143" t="s">
        <v>204</v>
      </c>
      <c r="C108" s="144">
        <v>918216</v>
      </c>
      <c r="D108" s="144">
        <v>1042766</v>
      </c>
      <c r="E108" s="144">
        <v>1508358</v>
      </c>
      <c r="F108" s="144">
        <v>1621183</v>
      </c>
    </row>
    <row r="109" spans="2:6" x14ac:dyDescent="0.35">
      <c r="B109" s="146" t="s">
        <v>205</v>
      </c>
      <c r="C109" s="147">
        <v>309722</v>
      </c>
      <c r="D109" s="147">
        <v>234933</v>
      </c>
      <c r="E109" s="147">
        <v>202562</v>
      </c>
      <c r="F109" s="147">
        <v>274805</v>
      </c>
    </row>
    <row r="110" spans="2:6" x14ac:dyDescent="0.35">
      <c r="B110" s="146" t="s">
        <v>206</v>
      </c>
      <c r="C110" s="147">
        <v>13826</v>
      </c>
      <c r="D110" s="147">
        <v>58926</v>
      </c>
      <c r="E110" s="147">
        <v>169847</v>
      </c>
      <c r="F110" s="147">
        <v>296402</v>
      </c>
    </row>
    <row r="111" spans="2:6" x14ac:dyDescent="0.35">
      <c r="B111" s="146" t="s">
        <v>207</v>
      </c>
      <c r="C111" s="147">
        <v>112474</v>
      </c>
      <c r="D111" s="147">
        <v>121652</v>
      </c>
      <c r="E111" s="147">
        <v>128837</v>
      </c>
      <c r="F111" s="147">
        <v>181281</v>
      </c>
    </row>
    <row r="112" spans="2:6" x14ac:dyDescent="0.35">
      <c r="B112" s="146" t="s">
        <v>208</v>
      </c>
      <c r="C112" s="147">
        <v>10220</v>
      </c>
      <c r="D112" s="147">
        <v>7879</v>
      </c>
      <c r="E112" s="147">
        <v>7576</v>
      </c>
      <c r="F112" s="147">
        <v>12949</v>
      </c>
    </row>
    <row r="113" spans="2:6" x14ac:dyDescent="0.35">
      <c r="B113" s="146" t="s">
        <v>209</v>
      </c>
      <c r="C113" s="147">
        <v>39233</v>
      </c>
      <c r="D113" s="147">
        <v>45411</v>
      </c>
      <c r="E113" s="147">
        <v>68360</v>
      </c>
      <c r="F113" s="147">
        <v>87815</v>
      </c>
    </row>
    <row r="114" spans="2:6" x14ac:dyDescent="0.35">
      <c r="B114" s="146" t="s">
        <v>210</v>
      </c>
      <c r="C114" s="147">
        <v>28690</v>
      </c>
      <c r="D114" s="147">
        <v>36179</v>
      </c>
      <c r="E114" s="147">
        <v>55567</v>
      </c>
      <c r="F114" s="147">
        <v>67093</v>
      </c>
    </row>
    <row r="115" spans="2:6" x14ac:dyDescent="0.35">
      <c r="B115" s="146" t="s">
        <v>211</v>
      </c>
      <c r="C115" s="147">
        <v>0</v>
      </c>
      <c r="D115" s="147">
        <v>0</v>
      </c>
      <c r="E115" s="147">
        <v>0</v>
      </c>
      <c r="F115" s="147">
        <v>0</v>
      </c>
    </row>
    <row r="116" spans="2:6" x14ac:dyDescent="0.35">
      <c r="B116" s="146" t="s">
        <v>212</v>
      </c>
      <c r="C116" s="147">
        <v>0</v>
      </c>
      <c r="D116" s="147">
        <v>0</v>
      </c>
      <c r="E116" s="147">
        <v>0</v>
      </c>
      <c r="F116" s="147">
        <v>0</v>
      </c>
    </row>
    <row r="117" spans="2:6" x14ac:dyDescent="0.35">
      <c r="B117" s="146" t="s">
        <v>213</v>
      </c>
      <c r="C117" s="147">
        <v>11324</v>
      </c>
      <c r="D117" s="147">
        <v>7456</v>
      </c>
      <c r="E117" s="147">
        <v>7911</v>
      </c>
      <c r="F117" s="147">
        <v>12686</v>
      </c>
    </row>
    <row r="118" spans="2:6" x14ac:dyDescent="0.35">
      <c r="B118" s="146" t="s">
        <v>214</v>
      </c>
      <c r="C118" s="147">
        <v>113361</v>
      </c>
      <c r="D118" s="147">
        <v>146827</v>
      </c>
      <c r="E118" s="147">
        <v>194059</v>
      </c>
      <c r="F118" s="147">
        <v>131775</v>
      </c>
    </row>
    <row r="119" spans="2:6" x14ac:dyDescent="0.35">
      <c r="B119" s="146" t="s">
        <v>215</v>
      </c>
      <c r="C119" s="147">
        <v>28540</v>
      </c>
      <c r="D119" s="147">
        <v>69264</v>
      </c>
      <c r="E119" s="147">
        <v>66546</v>
      </c>
      <c r="F119" s="147">
        <v>83947</v>
      </c>
    </row>
    <row r="120" spans="2:6" x14ac:dyDescent="0.35">
      <c r="B120" s="146" t="s">
        <v>216</v>
      </c>
      <c r="C120" s="147">
        <v>84799</v>
      </c>
      <c r="D120" s="147">
        <v>120996</v>
      </c>
      <c r="E120" s="147">
        <v>184636</v>
      </c>
      <c r="F120" s="147">
        <v>222844</v>
      </c>
    </row>
    <row r="121" spans="2:6" x14ac:dyDescent="0.35">
      <c r="B121" s="146" t="s">
        <v>217</v>
      </c>
      <c r="C121" s="147">
        <v>104287</v>
      </c>
      <c r="D121" s="147">
        <v>81162</v>
      </c>
      <c r="E121" s="147">
        <v>299399</v>
      </c>
      <c r="F121" s="147">
        <v>11519</v>
      </c>
    </row>
    <row r="122" spans="2:6" x14ac:dyDescent="0.35">
      <c r="B122" s="146" t="s">
        <v>218</v>
      </c>
      <c r="C122" s="147">
        <v>28392</v>
      </c>
      <c r="D122" s="147">
        <v>24259</v>
      </c>
      <c r="E122" s="147">
        <v>21964</v>
      </c>
      <c r="F122" s="147">
        <v>23533</v>
      </c>
    </row>
    <row r="123" spans="2:6" x14ac:dyDescent="0.35">
      <c r="B123" s="146" t="s">
        <v>219</v>
      </c>
      <c r="C123" s="147">
        <v>33348</v>
      </c>
      <c r="D123" s="147">
        <v>87822</v>
      </c>
      <c r="E123" s="147">
        <v>101094</v>
      </c>
      <c r="F123" s="147">
        <v>214534</v>
      </c>
    </row>
    <row r="124" spans="2:6" x14ac:dyDescent="0.35">
      <c r="B124" s="143" t="s">
        <v>220</v>
      </c>
      <c r="C124" s="144">
        <v>4121504</v>
      </c>
      <c r="D124" s="144">
        <v>4418246</v>
      </c>
      <c r="E124" s="144">
        <v>6335297</v>
      </c>
      <c r="F124" s="144">
        <v>9278301</v>
      </c>
    </row>
    <row r="125" spans="2:6" x14ac:dyDescent="0.35">
      <c r="B125" s="146" t="s">
        <v>205</v>
      </c>
      <c r="C125" s="147">
        <v>1080104</v>
      </c>
      <c r="D125" s="147">
        <v>1088111</v>
      </c>
      <c r="E125" s="147">
        <v>1347099</v>
      </c>
      <c r="F125" s="147">
        <v>2483542</v>
      </c>
    </row>
    <row r="126" spans="2:6" x14ac:dyDescent="0.35">
      <c r="B126" s="146" t="s">
        <v>206</v>
      </c>
      <c r="C126" s="147">
        <v>74494</v>
      </c>
      <c r="D126" s="147">
        <v>128260</v>
      </c>
      <c r="E126" s="147">
        <v>524452</v>
      </c>
      <c r="F126" s="147">
        <v>900748</v>
      </c>
    </row>
    <row r="127" spans="2:6" x14ac:dyDescent="0.35">
      <c r="B127" s="146" t="s">
        <v>207</v>
      </c>
      <c r="C127" s="147">
        <v>9471</v>
      </c>
      <c r="D127" s="147">
        <v>10004</v>
      </c>
      <c r="E127" s="147">
        <v>11116</v>
      </c>
      <c r="F127" s="147">
        <v>14082</v>
      </c>
    </row>
    <row r="128" spans="2:6" x14ac:dyDescent="0.35">
      <c r="B128" s="146" t="s">
        <v>210</v>
      </c>
      <c r="C128" s="147">
        <v>12737</v>
      </c>
      <c r="D128" s="147">
        <v>18589</v>
      </c>
      <c r="E128" s="147">
        <v>28523</v>
      </c>
      <c r="F128" s="147">
        <v>60531</v>
      </c>
    </row>
    <row r="129" spans="2:8" x14ac:dyDescent="0.35">
      <c r="B129" s="146" t="s">
        <v>212</v>
      </c>
      <c r="C129" s="147">
        <v>0</v>
      </c>
      <c r="D129" s="147">
        <v>0</v>
      </c>
      <c r="E129" s="147">
        <v>0</v>
      </c>
      <c r="F129" s="147">
        <v>0</v>
      </c>
    </row>
    <row r="130" spans="2:8" x14ac:dyDescent="0.35">
      <c r="B130" s="146" t="s">
        <v>213</v>
      </c>
      <c r="C130" s="147">
        <v>19821</v>
      </c>
      <c r="D130" s="147">
        <v>13648</v>
      </c>
      <c r="E130" s="147">
        <v>75773</v>
      </c>
      <c r="F130" s="147">
        <v>76290</v>
      </c>
    </row>
    <row r="131" spans="2:8" x14ac:dyDescent="0.35">
      <c r="B131" s="146" t="s">
        <v>214</v>
      </c>
      <c r="C131" s="147">
        <v>2388485</v>
      </c>
      <c r="D131" s="147">
        <v>2668090</v>
      </c>
      <c r="E131" s="147">
        <v>3655700</v>
      </c>
      <c r="F131" s="147">
        <v>5088473</v>
      </c>
    </row>
    <row r="132" spans="2:8" x14ac:dyDescent="0.35">
      <c r="B132" s="146" t="s">
        <v>215</v>
      </c>
      <c r="C132" s="147">
        <v>398915</v>
      </c>
      <c r="D132" s="147">
        <v>378427</v>
      </c>
      <c r="E132" s="147">
        <v>568086</v>
      </c>
      <c r="F132" s="147">
        <v>521793</v>
      </c>
    </row>
    <row r="133" spans="2:8" x14ac:dyDescent="0.35">
      <c r="B133" s="146" t="s">
        <v>218</v>
      </c>
      <c r="C133" s="147">
        <v>13887</v>
      </c>
      <c r="D133" s="147">
        <v>16303</v>
      </c>
      <c r="E133" s="147">
        <v>21072</v>
      </c>
      <c r="F133" s="147">
        <v>24866</v>
      </c>
    </row>
    <row r="134" spans="2:8" x14ac:dyDescent="0.35">
      <c r="B134" s="146" t="s">
        <v>221</v>
      </c>
      <c r="C134" s="147">
        <v>26198</v>
      </c>
      <c r="D134" s="147">
        <v>27657</v>
      </c>
      <c r="E134" s="147">
        <v>34319</v>
      </c>
      <c r="F134" s="147">
        <v>39280</v>
      </c>
    </row>
    <row r="135" spans="2:8" x14ac:dyDescent="0.35">
      <c r="B135" s="146" t="s">
        <v>216</v>
      </c>
      <c r="C135" s="147">
        <v>97392</v>
      </c>
      <c r="D135" s="147">
        <v>69157</v>
      </c>
      <c r="E135" s="147">
        <v>69157</v>
      </c>
      <c r="F135" s="147">
        <v>68696</v>
      </c>
    </row>
    <row r="136" spans="2:8" x14ac:dyDescent="0.35">
      <c r="B136" s="146" t="s">
        <v>222</v>
      </c>
      <c r="C136" s="147">
        <v>0</v>
      </c>
      <c r="D136" s="147">
        <v>0</v>
      </c>
      <c r="E136" s="147">
        <v>0</v>
      </c>
      <c r="F136" s="147">
        <v>0</v>
      </c>
      <c r="H136" s="323" t="s">
        <v>446</v>
      </c>
    </row>
    <row r="137" spans="2:8" x14ac:dyDescent="0.35">
      <c r="B137" s="143" t="s">
        <v>223</v>
      </c>
      <c r="C137" s="144">
        <v>1289981</v>
      </c>
      <c r="D137" s="144">
        <v>1953405</v>
      </c>
      <c r="E137" s="144">
        <v>2015457</v>
      </c>
      <c r="F137" s="144">
        <v>1916621</v>
      </c>
      <c r="H137" s="324">
        <f>F125+F109+F110+F126</f>
        <v>3955497</v>
      </c>
    </row>
    <row r="138" spans="2:8" x14ac:dyDescent="0.35">
      <c r="B138" s="146" t="s">
        <v>224</v>
      </c>
      <c r="C138" s="147">
        <v>752982</v>
      </c>
      <c r="D138" s="147">
        <v>1181857</v>
      </c>
      <c r="E138" s="147">
        <v>1181857</v>
      </c>
      <c r="F138" s="147">
        <v>1181857</v>
      </c>
    </row>
    <row r="139" spans="2:8" x14ac:dyDescent="0.35">
      <c r="B139" s="146" t="s">
        <v>225</v>
      </c>
      <c r="C139" s="147"/>
      <c r="D139" s="147">
        <v>-21994</v>
      </c>
      <c r="E139" s="147">
        <v>-21994</v>
      </c>
      <c r="F139" s="147">
        <v>-21994</v>
      </c>
    </row>
    <row r="140" spans="2:8" x14ac:dyDescent="0.35">
      <c r="B140" s="146" t="s">
        <v>226</v>
      </c>
      <c r="C140" s="147">
        <v>-9749</v>
      </c>
      <c r="D140" s="147">
        <v>-7748</v>
      </c>
      <c r="E140" s="147">
        <v>-9536</v>
      </c>
      <c r="F140" s="147">
        <v>-22571</v>
      </c>
    </row>
    <row r="141" spans="2:8" x14ac:dyDescent="0.35">
      <c r="B141" s="146" t="s">
        <v>227</v>
      </c>
      <c r="C141" s="147">
        <v>148323</v>
      </c>
      <c r="D141" s="147">
        <v>184240</v>
      </c>
      <c r="E141" s="147">
        <v>185178</v>
      </c>
      <c r="F141" s="147">
        <v>192734</v>
      </c>
    </row>
    <row r="142" spans="2:8" x14ac:dyDescent="0.35">
      <c r="B142" s="146" t="s">
        <v>228</v>
      </c>
      <c r="C142" s="147">
        <v>0</v>
      </c>
      <c r="D142" s="147">
        <v>0</v>
      </c>
      <c r="E142" s="147">
        <v>0</v>
      </c>
      <c r="F142" s="147">
        <v>0</v>
      </c>
    </row>
    <row r="143" spans="2:8" x14ac:dyDescent="0.35">
      <c r="B143" s="146" t="s">
        <v>229</v>
      </c>
      <c r="C143" s="147">
        <v>0</v>
      </c>
      <c r="D143" s="147">
        <v>-31760</v>
      </c>
      <c r="E143" s="147">
        <v>-31759</v>
      </c>
      <c r="F143" s="147">
        <v>238956</v>
      </c>
    </row>
    <row r="144" spans="2:8" x14ac:dyDescent="0.35">
      <c r="B144" s="146" t="s">
        <v>230</v>
      </c>
      <c r="C144" s="147">
        <v>398425</v>
      </c>
      <c r="D144" s="147">
        <v>648810</v>
      </c>
      <c r="E144" s="147">
        <v>711711</v>
      </c>
      <c r="F144" s="147">
        <v>347639</v>
      </c>
    </row>
    <row r="145" spans="2:6" x14ac:dyDescent="0.35">
      <c r="B145" s="146" t="s">
        <v>231</v>
      </c>
      <c r="C145" s="147">
        <v>0</v>
      </c>
      <c r="D145" s="147">
        <v>0</v>
      </c>
      <c r="E145" s="147">
        <v>0</v>
      </c>
      <c r="F145" s="147">
        <v>0</v>
      </c>
    </row>
    <row r="146" spans="2:6" x14ac:dyDescent="0.35">
      <c r="B146" s="146" t="s">
        <v>232</v>
      </c>
      <c r="C146" s="147">
        <v>0</v>
      </c>
      <c r="D146" s="147">
        <v>0</v>
      </c>
      <c r="E146" s="147">
        <v>0</v>
      </c>
      <c r="F146" s="147">
        <v>0</v>
      </c>
    </row>
    <row r="147" spans="2:6" x14ac:dyDescent="0.35">
      <c r="B147" s="149" t="s">
        <v>233</v>
      </c>
      <c r="C147" s="147">
        <v>159714</v>
      </c>
      <c r="D147" s="147">
        <v>157181</v>
      </c>
      <c r="E147" s="147">
        <v>208294</v>
      </c>
      <c r="F147" s="147">
        <v>403530</v>
      </c>
    </row>
    <row r="148" spans="2:6" x14ac:dyDescent="0.35">
      <c r="B148" s="143" t="s">
        <v>234</v>
      </c>
      <c r="C148" s="144">
        <v>6489415</v>
      </c>
      <c r="D148" s="144">
        <v>7571598</v>
      </c>
      <c r="E148" s="144">
        <v>10067406</v>
      </c>
      <c r="F148" s="144">
        <v>13219635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18C2-DA20-48D1-886F-5726E042CB74}">
  <sheetPr>
    <tabColor rgb="FF002060"/>
  </sheetPr>
  <dimension ref="B2:BT36"/>
  <sheetViews>
    <sheetView showGridLines="0" topLeftCell="D7" workbookViewId="0">
      <selection activeCell="E27" sqref="E27"/>
    </sheetView>
  </sheetViews>
  <sheetFormatPr defaultRowHeight="14.5" x14ac:dyDescent="0.35"/>
  <cols>
    <col min="1" max="1" width="2.81640625" customWidth="1"/>
    <col min="2" max="2" width="57.1796875" customWidth="1"/>
    <col min="3" max="72" width="15" customWidth="1"/>
  </cols>
  <sheetData>
    <row r="2" spans="2:72" ht="18.5" x14ac:dyDescent="0.45">
      <c r="B2" s="139" t="s">
        <v>181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40"/>
      <c r="BH2" s="140"/>
      <c r="BI2" s="140"/>
      <c r="BJ2" s="140"/>
      <c r="BK2" s="140"/>
      <c r="BL2" s="140"/>
      <c r="BM2" s="140"/>
      <c r="BN2" s="140"/>
      <c r="BO2" s="140"/>
      <c r="BP2" s="140"/>
      <c r="BQ2" s="140"/>
      <c r="BR2" s="140"/>
      <c r="BS2" s="140"/>
      <c r="BT2" s="140"/>
    </row>
    <row r="3" spans="2:72" ht="2.25" customHeight="1" x14ac:dyDescent="0.35"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</row>
    <row r="4" spans="2:72" x14ac:dyDescent="0.35">
      <c r="B4" s="141" t="s">
        <v>236</v>
      </c>
      <c r="C4" s="142">
        <v>2025</v>
      </c>
      <c r="D4" s="140" t="s">
        <v>27</v>
      </c>
      <c r="E4" s="140" t="s">
        <v>26</v>
      </c>
      <c r="F4" s="140" t="s">
        <v>25</v>
      </c>
      <c r="G4" s="140" t="s">
        <v>24</v>
      </c>
      <c r="H4" s="142">
        <v>2024</v>
      </c>
      <c r="I4" s="140" t="s">
        <v>22</v>
      </c>
      <c r="J4" s="140" t="s">
        <v>21</v>
      </c>
      <c r="K4" s="140" t="s">
        <v>20</v>
      </c>
      <c r="L4" s="140" t="s">
        <v>19</v>
      </c>
      <c r="M4" s="142">
        <v>2023</v>
      </c>
      <c r="N4" s="140" t="s">
        <v>17</v>
      </c>
      <c r="O4" s="140" t="s">
        <v>16</v>
      </c>
      <c r="P4" s="140" t="s">
        <v>15</v>
      </c>
      <c r="Q4" s="140" t="s">
        <v>14</v>
      </c>
      <c r="R4" s="142">
        <v>2022</v>
      </c>
      <c r="S4" s="140" t="s">
        <v>12</v>
      </c>
      <c r="T4" s="140" t="s">
        <v>11</v>
      </c>
      <c r="U4" s="140" t="s">
        <v>10</v>
      </c>
      <c r="V4" s="140" t="s">
        <v>9</v>
      </c>
      <c r="W4" s="142">
        <v>2021</v>
      </c>
      <c r="X4" s="140" t="s">
        <v>237</v>
      </c>
      <c r="Y4" s="140" t="s">
        <v>238</v>
      </c>
      <c r="Z4" s="140" t="s">
        <v>239</v>
      </c>
      <c r="AA4" s="140" t="s">
        <v>240</v>
      </c>
      <c r="AB4" s="142">
        <v>2020</v>
      </c>
      <c r="AC4" s="140" t="s">
        <v>241</v>
      </c>
      <c r="AD4" s="140" t="s">
        <v>242</v>
      </c>
      <c r="AE4" s="140" t="s">
        <v>243</v>
      </c>
      <c r="AF4" s="140" t="s">
        <v>244</v>
      </c>
      <c r="AG4" s="142">
        <v>2019</v>
      </c>
      <c r="AH4" s="140" t="s">
        <v>245</v>
      </c>
      <c r="AI4" s="140" t="s">
        <v>246</v>
      </c>
      <c r="AJ4" s="140" t="s">
        <v>247</v>
      </c>
      <c r="AK4" s="140" t="s">
        <v>248</v>
      </c>
      <c r="AL4" s="142">
        <v>2018</v>
      </c>
      <c r="AM4" s="140" t="s">
        <v>249</v>
      </c>
      <c r="AN4" s="140" t="s">
        <v>250</v>
      </c>
      <c r="AO4" s="140" t="s">
        <v>251</v>
      </c>
      <c r="AP4" s="140" t="s">
        <v>252</v>
      </c>
      <c r="AQ4" s="142">
        <v>2017</v>
      </c>
      <c r="AR4" s="140" t="s">
        <v>253</v>
      </c>
      <c r="AS4" s="140" t="s">
        <v>254</v>
      </c>
      <c r="AT4" s="140" t="s">
        <v>255</v>
      </c>
      <c r="AU4" s="140" t="s">
        <v>256</v>
      </c>
      <c r="AV4" s="142">
        <v>2016</v>
      </c>
      <c r="AW4" s="140" t="s">
        <v>257</v>
      </c>
      <c r="AX4" s="140" t="s">
        <v>258</v>
      </c>
      <c r="AY4" s="140" t="s">
        <v>259</v>
      </c>
      <c r="AZ4" s="140" t="s">
        <v>260</v>
      </c>
      <c r="BA4" s="142">
        <v>2015</v>
      </c>
      <c r="BB4" s="140" t="s">
        <v>261</v>
      </c>
      <c r="BC4" s="140" t="s">
        <v>262</v>
      </c>
      <c r="BD4" s="140" t="s">
        <v>263</v>
      </c>
      <c r="BE4" s="140" t="s">
        <v>264</v>
      </c>
      <c r="BF4" s="142">
        <v>2014</v>
      </c>
      <c r="BG4" s="140" t="s">
        <v>265</v>
      </c>
      <c r="BH4" s="140" t="s">
        <v>266</v>
      </c>
      <c r="BI4" s="140" t="s">
        <v>267</v>
      </c>
      <c r="BJ4" s="140" t="s">
        <v>268</v>
      </c>
      <c r="BK4" s="142">
        <v>2013</v>
      </c>
      <c r="BL4" s="140" t="s">
        <v>269</v>
      </c>
      <c r="BM4" s="140" t="s">
        <v>270</v>
      </c>
      <c r="BN4" s="140" t="s">
        <v>271</v>
      </c>
      <c r="BO4" s="140" t="s">
        <v>272</v>
      </c>
      <c r="BP4" s="142">
        <v>2012</v>
      </c>
      <c r="BQ4" s="140" t="s">
        <v>273</v>
      </c>
      <c r="BR4" s="140" t="s">
        <v>274</v>
      </c>
      <c r="BS4" s="140" t="s">
        <v>275</v>
      </c>
      <c r="BT4" s="140" t="s">
        <v>276</v>
      </c>
    </row>
    <row r="5" spans="2:72" x14ac:dyDescent="0.35">
      <c r="B5" s="155" t="s">
        <v>277</v>
      </c>
      <c r="C5" s="156">
        <v>4343008</v>
      </c>
      <c r="D5" s="156">
        <v>1225843</v>
      </c>
      <c r="E5" s="156">
        <v>1157823</v>
      </c>
      <c r="F5" s="156">
        <v>1065210</v>
      </c>
      <c r="G5" s="156">
        <v>894132</v>
      </c>
      <c r="H5" s="156">
        <v>3348470</v>
      </c>
      <c r="I5" s="156">
        <v>924210</v>
      </c>
      <c r="J5" s="156">
        <v>910598</v>
      </c>
      <c r="K5" s="156">
        <v>844220</v>
      </c>
      <c r="L5" s="156">
        <v>669442</v>
      </c>
      <c r="M5" s="156">
        <v>2355183</v>
      </c>
      <c r="N5" s="156">
        <v>634838</v>
      </c>
      <c r="O5" s="156">
        <v>557668</v>
      </c>
      <c r="P5" s="156">
        <v>605408</v>
      </c>
      <c r="Q5" s="156">
        <v>557269</v>
      </c>
      <c r="R5" s="156">
        <v>2162616</v>
      </c>
      <c r="S5" s="156">
        <v>533985</v>
      </c>
      <c r="T5" s="156">
        <v>574411</v>
      </c>
      <c r="U5" s="156">
        <v>586126</v>
      </c>
      <c r="V5" s="156">
        <v>468094</v>
      </c>
      <c r="W5" s="156">
        <v>1776380</v>
      </c>
      <c r="X5" s="156">
        <v>486971</v>
      </c>
      <c r="Y5" s="156">
        <v>453362</v>
      </c>
      <c r="Z5" s="156">
        <v>422162</v>
      </c>
      <c r="AA5" s="156">
        <v>413885</v>
      </c>
      <c r="AB5" s="156">
        <v>1500723.4293999998</v>
      </c>
      <c r="AC5" s="156">
        <v>425314.50118000002</v>
      </c>
      <c r="AD5" s="156">
        <v>375532</v>
      </c>
      <c r="AE5" s="156">
        <v>408408</v>
      </c>
      <c r="AF5" s="156">
        <v>291469</v>
      </c>
      <c r="AG5" s="156">
        <v>1458228</v>
      </c>
      <c r="AH5" s="156">
        <v>367685</v>
      </c>
      <c r="AI5" s="156">
        <v>367239</v>
      </c>
      <c r="AJ5" s="156">
        <v>374504</v>
      </c>
      <c r="AK5" s="156">
        <v>348800</v>
      </c>
      <c r="AL5" s="156">
        <v>1166048</v>
      </c>
      <c r="AM5" s="156">
        <v>393071</v>
      </c>
      <c r="AN5" s="156">
        <v>309919</v>
      </c>
      <c r="AO5" s="156">
        <v>270902</v>
      </c>
      <c r="AP5" s="156">
        <v>192155</v>
      </c>
      <c r="AQ5" s="156">
        <v>751857</v>
      </c>
      <c r="AR5" s="156">
        <v>169575</v>
      </c>
      <c r="AS5" s="156">
        <v>201247</v>
      </c>
      <c r="AT5" s="156">
        <v>181730</v>
      </c>
      <c r="AU5" s="156">
        <v>199305</v>
      </c>
      <c r="AV5" s="156">
        <v>1358078</v>
      </c>
      <c r="AW5" s="156">
        <v>254553</v>
      </c>
      <c r="AX5" s="156">
        <v>314586</v>
      </c>
      <c r="AY5" s="156">
        <v>383099</v>
      </c>
      <c r="AZ5" s="156">
        <v>405840</v>
      </c>
      <c r="BA5" s="156">
        <v>1569577</v>
      </c>
      <c r="BB5" s="156">
        <v>398013</v>
      </c>
      <c r="BC5" s="156">
        <v>392344</v>
      </c>
      <c r="BD5" s="156">
        <v>379400</v>
      </c>
      <c r="BE5" s="156">
        <v>399820</v>
      </c>
      <c r="BF5" s="156">
        <v>1835613</v>
      </c>
      <c r="BG5" s="156">
        <v>551144</v>
      </c>
      <c r="BH5" s="156">
        <v>462292</v>
      </c>
      <c r="BI5" s="156">
        <v>425050</v>
      </c>
      <c r="BJ5" s="156">
        <v>397128</v>
      </c>
      <c r="BK5" s="156">
        <v>1743929</v>
      </c>
      <c r="BL5" s="156">
        <v>438225</v>
      </c>
      <c r="BM5" s="156">
        <v>450848</v>
      </c>
      <c r="BN5" s="156">
        <v>466327</v>
      </c>
      <c r="BO5" s="156">
        <v>388529</v>
      </c>
      <c r="BP5" s="156">
        <v>1448779</v>
      </c>
      <c r="BQ5" s="156">
        <v>375589</v>
      </c>
      <c r="BR5" s="156">
        <v>390999</v>
      </c>
      <c r="BS5" s="156">
        <v>338164</v>
      </c>
      <c r="BT5" s="156">
        <v>344027</v>
      </c>
    </row>
    <row r="6" spans="2:72" x14ac:dyDescent="0.35">
      <c r="B6" s="157" t="s">
        <v>278</v>
      </c>
      <c r="C6" s="158">
        <v>-2620591</v>
      </c>
      <c r="D6" s="158">
        <v>-726736</v>
      </c>
      <c r="E6" s="158">
        <v>-694023</v>
      </c>
      <c r="F6" s="158">
        <v>-650982</v>
      </c>
      <c r="G6" s="158">
        <v>-548851</v>
      </c>
      <c r="H6" s="158">
        <v>-2130127</v>
      </c>
      <c r="I6" s="158">
        <v>-581814</v>
      </c>
      <c r="J6" s="158">
        <v>-577881</v>
      </c>
      <c r="K6" s="158">
        <v>-541592</v>
      </c>
      <c r="L6" s="158">
        <v>-428840</v>
      </c>
      <c r="M6" s="158">
        <v>-1550208</v>
      </c>
      <c r="N6" s="158">
        <v>-425257</v>
      </c>
      <c r="O6" s="158">
        <v>-365299</v>
      </c>
      <c r="P6" s="158">
        <v>-400227</v>
      </c>
      <c r="Q6" s="158">
        <v>-359425</v>
      </c>
      <c r="R6" s="158">
        <v>-1428891</v>
      </c>
      <c r="S6" s="158">
        <v>-343252</v>
      </c>
      <c r="T6" s="158">
        <v>-379234</v>
      </c>
      <c r="U6" s="158">
        <v>-403298</v>
      </c>
      <c r="V6" s="158">
        <v>-303106</v>
      </c>
      <c r="W6" s="158">
        <v>-1146299</v>
      </c>
      <c r="X6" s="158">
        <v>-324610.79416077491</v>
      </c>
      <c r="Y6" s="158">
        <v>-291574.26850546751</v>
      </c>
      <c r="Z6" s="158">
        <v>-263110.63985433429</v>
      </c>
      <c r="AA6" s="158">
        <v>-267002.29747942323</v>
      </c>
      <c r="AB6" s="158">
        <v>-987413</v>
      </c>
      <c r="AC6" s="158">
        <v>-281958.76591000007</v>
      </c>
      <c r="AD6" s="158">
        <v>-241802</v>
      </c>
      <c r="AE6" s="158">
        <v>-276269</v>
      </c>
      <c r="AF6" s="158">
        <v>-187383</v>
      </c>
      <c r="AG6" s="158">
        <v>-967112</v>
      </c>
      <c r="AH6" s="158">
        <v>-238010</v>
      </c>
      <c r="AI6" s="158">
        <v>-244499</v>
      </c>
      <c r="AJ6" s="158">
        <v>-249646</v>
      </c>
      <c r="AK6" s="158">
        <v>-234958</v>
      </c>
      <c r="AL6" s="158">
        <v>-849225</v>
      </c>
      <c r="AM6" s="158">
        <v>-283586</v>
      </c>
      <c r="AN6" s="158">
        <v>-223408</v>
      </c>
      <c r="AO6" s="158">
        <v>-200676</v>
      </c>
      <c r="AP6" s="158">
        <v>-141554</v>
      </c>
      <c r="AQ6" s="158">
        <v>-714399</v>
      </c>
      <c r="AR6" s="158">
        <v>-184646</v>
      </c>
      <c r="AS6" s="158">
        <v>-186702</v>
      </c>
      <c r="AT6" s="158">
        <v>-161717</v>
      </c>
      <c r="AU6" s="158">
        <v>-181334</v>
      </c>
      <c r="AV6" s="158">
        <v>-1201779</v>
      </c>
      <c r="AW6" s="158">
        <v>-280083</v>
      </c>
      <c r="AX6" s="158">
        <v>-289413</v>
      </c>
      <c r="AY6" s="158">
        <v>-309670</v>
      </c>
      <c r="AZ6" s="158">
        <v>-322613</v>
      </c>
      <c r="BA6" s="158">
        <v>-1239094</v>
      </c>
      <c r="BB6" s="158">
        <v>-317886</v>
      </c>
      <c r="BC6" s="158">
        <v>-311611</v>
      </c>
      <c r="BD6" s="158">
        <v>-294316</v>
      </c>
      <c r="BE6" s="158">
        <v>-315281</v>
      </c>
      <c r="BF6" s="158">
        <v>-1408650</v>
      </c>
      <c r="BG6" s="158">
        <v>-431251</v>
      </c>
      <c r="BH6" s="158">
        <v>-350223</v>
      </c>
      <c r="BI6" s="158">
        <v>-322469</v>
      </c>
      <c r="BJ6" s="158">
        <v>-304707</v>
      </c>
      <c r="BK6" s="158">
        <v>-1340379</v>
      </c>
      <c r="BL6" s="158">
        <v>-339465</v>
      </c>
      <c r="BM6" s="158">
        <v>-340156</v>
      </c>
      <c r="BN6" s="158">
        <v>-369432</v>
      </c>
      <c r="BO6" s="158">
        <v>-291326</v>
      </c>
      <c r="BP6" s="158">
        <v>-1049974</v>
      </c>
      <c r="BQ6" s="158">
        <v>-269615</v>
      </c>
      <c r="BR6" s="158">
        <v>-286154</v>
      </c>
      <c r="BS6" s="158">
        <v>-246282</v>
      </c>
      <c r="BT6" s="158">
        <v>-247923</v>
      </c>
    </row>
    <row r="7" spans="2:72" x14ac:dyDescent="0.35">
      <c r="B7" s="155" t="s">
        <v>279</v>
      </c>
      <c r="C7" s="156">
        <v>1722417</v>
      </c>
      <c r="D7" s="156">
        <v>499107</v>
      </c>
      <c r="E7" s="156">
        <v>463800</v>
      </c>
      <c r="F7" s="156">
        <v>414228</v>
      </c>
      <c r="G7" s="156">
        <v>345280.62881000014</v>
      </c>
      <c r="H7" s="156">
        <v>1218343</v>
      </c>
      <c r="I7" s="156">
        <v>342396</v>
      </c>
      <c r="J7" s="156">
        <v>332717</v>
      </c>
      <c r="K7" s="156">
        <v>302628</v>
      </c>
      <c r="L7" s="156">
        <v>240602</v>
      </c>
      <c r="M7" s="156">
        <v>804975</v>
      </c>
      <c r="N7" s="156">
        <v>209581</v>
      </c>
      <c r="O7" s="156">
        <v>192369</v>
      </c>
      <c r="P7" s="156">
        <v>205181</v>
      </c>
      <c r="Q7" s="156">
        <v>197844</v>
      </c>
      <c r="R7" s="156">
        <v>733725</v>
      </c>
      <c r="S7" s="156">
        <v>190733</v>
      </c>
      <c r="T7" s="156">
        <v>195177</v>
      </c>
      <c r="U7" s="156">
        <v>182828</v>
      </c>
      <c r="V7" s="156">
        <v>164988</v>
      </c>
      <c r="W7" s="156">
        <v>630081</v>
      </c>
      <c r="X7" s="156">
        <v>162360.20583922509</v>
      </c>
      <c r="Y7" s="156">
        <v>161787.73149453249</v>
      </c>
      <c r="Z7" s="156">
        <v>159051.36014566571</v>
      </c>
      <c r="AA7" s="156">
        <v>146882.70252057677</v>
      </c>
      <c r="AB7" s="156">
        <v>513310.42939999979</v>
      </c>
      <c r="AC7" s="156">
        <v>143355.73526999995</v>
      </c>
      <c r="AD7" s="156">
        <v>133730</v>
      </c>
      <c r="AE7" s="156">
        <v>132140</v>
      </c>
      <c r="AF7" s="156">
        <v>104086</v>
      </c>
      <c r="AG7" s="156">
        <v>491115</v>
      </c>
      <c r="AH7" s="156">
        <v>129675</v>
      </c>
      <c r="AI7" s="156">
        <v>122740</v>
      </c>
      <c r="AJ7" s="156">
        <v>124858</v>
      </c>
      <c r="AK7" s="156">
        <v>113842</v>
      </c>
      <c r="AL7" s="156">
        <v>316823</v>
      </c>
      <c r="AM7" s="156">
        <v>109485</v>
      </c>
      <c r="AN7" s="156">
        <v>86511</v>
      </c>
      <c r="AO7" s="156">
        <v>70226</v>
      </c>
      <c r="AP7" s="156">
        <v>50601</v>
      </c>
      <c r="AQ7" s="156">
        <v>37458</v>
      </c>
      <c r="AR7" s="156">
        <v>-15071</v>
      </c>
      <c r="AS7" s="156">
        <v>14545</v>
      </c>
      <c r="AT7" s="156">
        <v>20013</v>
      </c>
      <c r="AU7" s="156">
        <v>17971</v>
      </c>
      <c r="AV7" s="156">
        <v>156299</v>
      </c>
      <c r="AW7" s="156">
        <v>-25530</v>
      </c>
      <c r="AX7" s="156">
        <v>25173</v>
      </c>
      <c r="AY7" s="156">
        <v>73429</v>
      </c>
      <c r="AZ7" s="156">
        <v>83227</v>
      </c>
      <c r="BA7" s="156">
        <v>330483</v>
      </c>
      <c r="BB7" s="156">
        <v>80127</v>
      </c>
      <c r="BC7" s="156">
        <v>80733</v>
      </c>
      <c r="BD7" s="156">
        <v>85084</v>
      </c>
      <c r="BE7" s="156">
        <v>84539</v>
      </c>
      <c r="BF7" s="156">
        <v>426963</v>
      </c>
      <c r="BG7" s="156">
        <v>119893</v>
      </c>
      <c r="BH7" s="156">
        <v>112069</v>
      </c>
      <c r="BI7" s="156">
        <v>102581</v>
      </c>
      <c r="BJ7" s="156">
        <v>92420</v>
      </c>
      <c r="BK7" s="156">
        <v>403550</v>
      </c>
      <c r="BL7" s="156">
        <v>98760</v>
      </c>
      <c r="BM7" s="156">
        <v>110692</v>
      </c>
      <c r="BN7" s="156">
        <v>96895</v>
      </c>
      <c r="BO7" s="156">
        <v>97203</v>
      </c>
      <c r="BP7" s="156">
        <v>398805</v>
      </c>
      <c r="BQ7" s="156">
        <v>105974</v>
      </c>
      <c r="BR7" s="156">
        <v>104845</v>
      </c>
      <c r="BS7" s="156">
        <v>91882</v>
      </c>
      <c r="BT7" s="156">
        <v>96104</v>
      </c>
    </row>
    <row r="8" spans="2:72" x14ac:dyDescent="0.35">
      <c r="B8" s="157" t="s">
        <v>280</v>
      </c>
      <c r="C8" s="158">
        <v>-254781</v>
      </c>
      <c r="D8" s="158">
        <v>-70378</v>
      </c>
      <c r="E8" s="158">
        <v>-68636</v>
      </c>
      <c r="F8" s="158">
        <v>-60634</v>
      </c>
      <c r="G8" s="158">
        <v>-55133</v>
      </c>
      <c r="H8" s="158">
        <v>-210307</v>
      </c>
      <c r="I8" s="158">
        <v>-56546</v>
      </c>
      <c r="J8" s="158">
        <v>-52276</v>
      </c>
      <c r="K8" s="158">
        <v>-52355</v>
      </c>
      <c r="L8" s="158">
        <v>-49129.601240000025</v>
      </c>
      <c r="M8" s="158">
        <v>-174709.7627700002</v>
      </c>
      <c r="N8" s="158">
        <v>-44598</v>
      </c>
      <c r="O8" s="158">
        <v>-44731.594539999976</v>
      </c>
      <c r="P8" s="158">
        <v>-43423</v>
      </c>
      <c r="Q8" s="158">
        <v>-41957</v>
      </c>
      <c r="R8" s="158">
        <v>-151631</v>
      </c>
      <c r="S8" s="158">
        <v>-40183</v>
      </c>
      <c r="T8" s="158">
        <v>-39730</v>
      </c>
      <c r="U8" s="158">
        <v>-36394</v>
      </c>
      <c r="V8" s="158">
        <v>-35322</v>
      </c>
      <c r="W8" s="158">
        <v>-132511</v>
      </c>
      <c r="X8" s="158">
        <v>-34558.149859999932</v>
      </c>
      <c r="Y8" s="158">
        <v>-33785.250170000072</v>
      </c>
      <c r="Z8" s="158">
        <v>-33690.228590000021</v>
      </c>
      <c r="AA8" s="158">
        <v>-30477.159319999999</v>
      </c>
      <c r="AB8" s="158">
        <v>-115572</v>
      </c>
      <c r="AC8" s="158">
        <v>-31595.82076999986</v>
      </c>
      <c r="AD8" s="158">
        <v>-27916</v>
      </c>
      <c r="AE8" s="158">
        <v>-24736</v>
      </c>
      <c r="AF8" s="158">
        <v>-31324</v>
      </c>
      <c r="AG8" s="158">
        <v>-112406</v>
      </c>
      <c r="AH8" s="158">
        <v>-30217</v>
      </c>
      <c r="AI8" s="158">
        <v>-27314</v>
      </c>
      <c r="AJ8" s="158">
        <v>-26838</v>
      </c>
      <c r="AK8" s="158">
        <v>-28037</v>
      </c>
      <c r="AL8" s="158">
        <v>-100301</v>
      </c>
      <c r="AM8" s="158">
        <v>-25633</v>
      </c>
      <c r="AN8" s="158">
        <v>-24745</v>
      </c>
      <c r="AO8" s="158">
        <v>-25438</v>
      </c>
      <c r="AP8" s="158">
        <v>-24485</v>
      </c>
      <c r="AQ8" s="158">
        <v>-107644</v>
      </c>
      <c r="AR8" s="158">
        <v>-24333</v>
      </c>
      <c r="AS8" s="158">
        <v>-28267</v>
      </c>
      <c r="AT8" s="158">
        <v>-28419</v>
      </c>
      <c r="AU8" s="158">
        <v>-26625</v>
      </c>
      <c r="AV8" s="158">
        <v>-105135</v>
      </c>
      <c r="AW8" s="158">
        <v>-23840</v>
      </c>
      <c r="AX8" s="158">
        <v>-25955</v>
      </c>
      <c r="AY8" s="158">
        <v>-26819</v>
      </c>
      <c r="AZ8" s="158">
        <v>-28521</v>
      </c>
      <c r="BA8" s="158">
        <v>-105265</v>
      </c>
      <c r="BB8" s="158">
        <v>-26218</v>
      </c>
      <c r="BC8" s="158">
        <v>-25697</v>
      </c>
      <c r="BD8" s="158">
        <v>-26394</v>
      </c>
      <c r="BE8" s="158">
        <v>-26956</v>
      </c>
      <c r="BF8" s="158">
        <v>-114675</v>
      </c>
      <c r="BG8" s="158">
        <v>-31089</v>
      </c>
      <c r="BH8" s="158">
        <v>-27917</v>
      </c>
      <c r="BI8" s="158">
        <v>-25764</v>
      </c>
      <c r="BJ8" s="158">
        <v>-29905</v>
      </c>
      <c r="BK8" s="158">
        <v>-104395</v>
      </c>
      <c r="BL8" s="158">
        <v>-25952</v>
      </c>
      <c r="BM8" s="158">
        <v>-28449</v>
      </c>
      <c r="BN8" s="158">
        <v>-24294</v>
      </c>
      <c r="BO8" s="158">
        <v>-25700</v>
      </c>
      <c r="BP8" s="158">
        <v>-97640</v>
      </c>
      <c r="BQ8" s="158">
        <v>-18244</v>
      </c>
      <c r="BR8" s="158">
        <v>-26905</v>
      </c>
      <c r="BS8" s="158">
        <v>-25302</v>
      </c>
      <c r="BT8" s="158">
        <v>-27189</v>
      </c>
    </row>
    <row r="9" spans="2:72" x14ac:dyDescent="0.35">
      <c r="B9" s="157" t="s">
        <v>281</v>
      </c>
      <c r="C9" s="158">
        <v>-408037</v>
      </c>
      <c r="D9" s="158">
        <v>-116252</v>
      </c>
      <c r="E9" s="158">
        <v>-113940</v>
      </c>
      <c r="F9" s="158">
        <v>-96860</v>
      </c>
      <c r="G9" s="158">
        <v>-80985</v>
      </c>
      <c r="H9" s="158">
        <v>-289706</v>
      </c>
      <c r="I9" s="158">
        <v>-83000</v>
      </c>
      <c r="J9" s="158">
        <v>-80402</v>
      </c>
      <c r="K9" s="158">
        <v>-71239</v>
      </c>
      <c r="L9" s="158">
        <v>-55064.805309999989</v>
      </c>
      <c r="M9" s="158">
        <v>-202241.81563000014</v>
      </c>
      <c r="N9" s="158">
        <v>-56898</v>
      </c>
      <c r="O9" s="158">
        <v>-48465.69731000012</v>
      </c>
      <c r="P9" s="158">
        <v>-53518</v>
      </c>
      <c r="Q9" s="158">
        <v>-43360</v>
      </c>
      <c r="R9" s="158">
        <v>-203082</v>
      </c>
      <c r="S9" s="158">
        <v>-52665</v>
      </c>
      <c r="T9" s="158">
        <v>-52788</v>
      </c>
      <c r="U9" s="158">
        <v>-52798</v>
      </c>
      <c r="V9" s="158">
        <v>-44831</v>
      </c>
      <c r="W9" s="158">
        <v>-190902</v>
      </c>
      <c r="X9" s="158">
        <v>-53126.28179999999</v>
      </c>
      <c r="Y9" s="158">
        <v>-49548.636710000057</v>
      </c>
      <c r="Z9" s="158">
        <v>-45477.113490000018</v>
      </c>
      <c r="AA9" s="158">
        <v>-42749.82038000007</v>
      </c>
      <c r="AB9" s="158">
        <v>-158044</v>
      </c>
      <c r="AC9" s="158">
        <v>-43723.280029999994</v>
      </c>
      <c r="AD9" s="158">
        <v>-39705</v>
      </c>
      <c r="AE9" s="158">
        <v>-39904</v>
      </c>
      <c r="AF9" s="158">
        <v>-34711</v>
      </c>
      <c r="AG9" s="158">
        <v>-146206</v>
      </c>
      <c r="AH9" s="158">
        <v>-38950</v>
      </c>
      <c r="AI9" s="158">
        <v>-38153</v>
      </c>
      <c r="AJ9" s="158">
        <v>-36432</v>
      </c>
      <c r="AK9" s="158">
        <v>-32671</v>
      </c>
      <c r="AL9" s="158">
        <v>-105046</v>
      </c>
      <c r="AM9" s="158">
        <v>-34381</v>
      </c>
      <c r="AN9" s="158">
        <v>-26864</v>
      </c>
      <c r="AO9" s="158">
        <v>-24170</v>
      </c>
      <c r="AP9" s="158">
        <v>-19631</v>
      </c>
      <c r="AQ9" s="158">
        <v>-63288</v>
      </c>
      <c r="AR9" s="158">
        <v>-21782</v>
      </c>
      <c r="AS9" s="158">
        <v>-16158</v>
      </c>
      <c r="AT9" s="158">
        <v>-13014</v>
      </c>
      <c r="AU9" s="158">
        <v>-12334</v>
      </c>
      <c r="AV9" s="158">
        <v>-50741</v>
      </c>
      <c r="AW9" s="158">
        <v>-11942</v>
      </c>
      <c r="AX9" s="158">
        <v>-12696</v>
      </c>
      <c r="AY9" s="158">
        <v>-13056</v>
      </c>
      <c r="AZ9" s="158">
        <v>-13047</v>
      </c>
      <c r="BA9" s="158">
        <v>-42910</v>
      </c>
      <c r="BB9" s="158">
        <v>-12611</v>
      </c>
      <c r="BC9" s="158">
        <v>-11455</v>
      </c>
      <c r="BD9" s="158">
        <v>-10764</v>
      </c>
      <c r="BE9" s="158">
        <v>-8080</v>
      </c>
      <c r="BF9" s="158">
        <v>-51723</v>
      </c>
      <c r="BG9" s="158">
        <v>-12876</v>
      </c>
      <c r="BH9" s="158">
        <v>-13950</v>
      </c>
      <c r="BI9" s="158">
        <v>-14321</v>
      </c>
      <c r="BJ9" s="158">
        <v>-10576</v>
      </c>
      <c r="BK9" s="158">
        <v>-41188</v>
      </c>
      <c r="BL9" s="158">
        <v>-14436</v>
      </c>
      <c r="BM9" s="158">
        <v>-10276</v>
      </c>
      <c r="BN9" s="158">
        <v>-10348</v>
      </c>
      <c r="BO9" s="158">
        <v>-6128</v>
      </c>
      <c r="BP9" s="158">
        <v>-40329</v>
      </c>
      <c r="BQ9" s="158">
        <v>-8986</v>
      </c>
      <c r="BR9" s="158">
        <v>-12455</v>
      </c>
      <c r="BS9" s="158">
        <v>-9917</v>
      </c>
      <c r="BT9" s="158">
        <v>-8971</v>
      </c>
    </row>
    <row r="10" spans="2:72" x14ac:dyDescent="0.35">
      <c r="B10" s="157" t="s">
        <v>282</v>
      </c>
      <c r="C10" s="158">
        <v>62631</v>
      </c>
      <c r="D10" s="158">
        <v>19179</v>
      </c>
      <c r="E10" s="158">
        <v>16173</v>
      </c>
      <c r="F10" s="158">
        <v>14911</v>
      </c>
      <c r="G10" s="158">
        <v>12368</v>
      </c>
      <c r="H10" s="158">
        <v>86528</v>
      </c>
      <c r="I10" s="158">
        <v>22152</v>
      </c>
      <c r="J10" s="158">
        <v>18500</v>
      </c>
      <c r="K10" s="158">
        <v>19423</v>
      </c>
      <c r="L10" s="158">
        <v>26452.98202999997</v>
      </c>
      <c r="M10" s="158">
        <v>53700.91414999991</v>
      </c>
      <c r="N10" s="158">
        <v>15345</v>
      </c>
      <c r="O10" s="158">
        <v>19669.193179999987</v>
      </c>
      <c r="P10" s="158">
        <v>11933</v>
      </c>
      <c r="Q10" s="158">
        <v>6754</v>
      </c>
      <c r="R10" s="158">
        <v>21758</v>
      </c>
      <c r="S10" s="158">
        <v>5065</v>
      </c>
      <c r="T10" s="158">
        <v>8302</v>
      </c>
      <c r="U10" s="158">
        <v>4860</v>
      </c>
      <c r="V10" s="158">
        <v>3531</v>
      </c>
      <c r="W10" s="158">
        <v>17559</v>
      </c>
      <c r="X10" s="158">
        <v>6261.0558223480148</v>
      </c>
      <c r="Y10" s="158">
        <v>6060.006937107918</v>
      </c>
      <c r="Z10" s="158">
        <v>2536.545301951372</v>
      </c>
      <c r="AA10" s="158">
        <v>2701.3919385926938</v>
      </c>
      <c r="AB10" s="158">
        <v>3445</v>
      </c>
      <c r="AC10" s="158">
        <v>856.3790999996063</v>
      </c>
      <c r="AD10" s="158">
        <v>2906</v>
      </c>
      <c r="AE10" s="158">
        <v>-1059</v>
      </c>
      <c r="AF10" s="158">
        <v>742</v>
      </c>
      <c r="AG10" s="158">
        <v>2394</v>
      </c>
      <c r="AH10" s="158">
        <v>369</v>
      </c>
      <c r="AI10" s="158">
        <v>-383</v>
      </c>
      <c r="AJ10" s="158">
        <v>1100</v>
      </c>
      <c r="AK10" s="158">
        <v>1308</v>
      </c>
      <c r="AL10" s="158">
        <v>-2339</v>
      </c>
      <c r="AM10" s="158">
        <v>501</v>
      </c>
      <c r="AN10" s="158">
        <v>-1197</v>
      </c>
      <c r="AO10" s="158">
        <v>-614</v>
      </c>
      <c r="AP10" s="158">
        <v>-1029</v>
      </c>
      <c r="AQ10" s="158">
        <v>-1380</v>
      </c>
      <c r="AR10" s="158">
        <v>115</v>
      </c>
      <c r="AS10" s="158">
        <v>-513</v>
      </c>
      <c r="AT10" s="158">
        <v>-350</v>
      </c>
      <c r="AU10" s="158">
        <v>-632</v>
      </c>
      <c r="AV10" s="158">
        <v>-1480</v>
      </c>
      <c r="AW10" s="158">
        <v>-306</v>
      </c>
      <c r="AX10" s="158">
        <v>127</v>
      </c>
      <c r="AY10" s="158">
        <v>-713</v>
      </c>
      <c r="AZ10" s="158">
        <v>-588</v>
      </c>
      <c r="BA10" s="158">
        <v>-1774</v>
      </c>
      <c r="BB10" s="158">
        <v>-833</v>
      </c>
      <c r="BC10" s="158">
        <v>-248</v>
      </c>
      <c r="BD10" s="158">
        <v>1439</v>
      </c>
      <c r="BE10" s="158">
        <v>-2132</v>
      </c>
      <c r="BF10" s="158">
        <v>5750</v>
      </c>
      <c r="BG10" s="158">
        <v>548</v>
      </c>
      <c r="BH10" s="158">
        <v>747</v>
      </c>
      <c r="BI10" s="158">
        <v>1275</v>
      </c>
      <c r="BJ10" s="158">
        <v>3180</v>
      </c>
      <c r="BK10" s="158">
        <v>11790</v>
      </c>
      <c r="BL10" s="158">
        <v>3828</v>
      </c>
      <c r="BM10" s="158">
        <v>3475</v>
      </c>
      <c r="BN10" s="158">
        <v>3548</v>
      </c>
      <c r="BO10" s="158">
        <v>939</v>
      </c>
      <c r="BP10" s="158">
        <v>271</v>
      </c>
      <c r="BQ10" s="158">
        <v>-1160</v>
      </c>
      <c r="BR10" s="158">
        <v>200</v>
      </c>
      <c r="BS10" s="158">
        <v>805</v>
      </c>
      <c r="BT10" s="158">
        <v>426</v>
      </c>
    </row>
    <row r="11" spans="2:72" x14ac:dyDescent="0.35">
      <c r="B11" s="157" t="s">
        <v>283</v>
      </c>
      <c r="C11" s="158">
        <v>-119095</v>
      </c>
      <c r="D11" s="158">
        <v>-33062</v>
      </c>
      <c r="E11" s="158">
        <v>-14319</v>
      </c>
      <c r="F11" s="158">
        <v>-46633</v>
      </c>
      <c r="G11" s="158">
        <v>-25081</v>
      </c>
      <c r="H11" s="158">
        <v>-49879</v>
      </c>
      <c r="I11" s="158">
        <v>3441</v>
      </c>
      <c r="J11" s="158">
        <v>-31522</v>
      </c>
      <c r="K11" s="158">
        <v>-17150</v>
      </c>
      <c r="L11" s="158">
        <v>-4647.5087299998995</v>
      </c>
      <c r="M11" s="158">
        <v>-58989.300749999973</v>
      </c>
      <c r="N11" s="158">
        <v>-42231</v>
      </c>
      <c r="O11" s="158">
        <v>-9689.9401200000011</v>
      </c>
      <c r="P11" s="158">
        <v>9315</v>
      </c>
      <c r="Q11" s="158">
        <v>-16383</v>
      </c>
      <c r="R11" s="158">
        <v>-25357</v>
      </c>
      <c r="S11" s="158">
        <v>23575</v>
      </c>
      <c r="T11" s="158">
        <v>-21872</v>
      </c>
      <c r="U11" s="158">
        <v>-18234</v>
      </c>
      <c r="V11" s="158">
        <v>-8827</v>
      </c>
      <c r="W11" s="158">
        <v>-18387</v>
      </c>
      <c r="X11" s="158">
        <v>-1387.1719500000552</v>
      </c>
      <c r="Y11" s="158">
        <v>1896.5962100001573</v>
      </c>
      <c r="Z11" s="158">
        <v>-6099.9555900000032</v>
      </c>
      <c r="AA11" s="158">
        <v>-12796.632000000012</v>
      </c>
      <c r="AB11" s="158">
        <v>-31054</v>
      </c>
      <c r="AC11" s="158">
        <v>3285.9966800000402</v>
      </c>
      <c r="AD11" s="158">
        <v>-12336</v>
      </c>
      <c r="AE11" s="158">
        <v>-17526</v>
      </c>
      <c r="AF11" s="158">
        <v>-4478</v>
      </c>
      <c r="AG11" s="158">
        <v>-41881</v>
      </c>
      <c r="AH11" s="158">
        <v>-11607</v>
      </c>
      <c r="AI11" s="158">
        <v>-9019</v>
      </c>
      <c r="AJ11" s="158">
        <v>-12450</v>
      </c>
      <c r="AK11" s="158">
        <v>-8805</v>
      </c>
      <c r="AL11" s="158">
        <v>-139954</v>
      </c>
      <c r="AM11" s="158">
        <v>-19581</v>
      </c>
      <c r="AN11" s="158">
        <v>-108260</v>
      </c>
      <c r="AO11" s="158">
        <v>-7332</v>
      </c>
      <c r="AP11" s="158">
        <v>-4782</v>
      </c>
      <c r="AQ11" s="158">
        <v>2984</v>
      </c>
      <c r="AR11" s="158">
        <v>1206</v>
      </c>
      <c r="AS11" s="158">
        <v>4983</v>
      </c>
      <c r="AT11" s="158">
        <v>-2549</v>
      </c>
      <c r="AU11" s="158">
        <v>-656</v>
      </c>
      <c r="AV11" s="158">
        <v>4016</v>
      </c>
      <c r="AW11" s="158">
        <v>-5056</v>
      </c>
      <c r="AX11" s="158">
        <v>14387</v>
      </c>
      <c r="AY11" s="158">
        <v>-1672</v>
      </c>
      <c r="AZ11" s="158">
        <v>-3643</v>
      </c>
      <c r="BA11" s="158">
        <v>-17267</v>
      </c>
      <c r="BB11" s="158">
        <v>-48</v>
      </c>
      <c r="BC11" s="158">
        <v>-4411</v>
      </c>
      <c r="BD11" s="158">
        <v>-8018</v>
      </c>
      <c r="BE11" s="158">
        <v>-4790</v>
      </c>
      <c r="BF11" s="158">
        <v>-22657</v>
      </c>
      <c r="BG11" s="158">
        <v>-13437</v>
      </c>
      <c r="BH11" s="158">
        <v>-7577</v>
      </c>
      <c r="BI11" s="158">
        <v>-2231</v>
      </c>
      <c r="BJ11" s="158">
        <v>588</v>
      </c>
      <c r="BK11" s="158">
        <v>-11036</v>
      </c>
      <c r="BL11" s="158">
        <v>-3260</v>
      </c>
      <c r="BM11" s="158">
        <v>-4327</v>
      </c>
      <c r="BN11" s="158">
        <v>-396</v>
      </c>
      <c r="BO11" s="158">
        <v>-3053</v>
      </c>
      <c r="BP11" s="158">
        <v>-7165</v>
      </c>
      <c r="BQ11" s="158">
        <v>-4164</v>
      </c>
      <c r="BR11" s="158">
        <v>-2335</v>
      </c>
      <c r="BS11" s="158">
        <v>-1230</v>
      </c>
      <c r="BT11" s="158">
        <v>564</v>
      </c>
    </row>
    <row r="12" spans="2:72" x14ac:dyDescent="0.35">
      <c r="B12" s="157" t="s">
        <v>284</v>
      </c>
      <c r="C12" s="158">
        <v>-347061</v>
      </c>
      <c r="D12" s="158">
        <v>-113765</v>
      </c>
      <c r="E12" s="158">
        <v>-92014</v>
      </c>
      <c r="F12" s="158">
        <v>-79992</v>
      </c>
      <c r="G12" s="158">
        <v>-61290</v>
      </c>
      <c r="H12" s="158">
        <v>-256789</v>
      </c>
      <c r="I12" s="158">
        <v>-91503</v>
      </c>
      <c r="J12" s="158">
        <v>-59330</v>
      </c>
      <c r="K12" s="158">
        <v>-65707</v>
      </c>
      <c r="L12" s="158">
        <v>-40248.693819999789</v>
      </c>
      <c r="M12" s="158">
        <v>-288045.12039999961</v>
      </c>
      <c r="N12" s="158">
        <v>-73935</v>
      </c>
      <c r="O12" s="158">
        <v>-75550.891449999719</v>
      </c>
      <c r="P12" s="158">
        <v>-69299</v>
      </c>
      <c r="Q12" s="158">
        <v>-69260</v>
      </c>
      <c r="R12" s="158">
        <v>-269367</v>
      </c>
      <c r="S12" s="158">
        <v>-74805</v>
      </c>
      <c r="T12" s="158">
        <v>-68711</v>
      </c>
      <c r="U12" s="158">
        <v>-65049</v>
      </c>
      <c r="V12" s="158">
        <v>-60801</v>
      </c>
      <c r="W12" s="158">
        <v>-157347</v>
      </c>
      <c r="X12" s="158">
        <v>-61886.734858846146</v>
      </c>
      <c r="Y12" s="158">
        <v>-39944.088380384615</v>
      </c>
      <c r="Z12" s="158">
        <v>-26862.088380384615</v>
      </c>
      <c r="AA12" s="158">
        <v>-28654.088380384615</v>
      </c>
      <c r="AB12" s="158">
        <v>-84083</v>
      </c>
      <c r="AC12" s="158">
        <v>-30413.681240000376</v>
      </c>
      <c r="AD12" s="158">
        <v>-16297</v>
      </c>
      <c r="AE12" s="158">
        <v>-17375</v>
      </c>
      <c r="AF12" s="158">
        <v>-19997</v>
      </c>
      <c r="AG12" s="158">
        <v>-80156</v>
      </c>
      <c r="AH12" s="158">
        <v>-18376</v>
      </c>
      <c r="AI12" s="158">
        <v>-20972</v>
      </c>
      <c r="AJ12" s="158">
        <v>-19842</v>
      </c>
      <c r="AK12" s="158">
        <v>-20966</v>
      </c>
      <c r="AL12" s="158">
        <v>-58858</v>
      </c>
      <c r="AM12" s="158">
        <v>-14281</v>
      </c>
      <c r="AN12" s="158">
        <v>-15823</v>
      </c>
      <c r="AO12" s="158">
        <v>-15042</v>
      </c>
      <c r="AP12" s="158">
        <v>-13712</v>
      </c>
      <c r="AQ12" s="158">
        <v>-42998</v>
      </c>
      <c r="AR12" s="158">
        <v>-9977</v>
      </c>
      <c r="AS12" s="158">
        <v>-13221</v>
      </c>
      <c r="AT12" s="158">
        <v>-8709</v>
      </c>
      <c r="AU12" s="158">
        <v>-11091</v>
      </c>
      <c r="AV12" s="158">
        <v>-50278</v>
      </c>
      <c r="AW12" s="158">
        <v>-11515</v>
      </c>
      <c r="AX12" s="158">
        <v>-14181</v>
      </c>
      <c r="AY12" s="158">
        <v>-14451</v>
      </c>
      <c r="AZ12" s="158">
        <v>-10131</v>
      </c>
      <c r="BA12" s="158">
        <v>-48752</v>
      </c>
      <c r="BB12" s="158">
        <v>-12210</v>
      </c>
      <c r="BC12" s="158">
        <v>-12279</v>
      </c>
      <c r="BD12" s="158">
        <v>-12196</v>
      </c>
      <c r="BE12" s="158">
        <v>-12067</v>
      </c>
      <c r="BF12" s="158">
        <v>-45969</v>
      </c>
      <c r="BG12" s="158">
        <v>-12406</v>
      </c>
      <c r="BH12" s="158">
        <v>-12812</v>
      </c>
      <c r="BI12" s="158">
        <v>-12383</v>
      </c>
      <c r="BJ12" s="158">
        <v>-8368</v>
      </c>
      <c r="BK12" s="158">
        <v>-31111</v>
      </c>
      <c r="BL12" s="158">
        <v>-8115</v>
      </c>
      <c r="BM12" s="158">
        <v>-8707</v>
      </c>
      <c r="BN12" s="158">
        <v>-6686</v>
      </c>
      <c r="BO12" s="158">
        <v>-7603</v>
      </c>
      <c r="BP12" s="158">
        <v>-15108</v>
      </c>
      <c r="BQ12" s="158">
        <v>-6860</v>
      </c>
      <c r="BR12" s="158">
        <v>-2970</v>
      </c>
      <c r="BS12" s="158">
        <v>-2570</v>
      </c>
      <c r="BT12" s="158">
        <v>-2708</v>
      </c>
    </row>
    <row r="13" spans="2:72" x14ac:dyDescent="0.35">
      <c r="B13" s="157" t="s">
        <v>285</v>
      </c>
      <c r="C13" s="158">
        <v>422421</v>
      </c>
      <c r="D13" s="158">
        <v>127549</v>
      </c>
      <c r="E13" s="158">
        <v>119310</v>
      </c>
      <c r="F13" s="158">
        <v>98161</v>
      </c>
      <c r="G13" s="158">
        <v>77401</v>
      </c>
      <c r="H13" s="158">
        <v>294108</v>
      </c>
      <c r="I13" s="158">
        <v>84674</v>
      </c>
      <c r="J13" s="158">
        <v>76764.078069999901</v>
      </c>
      <c r="K13" s="158">
        <v>69213</v>
      </c>
      <c r="L13" s="158">
        <v>63456.853099999869</v>
      </c>
      <c r="M13" s="158">
        <v>302169.01762999984</v>
      </c>
      <c r="N13" s="158">
        <v>120692</v>
      </c>
      <c r="O13" s="158">
        <v>63367.25601999987</v>
      </c>
      <c r="P13" s="158">
        <v>68147</v>
      </c>
      <c r="Q13" s="158">
        <v>49962</v>
      </c>
      <c r="R13" s="158">
        <v>195489</v>
      </c>
      <c r="S13" s="158">
        <v>54132</v>
      </c>
      <c r="T13" s="158">
        <v>70823</v>
      </c>
      <c r="U13" s="158">
        <v>34226</v>
      </c>
      <c r="V13" s="158">
        <v>36308</v>
      </c>
      <c r="W13" s="158">
        <v>80632</v>
      </c>
      <c r="X13" s="158">
        <v>38182.270109999859</v>
      </c>
      <c r="Y13" s="158">
        <v>20724.72756000001</v>
      </c>
      <c r="Z13" s="158">
        <v>12895.798370000006</v>
      </c>
      <c r="AA13" s="158">
        <v>8828.9352900000049</v>
      </c>
      <c r="AB13" s="158">
        <v>44116</v>
      </c>
      <c r="AC13" s="158">
        <v>10449.829550000009</v>
      </c>
      <c r="AD13" s="158">
        <v>8381</v>
      </c>
      <c r="AE13" s="158">
        <v>15982</v>
      </c>
      <c r="AF13" s="158">
        <v>9304</v>
      </c>
      <c r="AG13" s="158">
        <v>40941</v>
      </c>
      <c r="AH13" s="158">
        <v>9377</v>
      </c>
      <c r="AI13" s="158">
        <v>12780</v>
      </c>
      <c r="AJ13" s="158">
        <v>9122</v>
      </c>
      <c r="AK13" s="158">
        <v>9662</v>
      </c>
      <c r="AL13" s="158">
        <v>38347</v>
      </c>
      <c r="AM13" s="158">
        <v>9744</v>
      </c>
      <c r="AN13" s="158">
        <v>10278</v>
      </c>
      <c r="AO13" s="158">
        <v>8762</v>
      </c>
      <c r="AP13" s="158">
        <v>9563</v>
      </c>
      <c r="AQ13" s="158">
        <v>54158</v>
      </c>
      <c r="AR13" s="158">
        <v>14234</v>
      </c>
      <c r="AS13" s="158">
        <v>14058</v>
      </c>
      <c r="AT13" s="158">
        <v>10303</v>
      </c>
      <c r="AU13" s="158">
        <v>15563</v>
      </c>
      <c r="AV13" s="158">
        <v>67521</v>
      </c>
      <c r="AW13" s="158">
        <v>16622</v>
      </c>
      <c r="AX13" s="158">
        <v>19314</v>
      </c>
      <c r="AY13" s="158">
        <v>17980</v>
      </c>
      <c r="AZ13" s="158">
        <v>13605</v>
      </c>
      <c r="BA13" s="158">
        <v>64983</v>
      </c>
      <c r="BB13" s="158">
        <v>15437</v>
      </c>
      <c r="BC13" s="158">
        <v>16336</v>
      </c>
      <c r="BD13" s="158">
        <v>16043</v>
      </c>
      <c r="BE13" s="158">
        <v>17167</v>
      </c>
      <c r="BF13" s="158">
        <v>57838</v>
      </c>
      <c r="BG13" s="158">
        <v>16896</v>
      </c>
      <c r="BH13" s="158">
        <v>16263</v>
      </c>
      <c r="BI13" s="158">
        <v>14289</v>
      </c>
      <c r="BJ13" s="158">
        <v>10390</v>
      </c>
      <c r="BK13" s="158">
        <v>32586</v>
      </c>
      <c r="BL13" s="158">
        <v>9255</v>
      </c>
      <c r="BM13" s="158">
        <v>8180</v>
      </c>
      <c r="BN13" s="158">
        <v>8348</v>
      </c>
      <c r="BO13" s="158">
        <v>6803</v>
      </c>
      <c r="BP13" s="158">
        <v>38870</v>
      </c>
      <c r="BQ13" s="158">
        <v>10730</v>
      </c>
      <c r="BR13" s="158">
        <v>7030</v>
      </c>
      <c r="BS13" s="158">
        <v>10078</v>
      </c>
      <c r="BT13" s="158">
        <v>11032</v>
      </c>
    </row>
    <row r="14" spans="2:72" ht="29" x14ac:dyDescent="0.35">
      <c r="B14" s="155" t="s">
        <v>286</v>
      </c>
      <c r="C14" s="156">
        <v>1078495</v>
      </c>
      <c r="D14" s="156">
        <v>312379</v>
      </c>
      <c r="E14" s="156">
        <v>310375</v>
      </c>
      <c r="F14" s="156">
        <v>243181</v>
      </c>
      <c r="G14" s="156">
        <v>212561</v>
      </c>
      <c r="H14" s="156">
        <v>792298</v>
      </c>
      <c r="I14" s="156">
        <v>221614</v>
      </c>
      <c r="J14" s="156">
        <v>204451.0780699999</v>
      </c>
      <c r="K14" s="156">
        <v>184813</v>
      </c>
      <c r="L14" s="156">
        <v>181420.22603000014</v>
      </c>
      <c r="M14" s="156">
        <v>436858.93222999986</v>
      </c>
      <c r="N14" s="156">
        <v>127956</v>
      </c>
      <c r="O14" s="156">
        <v>96966.325780000057</v>
      </c>
      <c r="P14" s="156">
        <v>128335</v>
      </c>
      <c r="Q14" s="156">
        <v>83600</v>
      </c>
      <c r="R14" s="156">
        <v>301535</v>
      </c>
      <c r="S14" s="156">
        <v>105851</v>
      </c>
      <c r="T14" s="156">
        <v>91199</v>
      </c>
      <c r="U14" s="156">
        <v>49439</v>
      </c>
      <c r="V14" s="156">
        <v>55046</v>
      </c>
      <c r="W14" s="156">
        <v>229125</v>
      </c>
      <c r="X14" s="156">
        <v>55845.193302726846</v>
      </c>
      <c r="Y14" s="156">
        <v>67191.086941255839</v>
      </c>
      <c r="Z14" s="156">
        <v>62354.317767232431</v>
      </c>
      <c r="AA14" s="156">
        <v>43735.329668784754</v>
      </c>
      <c r="AB14" s="156">
        <v>172118.42939999979</v>
      </c>
      <c r="AC14" s="156">
        <v>52215.15855999937</v>
      </c>
      <c r="AD14" s="156">
        <v>48761</v>
      </c>
      <c r="AE14" s="156">
        <v>47521</v>
      </c>
      <c r="AF14" s="156">
        <v>23620</v>
      </c>
      <c r="AG14" s="156">
        <v>153801</v>
      </c>
      <c r="AH14" s="156">
        <v>40272</v>
      </c>
      <c r="AI14" s="156">
        <v>39678</v>
      </c>
      <c r="AJ14" s="156">
        <v>39518</v>
      </c>
      <c r="AK14" s="156">
        <v>34333</v>
      </c>
      <c r="AL14" s="156">
        <v>-51328</v>
      </c>
      <c r="AM14" s="156">
        <v>25854</v>
      </c>
      <c r="AN14" s="156">
        <v>-80100</v>
      </c>
      <c r="AO14" s="156">
        <v>6392</v>
      </c>
      <c r="AP14" s="156">
        <v>-3475</v>
      </c>
      <c r="AQ14" s="156">
        <v>-120710</v>
      </c>
      <c r="AR14" s="156">
        <v>-55608</v>
      </c>
      <c r="AS14" s="156">
        <v>-24573</v>
      </c>
      <c r="AT14" s="156">
        <v>-22725</v>
      </c>
      <c r="AU14" s="156">
        <v>-17804</v>
      </c>
      <c r="AV14" s="156">
        <v>20202</v>
      </c>
      <c r="AW14" s="156">
        <v>-61567</v>
      </c>
      <c r="AX14" s="156">
        <v>6169</v>
      </c>
      <c r="AY14" s="156">
        <v>34698</v>
      </c>
      <c r="AZ14" s="156">
        <v>40902</v>
      </c>
      <c r="BA14" s="156">
        <v>179498</v>
      </c>
      <c r="BB14" s="156">
        <v>43644</v>
      </c>
      <c r="BC14" s="156">
        <v>42979</v>
      </c>
      <c r="BD14" s="156">
        <v>45194</v>
      </c>
      <c r="BE14" s="156">
        <v>47681</v>
      </c>
      <c r="BF14" s="156">
        <v>255527</v>
      </c>
      <c r="BG14" s="156">
        <v>67529</v>
      </c>
      <c r="BH14" s="156">
        <v>66823</v>
      </c>
      <c r="BI14" s="156">
        <v>63446</v>
      </c>
      <c r="BJ14" s="156">
        <v>57729</v>
      </c>
      <c r="BK14" s="156">
        <v>260196</v>
      </c>
      <c r="BL14" s="156">
        <v>60080</v>
      </c>
      <c r="BM14" s="156">
        <v>70588</v>
      </c>
      <c r="BN14" s="156">
        <v>67067</v>
      </c>
      <c r="BO14" s="156">
        <v>62461</v>
      </c>
      <c r="BP14" s="156">
        <v>277704</v>
      </c>
      <c r="BQ14" s="156">
        <v>77290</v>
      </c>
      <c r="BR14" s="156">
        <v>67410</v>
      </c>
      <c r="BS14" s="156">
        <v>63746</v>
      </c>
      <c r="BT14" s="156">
        <v>69258</v>
      </c>
    </row>
    <row r="15" spans="2:72" x14ac:dyDescent="0.35">
      <c r="B15" s="157" t="s">
        <v>287</v>
      </c>
      <c r="C15" s="158">
        <v>-98803</v>
      </c>
      <c r="D15" s="158">
        <v>-27756</v>
      </c>
      <c r="E15" s="158">
        <v>-27400</v>
      </c>
      <c r="F15" s="158">
        <v>-22538</v>
      </c>
      <c r="G15" s="158">
        <v>-21109</v>
      </c>
      <c r="H15" s="158">
        <v>-64630.453820000002</v>
      </c>
      <c r="I15" s="158">
        <v>-17545</v>
      </c>
      <c r="J15" s="158">
        <v>-19761.094390000002</v>
      </c>
      <c r="K15" s="158">
        <v>-14901</v>
      </c>
      <c r="L15" s="158">
        <v>-12423.35943</v>
      </c>
      <c r="M15" s="158">
        <v>-49981.55169</v>
      </c>
      <c r="N15" s="158">
        <v>-13991</v>
      </c>
      <c r="O15" s="158">
        <v>-11091.37998</v>
      </c>
      <c r="P15" s="158">
        <v>-13564</v>
      </c>
      <c r="Q15" s="158">
        <v>-11335</v>
      </c>
      <c r="R15" s="158">
        <v>-45846</v>
      </c>
      <c r="S15" s="158">
        <v>-11224</v>
      </c>
      <c r="T15" s="158">
        <v>-12246</v>
      </c>
      <c r="U15" s="158">
        <v>-12572</v>
      </c>
      <c r="V15" s="158">
        <v>-9805</v>
      </c>
      <c r="W15" s="158">
        <v>-35563</v>
      </c>
      <c r="X15" s="158">
        <v>-9904.0602400000025</v>
      </c>
      <c r="Y15" s="158">
        <v>-8254.5453800000032</v>
      </c>
      <c r="Z15" s="158">
        <v>-9448.2700499999992</v>
      </c>
      <c r="AA15" s="158">
        <v>-7956.2746699999998</v>
      </c>
      <c r="AB15" s="158">
        <v>-31110</v>
      </c>
      <c r="AC15" s="158">
        <v>-9178.8076800000017</v>
      </c>
      <c r="AD15" s="158">
        <v>-7567</v>
      </c>
      <c r="AE15" s="158">
        <v>-8468</v>
      </c>
      <c r="AF15" s="158">
        <v>-5897</v>
      </c>
      <c r="AG15" s="158">
        <v>-32986</v>
      </c>
      <c r="AH15" s="158">
        <v>-9331</v>
      </c>
      <c r="AI15" s="158">
        <v>-8516</v>
      </c>
      <c r="AJ15" s="158">
        <v>-7560</v>
      </c>
      <c r="AK15" s="158">
        <v>-7579</v>
      </c>
      <c r="AL15" s="158">
        <v>-22608</v>
      </c>
      <c r="AM15" s="158">
        <v>-7463</v>
      </c>
      <c r="AN15" s="158">
        <v>-4787</v>
      </c>
      <c r="AO15" s="158">
        <v>-5805</v>
      </c>
      <c r="AP15" s="158">
        <v>-4553</v>
      </c>
      <c r="AQ15" s="158">
        <v>-16725</v>
      </c>
      <c r="AR15" s="158">
        <v>-5079</v>
      </c>
      <c r="AS15" s="158">
        <v>-4218</v>
      </c>
      <c r="AT15" s="158">
        <v>-3237</v>
      </c>
      <c r="AU15" s="158">
        <v>-4191</v>
      </c>
      <c r="AV15" s="158">
        <v>-21599</v>
      </c>
      <c r="AW15" s="158">
        <v>-4818</v>
      </c>
      <c r="AX15" s="158">
        <v>-4747</v>
      </c>
      <c r="AY15" s="158">
        <v>-5585</v>
      </c>
      <c r="AZ15" s="158">
        <v>-6449</v>
      </c>
      <c r="BA15" s="158">
        <v>-23288</v>
      </c>
      <c r="BB15" s="158">
        <v>-5271</v>
      </c>
      <c r="BC15" s="158">
        <v>-5900</v>
      </c>
      <c r="BD15" s="158">
        <v>-6652</v>
      </c>
      <c r="BE15" s="158">
        <v>-5465</v>
      </c>
      <c r="BF15" s="158">
        <v>-23311</v>
      </c>
      <c r="BG15" s="158">
        <v>-7001</v>
      </c>
      <c r="BH15" s="158">
        <v>-5273</v>
      </c>
      <c r="BI15" s="158">
        <v>-5836</v>
      </c>
      <c r="BJ15" s="158">
        <v>-5201</v>
      </c>
      <c r="BK15" s="158">
        <v>-23742</v>
      </c>
      <c r="BL15" s="158">
        <v>-6038</v>
      </c>
      <c r="BM15" s="158">
        <v>-6167</v>
      </c>
      <c r="BN15" s="158">
        <v>-5942</v>
      </c>
      <c r="BO15" s="158">
        <v>-5595</v>
      </c>
      <c r="BP15" s="158">
        <v>-20237</v>
      </c>
      <c r="BQ15" s="158">
        <v>4367</v>
      </c>
      <c r="BR15" s="158">
        <v>-7680</v>
      </c>
      <c r="BS15" s="158">
        <v>-7907</v>
      </c>
      <c r="BT15" s="158">
        <v>-9017</v>
      </c>
    </row>
    <row r="16" spans="2:72" x14ac:dyDescent="0.35">
      <c r="B16" s="155" t="s">
        <v>288</v>
      </c>
      <c r="C16" s="156">
        <v>979692</v>
      </c>
      <c r="D16" s="156">
        <v>284623</v>
      </c>
      <c r="E16" s="156">
        <v>282974</v>
      </c>
      <c r="F16" s="156">
        <v>220643</v>
      </c>
      <c r="G16" s="156">
        <v>191452</v>
      </c>
      <c r="H16" s="156">
        <v>727668.37697999994</v>
      </c>
      <c r="I16" s="156">
        <v>204069</v>
      </c>
      <c r="J16" s="156">
        <v>184689.98367999989</v>
      </c>
      <c r="K16" s="156">
        <v>169912</v>
      </c>
      <c r="L16" s="156">
        <v>168996.86660000012</v>
      </c>
      <c r="M16" s="156">
        <v>386877.38053999987</v>
      </c>
      <c r="N16" s="156">
        <v>113965</v>
      </c>
      <c r="O16" s="156">
        <v>85874.94580000006</v>
      </c>
      <c r="P16" s="156">
        <v>114771</v>
      </c>
      <c r="Q16" s="156">
        <v>72265</v>
      </c>
      <c r="R16" s="156">
        <v>255689</v>
      </c>
      <c r="S16" s="156">
        <v>94628</v>
      </c>
      <c r="T16" s="156">
        <v>78953</v>
      </c>
      <c r="U16" s="156">
        <v>36867</v>
      </c>
      <c r="V16" s="156">
        <v>45241</v>
      </c>
      <c r="W16" s="156">
        <v>193562</v>
      </c>
      <c r="X16" s="156">
        <v>45941.133062726847</v>
      </c>
      <c r="Y16" s="156">
        <v>58936.541561255835</v>
      </c>
      <c r="Z16" s="156">
        <v>52906.047717232432</v>
      </c>
      <c r="AA16" s="156">
        <v>35779.054998784755</v>
      </c>
      <c r="AB16" s="156">
        <v>141008.42939999979</v>
      </c>
      <c r="AC16" s="156">
        <v>43036.350879999372</v>
      </c>
      <c r="AD16" s="156">
        <v>41194</v>
      </c>
      <c r="AE16" s="156">
        <v>39053</v>
      </c>
      <c r="AF16" s="156">
        <v>17723</v>
      </c>
      <c r="AG16" s="156">
        <v>120816</v>
      </c>
      <c r="AH16" s="156">
        <v>30941</v>
      </c>
      <c r="AI16" s="156">
        <v>31163</v>
      </c>
      <c r="AJ16" s="156">
        <v>31958</v>
      </c>
      <c r="AK16" s="156">
        <v>26754</v>
      </c>
      <c r="AL16" s="156">
        <v>-73936</v>
      </c>
      <c r="AM16" s="156">
        <v>18391</v>
      </c>
      <c r="AN16" s="156">
        <v>-84887</v>
      </c>
      <c r="AO16" s="156">
        <v>587</v>
      </c>
      <c r="AP16" s="156">
        <v>-8028</v>
      </c>
      <c r="AQ16" s="156">
        <v>-137435</v>
      </c>
      <c r="AR16" s="156">
        <v>-60687</v>
      </c>
      <c r="AS16" s="156">
        <v>-28791</v>
      </c>
      <c r="AT16" s="156">
        <v>-25962</v>
      </c>
      <c r="AU16" s="156">
        <v>-21995</v>
      </c>
      <c r="AV16" s="156">
        <v>-1397</v>
      </c>
      <c r="AW16" s="156">
        <v>-66385</v>
      </c>
      <c r="AX16" s="156">
        <v>1422</v>
      </c>
      <c r="AY16" s="156">
        <v>29113</v>
      </c>
      <c r="AZ16" s="156">
        <v>34453</v>
      </c>
      <c r="BA16" s="156">
        <v>156210</v>
      </c>
      <c r="BB16" s="156">
        <v>38373</v>
      </c>
      <c r="BC16" s="156">
        <v>37079</v>
      </c>
      <c r="BD16" s="156">
        <v>38542</v>
      </c>
      <c r="BE16" s="156">
        <v>42216</v>
      </c>
      <c r="BF16" s="156">
        <v>232216</v>
      </c>
      <c r="BG16" s="156">
        <v>60528</v>
      </c>
      <c r="BH16" s="156">
        <v>61550</v>
      </c>
      <c r="BI16" s="156">
        <v>57610</v>
      </c>
      <c r="BJ16" s="156">
        <v>52528</v>
      </c>
      <c r="BK16" s="156">
        <v>236454</v>
      </c>
      <c r="BL16" s="156">
        <v>54042</v>
      </c>
      <c r="BM16" s="156">
        <v>64421</v>
      </c>
      <c r="BN16" s="156">
        <v>61125</v>
      </c>
      <c r="BO16" s="156">
        <v>56866</v>
      </c>
      <c r="BP16" s="156">
        <v>257467</v>
      </c>
      <c r="BQ16" s="156">
        <v>81657</v>
      </c>
      <c r="BR16" s="156">
        <v>59730</v>
      </c>
      <c r="BS16" s="156">
        <v>55839</v>
      </c>
      <c r="BT16" s="156">
        <v>60241</v>
      </c>
    </row>
    <row r="17" spans="2:72" x14ac:dyDescent="0.35">
      <c r="B17" s="157" t="s">
        <v>233</v>
      </c>
      <c r="C17" s="158">
        <v>-190350</v>
      </c>
      <c r="D17" s="158">
        <v>-73191</v>
      </c>
      <c r="E17" s="158">
        <v>-53322</v>
      </c>
      <c r="F17" s="158">
        <v>-36901</v>
      </c>
      <c r="G17" s="158">
        <v>-26936</v>
      </c>
      <c r="H17" s="158">
        <v>-89290.163419999997</v>
      </c>
      <c r="I17" s="158">
        <v>-22608</v>
      </c>
      <c r="J17" s="158">
        <v>-24226</v>
      </c>
      <c r="K17" s="158">
        <v>-23743</v>
      </c>
      <c r="L17" s="158">
        <v>-18713.163420000001</v>
      </c>
      <c r="M17" s="158">
        <v>-55317.085509999997</v>
      </c>
      <c r="N17" s="158">
        <v>-14359</v>
      </c>
      <c r="O17" s="158">
        <v>-17112</v>
      </c>
      <c r="P17" s="158">
        <v>-10333</v>
      </c>
      <c r="Q17" s="158">
        <v>-13511</v>
      </c>
      <c r="R17" s="158">
        <v>-65669</v>
      </c>
      <c r="S17" s="158">
        <v>-16023</v>
      </c>
      <c r="T17" s="158">
        <v>-16681</v>
      </c>
      <c r="U17" s="158">
        <v>-14431</v>
      </c>
      <c r="V17" s="158">
        <v>-18534</v>
      </c>
      <c r="W17" s="158">
        <v>-46959</v>
      </c>
      <c r="X17" s="158">
        <v>-13982.317574389948</v>
      </c>
      <c r="Y17" s="158">
        <v>-11726.42986333352</v>
      </c>
      <c r="Z17" s="158">
        <v>-12282.84115519379</v>
      </c>
      <c r="AA17" s="158">
        <v>-8967.41140708274</v>
      </c>
      <c r="AB17" s="158">
        <v>-36040</v>
      </c>
      <c r="AC17" s="158">
        <v>-10571.336379999979</v>
      </c>
      <c r="AD17" s="158">
        <v>-12639</v>
      </c>
      <c r="AE17" s="158">
        <v>-5159</v>
      </c>
      <c r="AF17" s="158">
        <v>-7671</v>
      </c>
      <c r="AG17" s="158">
        <v>-20340</v>
      </c>
      <c r="AH17" s="158">
        <v>-2729</v>
      </c>
      <c r="AI17" s="158">
        <v>-5212</v>
      </c>
      <c r="AJ17" s="158">
        <v>-6059</v>
      </c>
      <c r="AK17" s="158">
        <v>-6340</v>
      </c>
      <c r="AL17" s="158">
        <v>-3559</v>
      </c>
      <c r="AM17" s="158">
        <v>-194</v>
      </c>
      <c r="AN17" s="158">
        <v>1066</v>
      </c>
      <c r="AO17" s="158">
        <v>-4364</v>
      </c>
      <c r="AP17" s="158">
        <v>-65</v>
      </c>
      <c r="AQ17" s="158">
        <v>-6346</v>
      </c>
      <c r="AR17" s="158">
        <v>-1197</v>
      </c>
      <c r="AS17" s="158">
        <v>-599</v>
      </c>
      <c r="AT17" s="158">
        <v>-3765</v>
      </c>
      <c r="AU17" s="158">
        <v>-785</v>
      </c>
      <c r="AV17" s="158">
        <v>-10465</v>
      </c>
      <c r="AW17" s="158">
        <v>1574</v>
      </c>
      <c r="AX17" s="158">
        <v>-306</v>
      </c>
      <c r="AY17" s="158">
        <v>-6918</v>
      </c>
      <c r="AZ17" s="158">
        <v>-4815</v>
      </c>
      <c r="BA17" s="158">
        <v>-32563</v>
      </c>
      <c r="BB17" s="158">
        <v>-7549</v>
      </c>
      <c r="BC17" s="158">
        <v>-8275</v>
      </c>
      <c r="BD17" s="158">
        <v>-10758</v>
      </c>
      <c r="BE17" s="158">
        <v>-5981</v>
      </c>
      <c r="BF17" s="158">
        <v>-26346</v>
      </c>
      <c r="BG17" s="158">
        <v>207</v>
      </c>
      <c r="BH17" s="158">
        <v>-9304</v>
      </c>
      <c r="BI17" s="158">
        <v>-11044</v>
      </c>
      <c r="BJ17" s="158">
        <v>-6205</v>
      </c>
      <c r="BK17" s="158">
        <v>-8257</v>
      </c>
      <c r="BL17" s="158">
        <v>-3558</v>
      </c>
      <c r="BM17" s="158">
        <v>-2309</v>
      </c>
      <c r="BN17" s="158">
        <v>-261</v>
      </c>
      <c r="BO17" s="158">
        <v>-2129</v>
      </c>
      <c r="BP17" s="158">
        <v>-32429</v>
      </c>
      <c r="BQ17" s="158">
        <v>-8912</v>
      </c>
      <c r="BR17" s="158">
        <v>-5055</v>
      </c>
      <c r="BS17" s="158">
        <v>-9354</v>
      </c>
      <c r="BT17" s="158">
        <v>-9108</v>
      </c>
    </row>
    <row r="18" spans="2:72" x14ac:dyDescent="0.35">
      <c r="B18" s="155" t="s">
        <v>289</v>
      </c>
      <c r="C18" s="156">
        <v>789342</v>
      </c>
      <c r="D18" s="156">
        <v>211432</v>
      </c>
      <c r="E18" s="156">
        <v>229652</v>
      </c>
      <c r="F18" s="156">
        <v>183742</v>
      </c>
      <c r="G18" s="156">
        <v>164516</v>
      </c>
      <c r="H18" s="156">
        <v>638378.21355999995</v>
      </c>
      <c r="I18" s="156">
        <v>181461</v>
      </c>
      <c r="J18" s="156">
        <v>160463.98367999989</v>
      </c>
      <c r="K18" s="156">
        <v>146169</v>
      </c>
      <c r="L18" s="156">
        <v>150283.70318000013</v>
      </c>
      <c r="M18" s="156">
        <v>331560.29502999986</v>
      </c>
      <c r="N18" s="156">
        <v>99606</v>
      </c>
      <c r="O18" s="156">
        <v>68762.94580000006</v>
      </c>
      <c r="P18" s="156">
        <v>104439</v>
      </c>
      <c r="Q18" s="156">
        <v>58754</v>
      </c>
      <c r="R18" s="156">
        <v>190020</v>
      </c>
      <c r="S18" s="156">
        <v>78605</v>
      </c>
      <c r="T18" s="156">
        <v>62272</v>
      </c>
      <c r="U18" s="156">
        <v>22436</v>
      </c>
      <c r="V18" s="156">
        <v>26707</v>
      </c>
      <c r="W18" s="156">
        <v>146603</v>
      </c>
      <c r="X18" s="156">
        <v>31958.815488336899</v>
      </c>
      <c r="Y18" s="156">
        <v>47210.111697922315</v>
      </c>
      <c r="Z18" s="156">
        <v>40623.206562038642</v>
      </c>
      <c r="AA18" s="156">
        <v>26811.643591702014</v>
      </c>
      <c r="AB18" s="156">
        <v>104968.42939999979</v>
      </c>
      <c r="AC18" s="156">
        <v>32465.014499999394</v>
      </c>
      <c r="AD18" s="156">
        <v>28555</v>
      </c>
      <c r="AE18" s="156">
        <v>33894</v>
      </c>
      <c r="AF18" s="156">
        <v>10052</v>
      </c>
      <c r="AG18" s="156">
        <v>100477</v>
      </c>
      <c r="AH18" s="156">
        <v>28213</v>
      </c>
      <c r="AI18" s="156">
        <v>25951</v>
      </c>
      <c r="AJ18" s="156">
        <v>25900</v>
      </c>
      <c r="AK18" s="156">
        <v>20413</v>
      </c>
      <c r="AL18" s="156">
        <v>-77495</v>
      </c>
      <c r="AM18" s="156">
        <v>18197</v>
      </c>
      <c r="AN18" s="156">
        <v>-83821</v>
      </c>
      <c r="AO18" s="156">
        <v>-3778</v>
      </c>
      <c r="AP18" s="156">
        <v>-8093</v>
      </c>
      <c r="AQ18" s="156">
        <v>-143781</v>
      </c>
      <c r="AR18" s="156">
        <v>-61884</v>
      </c>
      <c r="AS18" s="156">
        <v>-29390</v>
      </c>
      <c r="AT18" s="156">
        <v>-29727</v>
      </c>
      <c r="AU18" s="156">
        <v>-22780</v>
      </c>
      <c r="AV18" s="156">
        <v>-11862</v>
      </c>
      <c r="AW18" s="156">
        <v>-64811</v>
      </c>
      <c r="AX18" s="156">
        <v>1116</v>
      </c>
      <c r="AY18" s="156">
        <v>22195</v>
      </c>
      <c r="AZ18" s="156">
        <v>29638</v>
      </c>
      <c r="BA18" s="156">
        <v>123647</v>
      </c>
      <c r="BB18" s="156">
        <v>30824</v>
      </c>
      <c r="BC18" s="156">
        <v>28804</v>
      </c>
      <c r="BD18" s="156">
        <v>27784</v>
      </c>
      <c r="BE18" s="156">
        <v>36235</v>
      </c>
      <c r="BF18" s="156">
        <v>205870</v>
      </c>
      <c r="BG18" s="156">
        <v>60735</v>
      </c>
      <c r="BH18" s="156">
        <v>52246</v>
      </c>
      <c r="BI18" s="156">
        <v>46566</v>
      </c>
      <c r="BJ18" s="156">
        <v>46323</v>
      </c>
      <c r="BK18" s="156">
        <v>228197</v>
      </c>
      <c r="BL18" s="156">
        <v>50484</v>
      </c>
      <c r="BM18" s="156">
        <v>62112</v>
      </c>
      <c r="BN18" s="156">
        <v>60864</v>
      </c>
      <c r="BO18" s="156">
        <v>54737</v>
      </c>
      <c r="BP18" s="156">
        <v>225038</v>
      </c>
      <c r="BQ18" s="156">
        <v>72745</v>
      </c>
      <c r="BR18" s="156">
        <v>54675</v>
      </c>
      <c r="BS18" s="156">
        <v>46485</v>
      </c>
      <c r="BT18" s="156">
        <v>51133</v>
      </c>
    </row>
    <row r="19" spans="2:72" x14ac:dyDescent="0.35"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</row>
    <row r="20" spans="2:72" x14ac:dyDescent="0.35">
      <c r="C20" s="359">
        <f>C11/C5</f>
        <v>-2.7422238227514203E-2</v>
      </c>
      <c r="D20" s="359">
        <f t="shared" ref="D20:R20" si="0">D11/D5</f>
        <v>-2.697082742243501E-2</v>
      </c>
      <c r="E20" s="359">
        <f t="shared" si="0"/>
        <v>-1.2367175293632965E-2</v>
      </c>
      <c r="F20" s="359">
        <f t="shared" si="0"/>
        <v>-4.3778222134602564E-2</v>
      </c>
      <c r="G20" s="359">
        <f t="shared" si="0"/>
        <v>-2.8050668134011532E-2</v>
      </c>
      <c r="H20" s="359">
        <f t="shared" si="0"/>
        <v>-1.489605700513966E-2</v>
      </c>
      <c r="I20" s="359">
        <f t="shared" si="0"/>
        <v>3.7231797967994286E-3</v>
      </c>
      <c r="J20" s="359">
        <f t="shared" si="0"/>
        <v>-3.4616812248654184E-2</v>
      </c>
      <c r="K20" s="359">
        <f t="shared" si="0"/>
        <v>-2.0314609935798724E-2</v>
      </c>
      <c r="L20" s="359">
        <f t="shared" si="0"/>
        <v>-6.9423620418197539E-3</v>
      </c>
      <c r="M20" s="359">
        <f t="shared" si="0"/>
        <v>-2.504658905486324E-2</v>
      </c>
      <c r="N20" s="359">
        <f t="shared" si="0"/>
        <v>-6.6522482901149579E-2</v>
      </c>
      <c r="O20" s="359">
        <f t="shared" si="0"/>
        <v>-1.7375822388948265E-2</v>
      </c>
      <c r="P20" s="359">
        <f t="shared" si="0"/>
        <v>1.5386317987208626E-2</v>
      </c>
      <c r="Q20" s="359">
        <f t="shared" si="0"/>
        <v>-2.9398728441739984E-2</v>
      </c>
      <c r="R20" s="359">
        <f t="shared" si="0"/>
        <v>-1.1725151390723087E-2</v>
      </c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/>
      <c r="BT20" s="156"/>
    </row>
    <row r="21" spans="2:72" x14ac:dyDescent="0.35"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</row>
    <row r="22" spans="2:72" x14ac:dyDescent="0.35"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</row>
    <row r="23" spans="2:72" x14ac:dyDescent="0.35"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/>
      <c r="BT23" s="156"/>
    </row>
    <row r="24" spans="2:72" x14ac:dyDescent="0.35"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</row>
    <row r="25" spans="2:72" x14ac:dyDescent="0.35"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  <c r="BI25" s="156"/>
      <c r="BJ25" s="156"/>
      <c r="BK25" s="156"/>
      <c r="BL25" s="156"/>
      <c r="BM25" s="156"/>
      <c r="BN25" s="156"/>
      <c r="BO25" s="156"/>
      <c r="BP25" s="156"/>
      <c r="BQ25" s="156"/>
      <c r="BR25" s="156"/>
      <c r="BS25" s="156"/>
      <c r="BT25" s="156"/>
    </row>
    <row r="26" spans="2:72" x14ac:dyDescent="0.35"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  <c r="BJ26" s="156"/>
      <c r="BK26" s="156"/>
      <c r="BL26" s="156"/>
      <c r="BM26" s="156"/>
      <c r="BN26" s="156"/>
      <c r="BO26" s="156"/>
      <c r="BP26" s="156"/>
      <c r="BQ26" s="156"/>
      <c r="BR26" s="156"/>
      <c r="BS26" s="156"/>
      <c r="BT26" s="156"/>
    </row>
    <row r="27" spans="2:72" x14ac:dyDescent="0.35">
      <c r="C27" s="156"/>
      <c r="D27" s="156"/>
      <c r="E27" s="360">
        <f>AVERAGE(C20,H20,M20,R20)</f>
        <v>-1.9772508919560047E-2</v>
      </c>
      <c r="F27" s="156"/>
      <c r="G27" s="156"/>
      <c r="H27" s="156"/>
      <c r="I27" s="156"/>
      <c r="J27" s="156"/>
      <c r="K27" s="156"/>
      <c r="L27" s="156"/>
      <c r="M27" s="156"/>
      <c r="N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  <c r="BI27" s="156"/>
      <c r="BJ27" s="156"/>
      <c r="BK27" s="156"/>
      <c r="BL27" s="156"/>
      <c r="BM27" s="156"/>
      <c r="BN27" s="156"/>
      <c r="BO27" s="156"/>
      <c r="BP27" s="156"/>
      <c r="BQ27" s="156"/>
      <c r="BR27" s="156"/>
      <c r="BS27" s="156"/>
      <c r="BT27" s="156"/>
    </row>
    <row r="28" spans="2:72" x14ac:dyDescent="0.35"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  <c r="BK28" s="156"/>
      <c r="BL28" s="156"/>
      <c r="BM28" s="156"/>
      <c r="BN28" s="156"/>
      <c r="BO28" s="156"/>
      <c r="BP28" s="156"/>
      <c r="BQ28" s="156"/>
      <c r="BR28" s="156"/>
      <c r="BS28" s="156"/>
      <c r="BT28" s="156"/>
    </row>
    <row r="29" spans="2:72" x14ac:dyDescent="0.35"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  <c r="BM29" s="156"/>
      <c r="BN29" s="156"/>
      <c r="BO29" s="156"/>
      <c r="BP29" s="156"/>
      <c r="BQ29" s="156"/>
      <c r="BR29" s="156"/>
      <c r="BS29" s="156"/>
      <c r="BT29" s="156"/>
    </row>
    <row r="30" spans="2:72" x14ac:dyDescent="0.35"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  <c r="BI30" s="156"/>
      <c r="BJ30" s="156"/>
      <c r="BK30" s="156"/>
      <c r="BL30" s="156"/>
      <c r="BM30" s="156"/>
      <c r="BN30" s="156"/>
      <c r="BO30" s="156"/>
      <c r="BP30" s="156"/>
      <c r="BQ30" s="156"/>
      <c r="BR30" s="156"/>
      <c r="BS30" s="156"/>
      <c r="BT30" s="156"/>
    </row>
    <row r="31" spans="2:72" x14ac:dyDescent="0.35"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  <c r="BI31" s="156"/>
      <c r="BJ31" s="156"/>
      <c r="BK31" s="156"/>
      <c r="BL31" s="156"/>
      <c r="BM31" s="156"/>
      <c r="BN31" s="156"/>
      <c r="BO31" s="156"/>
      <c r="BP31" s="156"/>
      <c r="BQ31" s="156"/>
      <c r="BR31" s="156"/>
      <c r="BS31" s="156"/>
      <c r="BT31" s="156"/>
    </row>
    <row r="32" spans="2:72" x14ac:dyDescent="0.35"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6"/>
      <c r="BD32" s="156"/>
      <c r="BE32" s="156"/>
      <c r="BF32" s="156"/>
      <c r="BG32" s="156"/>
      <c r="BH32" s="156"/>
      <c r="BI32" s="156"/>
      <c r="BJ32" s="156"/>
      <c r="BK32" s="156"/>
      <c r="BL32" s="156"/>
      <c r="BM32" s="156"/>
      <c r="BN32" s="156"/>
      <c r="BO32" s="156"/>
      <c r="BP32" s="156"/>
      <c r="BQ32" s="156"/>
      <c r="BR32" s="156"/>
      <c r="BS32" s="156"/>
      <c r="BT32" s="156"/>
    </row>
    <row r="33" spans="3:72" x14ac:dyDescent="0.35"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  <c r="BD33" s="156"/>
      <c r="BE33" s="156"/>
      <c r="BF33" s="156"/>
      <c r="BG33" s="156"/>
      <c r="BH33" s="156"/>
      <c r="BI33" s="156"/>
      <c r="BJ33" s="156"/>
      <c r="BK33" s="156"/>
      <c r="BL33" s="156"/>
      <c r="BM33" s="156"/>
      <c r="BN33" s="156"/>
      <c r="BO33" s="156"/>
      <c r="BP33" s="156"/>
      <c r="BQ33" s="156"/>
      <c r="BR33" s="156"/>
      <c r="BS33" s="156"/>
      <c r="BT33" s="156"/>
    </row>
    <row r="34" spans="3:72" x14ac:dyDescent="0.35"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6"/>
      <c r="BB34" s="156"/>
      <c r="BC34" s="156"/>
      <c r="BD34" s="156"/>
      <c r="BE34" s="156"/>
      <c r="BF34" s="156"/>
      <c r="BG34" s="156"/>
      <c r="BH34" s="156"/>
      <c r="BI34" s="156"/>
      <c r="BJ34" s="156"/>
      <c r="BK34" s="156"/>
      <c r="BL34" s="156"/>
      <c r="BM34" s="156"/>
      <c r="BN34" s="156"/>
      <c r="BO34" s="156"/>
      <c r="BP34" s="156"/>
      <c r="BQ34" s="156"/>
      <c r="BR34" s="156"/>
      <c r="BS34" s="156"/>
      <c r="BT34" s="156"/>
    </row>
    <row r="35" spans="3:72" x14ac:dyDescent="0.35"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  <c r="BI35" s="156"/>
      <c r="BJ35" s="156"/>
      <c r="BK35" s="156"/>
      <c r="BL35" s="156"/>
      <c r="BM35" s="156"/>
      <c r="BN35" s="156"/>
      <c r="BO35" s="156"/>
      <c r="BP35" s="156"/>
      <c r="BQ35" s="156"/>
      <c r="BR35" s="156"/>
      <c r="BS35" s="156"/>
      <c r="BT35" s="156"/>
    </row>
    <row r="36" spans="3:72" x14ac:dyDescent="0.35"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6"/>
      <c r="BE36" s="156"/>
      <c r="BF36" s="156"/>
      <c r="BG36" s="156"/>
      <c r="BH36" s="156"/>
      <c r="BI36" s="156"/>
      <c r="BJ36" s="156"/>
      <c r="BK36" s="156"/>
      <c r="BL36" s="156"/>
      <c r="BM36" s="156"/>
      <c r="BN36" s="156"/>
      <c r="BO36" s="156"/>
      <c r="BP36" s="156"/>
      <c r="BQ36" s="156"/>
      <c r="BR36" s="156"/>
      <c r="BS36" s="156"/>
      <c r="BT36" s="156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07B2-2CB7-47F8-8E41-517A2EBE7D7D}">
  <sheetPr>
    <tabColor rgb="FF002060"/>
  </sheetPr>
  <dimension ref="B2:BT49"/>
  <sheetViews>
    <sheetView showGridLines="0" topLeftCell="B21" workbookViewId="0">
      <selection activeCell="B4" sqref="B4"/>
    </sheetView>
  </sheetViews>
  <sheetFormatPr defaultRowHeight="14.5" x14ac:dyDescent="0.35"/>
  <cols>
    <col min="1" max="1" width="2.81640625" customWidth="1"/>
    <col min="2" max="2" width="57.1796875" customWidth="1"/>
    <col min="3" max="72" width="15" customWidth="1"/>
  </cols>
  <sheetData>
    <row r="2" spans="2:72" ht="17.25" customHeight="1" x14ac:dyDescent="0.45">
      <c r="B2" s="139" t="s">
        <v>181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40"/>
      <c r="BH2" s="140"/>
      <c r="BI2" s="140"/>
      <c r="BJ2" s="140"/>
      <c r="BK2" s="140"/>
      <c r="BL2" s="140"/>
      <c r="BM2" s="140"/>
      <c r="BN2" s="140"/>
      <c r="BO2" s="140"/>
      <c r="BP2" s="140"/>
      <c r="BQ2" s="140"/>
      <c r="BR2" s="140"/>
      <c r="BS2" s="140"/>
      <c r="BT2" s="140"/>
    </row>
    <row r="3" spans="2:72" ht="2.25" customHeight="1" x14ac:dyDescent="0.35"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</row>
    <row r="4" spans="2:72" ht="15" customHeight="1" x14ac:dyDescent="0.35">
      <c r="B4" s="141" t="s">
        <v>290</v>
      </c>
      <c r="C4" s="142">
        <v>2025</v>
      </c>
      <c r="D4" s="140" t="s">
        <v>27</v>
      </c>
      <c r="E4" s="140" t="s">
        <v>26</v>
      </c>
      <c r="F4" s="140" t="s">
        <v>25</v>
      </c>
      <c r="G4" s="140" t="s">
        <v>24</v>
      </c>
      <c r="H4" s="142">
        <v>2024</v>
      </c>
      <c r="I4" s="140" t="s">
        <v>22</v>
      </c>
      <c r="J4" s="140" t="s">
        <v>21</v>
      </c>
      <c r="K4" s="140" t="s">
        <v>20</v>
      </c>
      <c r="L4" s="140" t="s">
        <v>19</v>
      </c>
      <c r="M4" s="142">
        <v>2023</v>
      </c>
      <c r="N4" s="140" t="s">
        <v>17</v>
      </c>
      <c r="O4" s="140" t="s">
        <v>16</v>
      </c>
      <c r="P4" s="140" t="s">
        <v>15</v>
      </c>
      <c r="Q4" s="140" t="s">
        <v>14</v>
      </c>
      <c r="R4" s="142">
        <v>2022</v>
      </c>
      <c r="S4" s="140" t="s">
        <v>12</v>
      </c>
      <c r="T4" s="140" t="s">
        <v>11</v>
      </c>
      <c r="U4" s="140" t="s">
        <v>10</v>
      </c>
      <c r="V4" s="140" t="s">
        <v>9</v>
      </c>
      <c r="W4" s="142">
        <v>2021</v>
      </c>
      <c r="X4" s="140" t="s">
        <v>237</v>
      </c>
      <c r="Y4" s="140" t="s">
        <v>238</v>
      </c>
      <c r="Z4" s="140" t="s">
        <v>239</v>
      </c>
      <c r="AA4" s="140" t="s">
        <v>240</v>
      </c>
      <c r="AB4" s="142">
        <v>2020</v>
      </c>
      <c r="AC4" s="140" t="s">
        <v>241</v>
      </c>
      <c r="AD4" s="140" t="s">
        <v>242</v>
      </c>
      <c r="AE4" s="140" t="s">
        <v>243</v>
      </c>
      <c r="AF4" s="140" t="s">
        <v>244</v>
      </c>
      <c r="AG4" s="142">
        <v>2019</v>
      </c>
      <c r="AH4" s="140" t="s">
        <v>245</v>
      </c>
      <c r="AI4" s="140" t="s">
        <v>246</v>
      </c>
      <c r="AJ4" s="140" t="s">
        <v>247</v>
      </c>
      <c r="AK4" s="140" t="s">
        <v>248</v>
      </c>
      <c r="AL4" s="142">
        <v>2018</v>
      </c>
      <c r="AM4" s="140" t="s">
        <v>249</v>
      </c>
      <c r="AN4" s="140" t="s">
        <v>250</v>
      </c>
      <c r="AO4" s="140" t="s">
        <v>251</v>
      </c>
      <c r="AP4" s="140" t="s">
        <v>252</v>
      </c>
      <c r="AQ4" s="142">
        <v>2017</v>
      </c>
      <c r="AR4" s="140" t="s">
        <v>253</v>
      </c>
      <c r="AS4" s="140" t="s">
        <v>254</v>
      </c>
      <c r="AT4" s="140" t="s">
        <v>255</v>
      </c>
      <c r="AU4" s="140" t="s">
        <v>256</v>
      </c>
      <c r="AV4" s="142">
        <v>2016</v>
      </c>
      <c r="AW4" s="140" t="s">
        <v>257</v>
      </c>
      <c r="AX4" s="140" t="s">
        <v>258</v>
      </c>
      <c r="AY4" s="140" t="s">
        <v>259</v>
      </c>
      <c r="AZ4" s="140" t="s">
        <v>260</v>
      </c>
      <c r="BA4" s="142">
        <v>2015</v>
      </c>
      <c r="BB4" s="140" t="s">
        <v>261</v>
      </c>
      <c r="BC4" s="140" t="s">
        <v>262</v>
      </c>
      <c r="BD4" s="140" t="s">
        <v>263</v>
      </c>
      <c r="BE4" s="140" t="s">
        <v>264</v>
      </c>
      <c r="BF4" s="142">
        <v>2014</v>
      </c>
      <c r="BG4" s="140" t="s">
        <v>265</v>
      </c>
      <c r="BH4" s="140" t="s">
        <v>266</v>
      </c>
      <c r="BI4" s="140" t="s">
        <v>267</v>
      </c>
      <c r="BJ4" s="140" t="s">
        <v>268</v>
      </c>
      <c r="BK4" s="142">
        <v>2013</v>
      </c>
      <c r="BL4" s="140" t="s">
        <v>269</v>
      </c>
      <c r="BM4" s="140" t="s">
        <v>270</v>
      </c>
      <c r="BN4" s="140" t="s">
        <v>271</v>
      </c>
      <c r="BO4" s="140" t="s">
        <v>272</v>
      </c>
      <c r="BP4" s="142">
        <v>2012</v>
      </c>
      <c r="BQ4" s="140" t="s">
        <v>273</v>
      </c>
      <c r="BR4" s="140" t="s">
        <v>274</v>
      </c>
      <c r="BS4" s="140" t="s">
        <v>275</v>
      </c>
      <c r="BT4" s="140" t="s">
        <v>276</v>
      </c>
    </row>
    <row r="5" spans="2:72" ht="15" customHeight="1" x14ac:dyDescent="0.35">
      <c r="B5" s="159" t="s">
        <v>291</v>
      </c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160"/>
      <c r="BB5" s="160"/>
      <c r="BC5" s="160"/>
      <c r="BD5" s="160"/>
      <c r="BE5" s="160"/>
      <c r="BF5" s="160"/>
      <c r="BG5" s="160"/>
      <c r="BH5" s="160"/>
      <c r="BI5" s="160"/>
      <c r="BJ5" s="160"/>
      <c r="BK5" s="160"/>
      <c r="BL5" s="160"/>
      <c r="BM5" s="160"/>
      <c r="BN5" s="160"/>
      <c r="BO5" s="160"/>
      <c r="BP5" s="160"/>
      <c r="BQ5" s="160"/>
      <c r="BR5" s="160"/>
      <c r="BS5" s="160"/>
      <c r="BT5" s="160"/>
    </row>
    <row r="6" spans="2:72" ht="15" customHeight="1" x14ac:dyDescent="0.35">
      <c r="B6" s="161" t="s">
        <v>292</v>
      </c>
      <c r="C6" s="162">
        <v>6857548</v>
      </c>
      <c r="D6" s="162">
        <v>1900910.3</v>
      </c>
      <c r="E6" s="162">
        <v>2151576.7144800001</v>
      </c>
      <c r="F6" s="162">
        <v>1903899.2368999994</v>
      </c>
      <c r="G6" s="162">
        <v>901161.7827499999</v>
      </c>
      <c r="H6" s="162">
        <v>5754715.4178899992</v>
      </c>
      <c r="I6" s="162">
        <v>1833172.6675799997</v>
      </c>
      <c r="J6" s="162">
        <v>1664372.7111999996</v>
      </c>
      <c r="K6" s="162">
        <v>1360653.0255900002</v>
      </c>
      <c r="L6" s="162">
        <v>896517.0135200005</v>
      </c>
      <c r="M6" s="162">
        <v>4857453.3772199964</v>
      </c>
      <c r="N6" s="162">
        <v>1390197.0032299994</v>
      </c>
      <c r="O6" s="162">
        <v>1399420.2285899993</v>
      </c>
      <c r="P6" s="162">
        <v>1456646.1119999986</v>
      </c>
      <c r="Q6" s="162">
        <v>611190.03339999961</v>
      </c>
      <c r="R6" s="162">
        <v>3636218.908619999</v>
      </c>
      <c r="S6" s="162">
        <v>1057713.0718899986</v>
      </c>
      <c r="T6" s="162">
        <v>1189068.0831400002</v>
      </c>
      <c r="U6" s="162">
        <v>790369.125</v>
      </c>
      <c r="V6" s="162">
        <v>599068.62858999986</v>
      </c>
      <c r="W6" s="162">
        <v>3137983.7829899993</v>
      </c>
      <c r="X6" s="162">
        <v>693380.71999999986</v>
      </c>
      <c r="Y6" s="162">
        <v>1080620.34292</v>
      </c>
      <c r="Z6" s="162">
        <v>786922.92006999988</v>
      </c>
      <c r="AA6" s="162">
        <v>577059.79999999993</v>
      </c>
      <c r="AB6" s="162">
        <v>1762850.4439999997</v>
      </c>
      <c r="AC6" s="162">
        <v>697306.98300000001</v>
      </c>
      <c r="AD6" s="162">
        <v>574480.15799999959</v>
      </c>
      <c r="AE6" s="162">
        <v>351171</v>
      </c>
      <c r="AF6" s="162">
        <v>139892</v>
      </c>
      <c r="AG6" s="162">
        <v>1946038</v>
      </c>
      <c r="AH6" s="162">
        <v>555128</v>
      </c>
      <c r="AI6" s="162">
        <v>436682</v>
      </c>
      <c r="AJ6" s="162">
        <v>562020</v>
      </c>
      <c r="AK6" s="162">
        <v>392208</v>
      </c>
      <c r="AL6" s="162">
        <v>1904853</v>
      </c>
      <c r="AM6" s="162">
        <v>528679</v>
      </c>
      <c r="AN6" s="162">
        <v>528371</v>
      </c>
      <c r="AO6" s="162">
        <v>366245</v>
      </c>
      <c r="AP6" s="162">
        <v>481559</v>
      </c>
      <c r="AQ6" s="162">
        <v>1108693</v>
      </c>
      <c r="AR6" s="162">
        <v>490673</v>
      </c>
      <c r="AS6" s="162">
        <v>115290</v>
      </c>
      <c r="AT6" s="162">
        <v>299477</v>
      </c>
      <c r="AU6" s="162">
        <v>203253</v>
      </c>
      <c r="AV6" s="162">
        <v>832435.62459664163</v>
      </c>
      <c r="AW6" s="162">
        <v>352335.42557000002</v>
      </c>
      <c r="AX6" s="162">
        <v>169574.89483127545</v>
      </c>
      <c r="AY6" s="162">
        <v>209544.97400929825</v>
      </c>
      <c r="AZ6" s="162">
        <v>100980.33018606791</v>
      </c>
      <c r="BA6" s="162">
        <v>501833.69591465918</v>
      </c>
      <c r="BB6" s="162">
        <v>227169.87218360102</v>
      </c>
      <c r="BC6" s="162">
        <v>72428.052479999737</v>
      </c>
      <c r="BD6" s="162">
        <v>174331.77125105841</v>
      </c>
      <c r="BE6" s="162">
        <v>27904</v>
      </c>
      <c r="BF6" s="162">
        <v>1798989.8989157737</v>
      </c>
      <c r="BG6" s="162">
        <v>351772.68701336114</v>
      </c>
      <c r="BH6" s="162">
        <v>412789.31288241269</v>
      </c>
      <c r="BI6" s="162">
        <v>262923.99702000001</v>
      </c>
      <c r="BJ6" s="162">
        <v>771503.902</v>
      </c>
      <c r="BK6" s="162">
        <v>2851266.650865925</v>
      </c>
      <c r="BL6" s="162">
        <v>972083.04298000003</v>
      </c>
      <c r="BM6" s="162">
        <v>908112.15888592496</v>
      </c>
      <c r="BN6" s="162">
        <v>551274.06999999995</v>
      </c>
      <c r="BO6" s="162">
        <v>419797.37900000002</v>
      </c>
      <c r="BP6" s="162">
        <v>2502499.9902976579</v>
      </c>
      <c r="BQ6" s="162">
        <v>1222262.4775987649</v>
      </c>
      <c r="BR6" s="162">
        <v>604949.61397829058</v>
      </c>
      <c r="BS6" s="162">
        <v>531950.14361860231</v>
      </c>
      <c r="BT6" s="162">
        <v>143337.75510200005</v>
      </c>
    </row>
    <row r="7" spans="2:72" ht="15" customHeight="1" x14ac:dyDescent="0.35">
      <c r="B7" s="146" t="s">
        <v>293</v>
      </c>
      <c r="C7" s="147">
        <v>0</v>
      </c>
      <c r="D7" s="147">
        <v>0</v>
      </c>
      <c r="E7" s="147">
        <v>0</v>
      </c>
      <c r="F7" s="147">
        <v>0</v>
      </c>
      <c r="G7" s="147">
        <v>0</v>
      </c>
      <c r="H7" s="147">
        <v>0</v>
      </c>
      <c r="I7" s="147">
        <v>0</v>
      </c>
      <c r="J7" s="147">
        <v>0</v>
      </c>
      <c r="K7" s="147">
        <v>0</v>
      </c>
      <c r="L7" s="147">
        <v>0</v>
      </c>
      <c r="M7" s="147">
        <v>0</v>
      </c>
      <c r="N7" s="147">
        <v>0</v>
      </c>
      <c r="O7" s="147">
        <v>0</v>
      </c>
      <c r="P7" s="147">
        <v>0</v>
      </c>
      <c r="Q7" s="147">
        <v>0</v>
      </c>
      <c r="R7" s="147">
        <v>0</v>
      </c>
      <c r="S7" s="147">
        <v>0</v>
      </c>
      <c r="T7" s="147">
        <v>0</v>
      </c>
      <c r="U7" s="147">
        <v>0</v>
      </c>
      <c r="V7" s="147">
        <v>0</v>
      </c>
      <c r="W7" s="147">
        <v>0</v>
      </c>
      <c r="X7" s="147">
        <v>0</v>
      </c>
      <c r="Y7" s="147">
        <v>0</v>
      </c>
      <c r="Z7" s="147">
        <v>0</v>
      </c>
      <c r="AA7" s="147">
        <v>0</v>
      </c>
      <c r="AB7" s="147">
        <v>0</v>
      </c>
      <c r="AC7" s="147">
        <v>0</v>
      </c>
      <c r="AD7" s="147">
        <v>0</v>
      </c>
      <c r="AE7" s="147">
        <v>0</v>
      </c>
      <c r="AF7" s="147">
        <v>0</v>
      </c>
      <c r="AG7" s="147">
        <v>0</v>
      </c>
      <c r="AH7" s="147">
        <v>0</v>
      </c>
      <c r="AI7" s="147">
        <v>0</v>
      </c>
      <c r="AJ7" s="147">
        <v>0</v>
      </c>
      <c r="AK7" s="147">
        <v>0</v>
      </c>
      <c r="AL7" s="147">
        <v>224304</v>
      </c>
      <c r="AM7" s="147">
        <v>41395</v>
      </c>
      <c r="AN7" s="147">
        <v>47876</v>
      </c>
      <c r="AO7" s="147">
        <v>0</v>
      </c>
      <c r="AP7" s="147">
        <v>135033</v>
      </c>
      <c r="AQ7" s="147">
        <v>183339</v>
      </c>
      <c r="AR7" s="147">
        <v>70862</v>
      </c>
      <c r="AS7" s="147">
        <v>0</v>
      </c>
      <c r="AT7" s="147">
        <v>112477</v>
      </c>
      <c r="AU7" s="147">
        <v>0</v>
      </c>
      <c r="AV7" s="147">
        <v>0</v>
      </c>
      <c r="AW7" s="147">
        <v>0</v>
      </c>
      <c r="AX7" s="147">
        <v>0</v>
      </c>
      <c r="AY7" s="147">
        <v>0</v>
      </c>
      <c r="AZ7" s="147">
        <v>0</v>
      </c>
      <c r="BA7" s="147">
        <v>0</v>
      </c>
      <c r="BB7" s="147">
        <v>0</v>
      </c>
      <c r="BC7" s="147">
        <v>0</v>
      </c>
      <c r="BD7" s="147">
        <v>0</v>
      </c>
      <c r="BE7" s="147">
        <v>0</v>
      </c>
      <c r="BF7" s="147">
        <v>1306291.79159</v>
      </c>
      <c r="BG7" s="147">
        <v>193965.31388</v>
      </c>
      <c r="BH7" s="147">
        <v>340822.57570999995</v>
      </c>
      <c r="BI7" s="147">
        <v>0</v>
      </c>
      <c r="BJ7" s="147">
        <v>771503.902</v>
      </c>
      <c r="BK7" s="147">
        <v>2265403.9103259249</v>
      </c>
      <c r="BL7" s="147">
        <v>783415.34724000003</v>
      </c>
      <c r="BM7" s="147">
        <v>601015.36308592488</v>
      </c>
      <c r="BN7" s="147">
        <v>476377.2</v>
      </c>
      <c r="BO7" s="147">
        <v>404596</v>
      </c>
      <c r="BP7" s="147">
        <v>1647147.1026987652</v>
      </c>
      <c r="BQ7" s="147">
        <v>987733.30269876518</v>
      </c>
      <c r="BR7" s="147">
        <v>400425.8</v>
      </c>
      <c r="BS7" s="147">
        <v>258988</v>
      </c>
      <c r="BT7" s="147">
        <v>0</v>
      </c>
    </row>
    <row r="8" spans="2:72" ht="15" customHeight="1" x14ac:dyDescent="0.35">
      <c r="B8" s="146" t="s">
        <v>294</v>
      </c>
      <c r="C8" s="147">
        <v>6857548</v>
      </c>
      <c r="D8" s="147">
        <v>1900910.3</v>
      </c>
      <c r="E8" s="147">
        <v>2151576.7144800001</v>
      </c>
      <c r="F8" s="147">
        <v>1903899.2368999994</v>
      </c>
      <c r="G8" s="147">
        <v>901161.7827499999</v>
      </c>
      <c r="H8" s="147">
        <v>5754715.4178899992</v>
      </c>
      <c r="I8" s="147">
        <v>1833172.6675799997</v>
      </c>
      <c r="J8" s="147">
        <v>1664372.7111999996</v>
      </c>
      <c r="K8" s="147">
        <v>1360653.0255900002</v>
      </c>
      <c r="L8" s="147">
        <v>896517.0135200005</v>
      </c>
      <c r="M8" s="147">
        <v>4857453.3772199964</v>
      </c>
      <c r="N8" s="147">
        <v>1390197.0032299994</v>
      </c>
      <c r="O8" s="147">
        <v>1399420.2285899993</v>
      </c>
      <c r="P8" s="147">
        <v>1456646.1119999986</v>
      </c>
      <c r="Q8" s="147">
        <v>611190.03339999961</v>
      </c>
      <c r="R8" s="147">
        <v>3636218.908619999</v>
      </c>
      <c r="S8" s="147">
        <v>1057713.0718899986</v>
      </c>
      <c r="T8" s="147">
        <v>1189068.0831400002</v>
      </c>
      <c r="U8" s="147">
        <v>790369.125</v>
      </c>
      <c r="V8" s="147">
        <v>599068.62858999986</v>
      </c>
      <c r="W8" s="147">
        <v>3137983.7829899993</v>
      </c>
      <c r="X8" s="147">
        <v>693380.71999999986</v>
      </c>
      <c r="Y8" s="147">
        <v>1080620.34292</v>
      </c>
      <c r="Z8" s="147">
        <v>786922.92006999988</v>
      </c>
      <c r="AA8" s="147">
        <v>577059.79999999993</v>
      </c>
      <c r="AB8" s="147">
        <v>1762850.4439999997</v>
      </c>
      <c r="AC8" s="147">
        <v>697306.98300000001</v>
      </c>
      <c r="AD8" s="147">
        <v>574480.15799999959</v>
      </c>
      <c r="AE8" s="147">
        <v>351171</v>
      </c>
      <c r="AF8" s="147">
        <v>139892</v>
      </c>
      <c r="AG8" s="147">
        <v>1946038</v>
      </c>
      <c r="AH8" s="147">
        <v>555128</v>
      </c>
      <c r="AI8" s="147">
        <v>436682</v>
      </c>
      <c r="AJ8" s="147">
        <v>562020</v>
      </c>
      <c r="AK8" s="147">
        <v>392208</v>
      </c>
      <c r="AL8" s="147">
        <v>1680549</v>
      </c>
      <c r="AM8" s="147">
        <v>487284</v>
      </c>
      <c r="AN8" s="147">
        <v>480495</v>
      </c>
      <c r="AO8" s="147">
        <v>366245</v>
      </c>
      <c r="AP8" s="147">
        <v>346526</v>
      </c>
      <c r="AQ8" s="147">
        <v>925354</v>
      </c>
      <c r="AR8" s="147">
        <v>419811</v>
      </c>
      <c r="AS8" s="147">
        <v>115290</v>
      </c>
      <c r="AT8" s="147">
        <v>187000</v>
      </c>
      <c r="AU8" s="147">
        <v>203253</v>
      </c>
      <c r="AV8" s="147">
        <v>832435.62459664163</v>
      </c>
      <c r="AW8" s="147">
        <v>352335.42557000002</v>
      </c>
      <c r="AX8" s="147">
        <v>169574.89483127545</v>
      </c>
      <c r="AY8" s="147">
        <v>209544.97400929825</v>
      </c>
      <c r="AZ8" s="147">
        <v>100980.33018606791</v>
      </c>
      <c r="BA8" s="147">
        <v>501833.69591465918</v>
      </c>
      <c r="BB8" s="147">
        <v>227169.87218360102</v>
      </c>
      <c r="BC8" s="147">
        <v>72428.052479999737</v>
      </c>
      <c r="BD8" s="147">
        <v>174331.77125105841</v>
      </c>
      <c r="BE8" s="147">
        <v>27904</v>
      </c>
      <c r="BF8" s="147">
        <v>492698.10732577392</v>
      </c>
      <c r="BG8" s="147">
        <v>157807.37313336114</v>
      </c>
      <c r="BH8" s="147">
        <v>71966.737172412744</v>
      </c>
      <c r="BI8" s="147">
        <v>262923.99702000001</v>
      </c>
      <c r="BJ8" s="147">
        <v>0</v>
      </c>
      <c r="BK8" s="147">
        <v>585862.74054000003</v>
      </c>
      <c r="BL8" s="147">
        <v>188667.69574</v>
      </c>
      <c r="BM8" s="147">
        <v>307096.79580000008</v>
      </c>
      <c r="BN8" s="147">
        <v>74896.869999999937</v>
      </c>
      <c r="BO8" s="147">
        <v>15201.379000000015</v>
      </c>
      <c r="BP8" s="147">
        <v>855352.88759889267</v>
      </c>
      <c r="BQ8" s="147">
        <v>234529.17489999975</v>
      </c>
      <c r="BR8" s="147">
        <v>204523.81397829059</v>
      </c>
      <c r="BS8" s="147">
        <v>272962.14361860231</v>
      </c>
      <c r="BT8" s="147">
        <v>143337.75510200005</v>
      </c>
    </row>
    <row r="9" spans="2:72" ht="15" customHeight="1" x14ac:dyDescent="0.35">
      <c r="B9" s="161" t="s">
        <v>295</v>
      </c>
      <c r="C9" s="162">
        <v>5893250</v>
      </c>
      <c r="D9" s="162">
        <v>1680227</v>
      </c>
      <c r="E9" s="162">
        <v>2017616.73808</v>
      </c>
      <c r="F9" s="162">
        <v>1392984.5862375998</v>
      </c>
      <c r="G9" s="162">
        <v>802421.66166706546</v>
      </c>
      <c r="H9" s="162">
        <v>4700248.6993495813</v>
      </c>
      <c r="I9" s="162">
        <v>1405792.2806408959</v>
      </c>
      <c r="J9" s="162">
        <v>1444222.8211999999</v>
      </c>
      <c r="K9" s="162">
        <v>1196750.5442488855</v>
      </c>
      <c r="L9" s="162">
        <v>653483.0532598003</v>
      </c>
      <c r="M9" s="162">
        <v>4295273.2276983727</v>
      </c>
      <c r="N9" s="162">
        <v>1336559.4220199995</v>
      </c>
      <c r="O9" s="162">
        <v>1259316.9867949993</v>
      </c>
      <c r="P9" s="162">
        <v>1088942.3858549993</v>
      </c>
      <c r="Q9" s="162">
        <v>610454.43302837457</v>
      </c>
      <c r="R9" s="162">
        <v>3123736.8296181704</v>
      </c>
      <c r="S9" s="162">
        <v>896097.37509119406</v>
      </c>
      <c r="T9" s="162">
        <v>966706.7739923764</v>
      </c>
      <c r="U9" s="162">
        <v>703651.42543960002</v>
      </c>
      <c r="V9" s="162">
        <v>557281.25509499991</v>
      </c>
      <c r="W9" s="162">
        <v>2677634.5309099997</v>
      </c>
      <c r="X9" s="162">
        <v>633816.73999999976</v>
      </c>
      <c r="Y9" s="162">
        <v>927227.63361999998</v>
      </c>
      <c r="Z9" s="162">
        <v>662360.5615699999</v>
      </c>
      <c r="AA9" s="162">
        <v>454229.59571999998</v>
      </c>
      <c r="AB9" s="162">
        <v>1526596.6190799996</v>
      </c>
      <c r="AC9" s="162">
        <v>650259.14099999995</v>
      </c>
      <c r="AD9" s="162">
        <v>458126.51507999975</v>
      </c>
      <c r="AE9" s="162">
        <v>295794</v>
      </c>
      <c r="AF9" s="162">
        <v>122417</v>
      </c>
      <c r="AG9" s="162">
        <v>1712229</v>
      </c>
      <c r="AH9" s="162">
        <v>501926</v>
      </c>
      <c r="AI9" s="162">
        <v>397578</v>
      </c>
      <c r="AJ9" s="162">
        <v>496662</v>
      </c>
      <c r="AK9" s="162">
        <v>316063</v>
      </c>
      <c r="AL9" s="162">
        <v>1694954</v>
      </c>
      <c r="AM9" s="162">
        <v>468984</v>
      </c>
      <c r="AN9" s="162">
        <v>423166</v>
      </c>
      <c r="AO9" s="162">
        <v>366245</v>
      </c>
      <c r="AP9" s="162">
        <v>436559</v>
      </c>
      <c r="AQ9" s="162">
        <v>980391</v>
      </c>
      <c r="AR9" s="162">
        <v>451272</v>
      </c>
      <c r="AS9" s="162">
        <v>115290</v>
      </c>
      <c r="AT9" s="162">
        <v>290645</v>
      </c>
      <c r="AU9" s="162">
        <v>123183</v>
      </c>
      <c r="AV9" s="162">
        <v>768535.24473152473</v>
      </c>
      <c r="AW9" s="162">
        <v>316162.10878400004</v>
      </c>
      <c r="AX9" s="162">
        <v>151095.83175215847</v>
      </c>
      <c r="AY9" s="162">
        <v>200296.97400929825</v>
      </c>
      <c r="AZ9" s="162">
        <v>100980.33018606791</v>
      </c>
      <c r="BA9" s="162">
        <v>438043.76967465924</v>
      </c>
      <c r="BB9" s="162">
        <v>207965.17218360098</v>
      </c>
      <c r="BC9" s="162">
        <v>36214.026239999868</v>
      </c>
      <c r="BD9" s="162">
        <v>174331.77125105841</v>
      </c>
      <c r="BE9" s="162">
        <v>19532.8</v>
      </c>
      <c r="BF9" s="162">
        <v>1653924.1982112778</v>
      </c>
      <c r="BG9" s="162">
        <v>347702.28701336117</v>
      </c>
      <c r="BH9" s="162">
        <v>304114.34613791667</v>
      </c>
      <c r="BI9" s="162">
        <v>230603.66305999996</v>
      </c>
      <c r="BJ9" s="162">
        <v>771503.902</v>
      </c>
      <c r="BK9" s="162">
        <v>2564709.8608682421</v>
      </c>
      <c r="BL9" s="162">
        <v>918916.64298</v>
      </c>
      <c r="BM9" s="162">
        <v>779858.58544824191</v>
      </c>
      <c r="BN9" s="162">
        <v>446137.25344</v>
      </c>
      <c r="BO9" s="162">
        <v>419797.37900000002</v>
      </c>
      <c r="BP9" s="162">
        <v>2345616.1641174275</v>
      </c>
      <c r="BQ9" s="162">
        <v>1189035.640221765</v>
      </c>
      <c r="BR9" s="162">
        <v>543124.08250488236</v>
      </c>
      <c r="BS9" s="162">
        <v>470208.27633188176</v>
      </c>
      <c r="BT9" s="162">
        <v>143248.16505889807</v>
      </c>
    </row>
    <row r="10" spans="2:72" ht="15" customHeight="1" x14ac:dyDescent="0.35">
      <c r="B10" s="146" t="s">
        <v>293</v>
      </c>
      <c r="C10" s="147">
        <v>0</v>
      </c>
      <c r="D10" s="147">
        <v>0</v>
      </c>
      <c r="E10" s="147">
        <v>0</v>
      </c>
      <c r="F10" s="147">
        <v>0</v>
      </c>
      <c r="G10" s="147">
        <v>0</v>
      </c>
      <c r="H10" s="147">
        <v>0</v>
      </c>
      <c r="I10" s="147">
        <v>0</v>
      </c>
      <c r="J10" s="147">
        <v>0</v>
      </c>
      <c r="K10" s="147">
        <v>0</v>
      </c>
      <c r="L10" s="147">
        <v>0</v>
      </c>
      <c r="M10" s="147">
        <v>0</v>
      </c>
      <c r="N10" s="147">
        <v>0</v>
      </c>
      <c r="O10" s="147">
        <v>0</v>
      </c>
      <c r="P10" s="147">
        <v>0</v>
      </c>
      <c r="Q10" s="147">
        <v>0</v>
      </c>
      <c r="R10" s="147">
        <v>0</v>
      </c>
      <c r="S10" s="147">
        <v>0</v>
      </c>
      <c r="T10" s="147">
        <v>0</v>
      </c>
      <c r="U10" s="147">
        <v>0</v>
      </c>
      <c r="V10" s="147">
        <v>0</v>
      </c>
      <c r="W10" s="147">
        <v>0</v>
      </c>
      <c r="X10" s="147">
        <v>0</v>
      </c>
      <c r="Y10" s="147">
        <v>0</v>
      </c>
      <c r="Z10" s="147">
        <v>0</v>
      </c>
      <c r="AA10" s="147">
        <v>0</v>
      </c>
      <c r="AB10" s="147">
        <v>0</v>
      </c>
      <c r="AC10" s="147">
        <v>0</v>
      </c>
      <c r="AD10" s="147">
        <v>0</v>
      </c>
      <c r="AE10" s="147">
        <v>0</v>
      </c>
      <c r="AF10" s="147">
        <v>0</v>
      </c>
      <c r="AG10" s="147">
        <v>0</v>
      </c>
      <c r="AH10" s="147">
        <v>0</v>
      </c>
      <c r="AI10" s="147">
        <v>0</v>
      </c>
      <c r="AJ10" s="147">
        <v>0</v>
      </c>
      <c r="AK10" s="147">
        <v>0</v>
      </c>
      <c r="AL10" s="147">
        <v>224304</v>
      </c>
      <c r="AM10" s="147">
        <v>41395</v>
      </c>
      <c r="AN10" s="147">
        <v>47876</v>
      </c>
      <c r="AO10" s="147">
        <v>0</v>
      </c>
      <c r="AP10" s="147">
        <v>135033</v>
      </c>
      <c r="AQ10" s="147">
        <v>183339</v>
      </c>
      <c r="AR10" s="147">
        <v>70862</v>
      </c>
      <c r="AS10" s="147">
        <v>0</v>
      </c>
      <c r="AT10" s="147">
        <v>112477</v>
      </c>
      <c r="AU10" s="147">
        <v>0</v>
      </c>
      <c r="AV10" s="147">
        <v>0</v>
      </c>
      <c r="AW10" s="147">
        <v>0</v>
      </c>
      <c r="AX10" s="147">
        <v>0</v>
      </c>
      <c r="AY10" s="147">
        <v>0</v>
      </c>
      <c r="AZ10" s="147">
        <v>0</v>
      </c>
      <c r="BA10" s="147">
        <v>0</v>
      </c>
      <c r="BB10" s="147">
        <v>0</v>
      </c>
      <c r="BC10" s="147">
        <v>0</v>
      </c>
      <c r="BD10" s="147">
        <v>0</v>
      </c>
      <c r="BE10" s="147">
        <v>0</v>
      </c>
      <c r="BF10" s="147">
        <v>1197616.824845504</v>
      </c>
      <c r="BG10" s="147">
        <v>193965.31388</v>
      </c>
      <c r="BH10" s="147">
        <v>232147.60896550398</v>
      </c>
      <c r="BI10" s="147">
        <v>0</v>
      </c>
      <c r="BJ10" s="147">
        <v>771503.902</v>
      </c>
      <c r="BK10" s="147">
        <v>2041272.182200925</v>
      </c>
      <c r="BL10" s="147">
        <v>730248.94724000001</v>
      </c>
      <c r="BM10" s="147">
        <v>503921.2669609249</v>
      </c>
      <c r="BN10" s="147">
        <v>402505.96799999999</v>
      </c>
      <c r="BO10" s="147">
        <v>404596</v>
      </c>
      <c r="BP10" s="147">
        <v>1647147.1026987652</v>
      </c>
      <c r="BQ10" s="147">
        <v>987733.30269876518</v>
      </c>
      <c r="BR10" s="147">
        <v>400425.8</v>
      </c>
      <c r="BS10" s="147">
        <v>258988</v>
      </c>
      <c r="BT10" s="147">
        <v>0</v>
      </c>
    </row>
    <row r="11" spans="2:72" ht="15" customHeight="1" x14ac:dyDescent="0.35">
      <c r="B11" s="146" t="s">
        <v>294</v>
      </c>
      <c r="C11" s="147">
        <v>5893250</v>
      </c>
      <c r="D11" s="147">
        <v>1680227</v>
      </c>
      <c r="E11" s="147">
        <v>2017616.73808</v>
      </c>
      <c r="F11" s="147">
        <v>1392984.5862375998</v>
      </c>
      <c r="G11" s="147">
        <v>802421.66166706546</v>
      </c>
      <c r="H11" s="147">
        <v>4700248.6993495813</v>
      </c>
      <c r="I11" s="147">
        <v>1405792.2806408959</v>
      </c>
      <c r="J11" s="147">
        <v>1444222.8211999999</v>
      </c>
      <c r="K11" s="147">
        <v>1196750.5442488855</v>
      </c>
      <c r="L11" s="147">
        <v>653483.0532598003</v>
      </c>
      <c r="M11" s="147">
        <v>4295273.2276983727</v>
      </c>
      <c r="N11" s="147">
        <v>1336559.4220199995</v>
      </c>
      <c r="O11" s="147">
        <v>1259316.9867949993</v>
      </c>
      <c r="P11" s="147">
        <v>1088942.3858549993</v>
      </c>
      <c r="Q11" s="147">
        <v>610454.43302837457</v>
      </c>
      <c r="R11" s="147">
        <v>3123736.8296181704</v>
      </c>
      <c r="S11" s="147">
        <v>896097.37509119406</v>
      </c>
      <c r="T11" s="147">
        <v>966706.7739923764</v>
      </c>
      <c r="U11" s="147">
        <v>703651.42543960002</v>
      </c>
      <c r="V11" s="147">
        <v>557281.25509499991</v>
      </c>
      <c r="W11" s="147">
        <v>2677634.5309099997</v>
      </c>
      <c r="X11" s="147">
        <v>633816.73999999976</v>
      </c>
      <c r="Y11" s="147">
        <v>927227.63361999998</v>
      </c>
      <c r="Z11" s="147">
        <v>662360.5615699999</v>
      </c>
      <c r="AA11" s="147">
        <v>454229.59571999998</v>
      </c>
      <c r="AB11" s="147">
        <v>1526596.6190799996</v>
      </c>
      <c r="AC11" s="147">
        <v>650259.14099999995</v>
      </c>
      <c r="AD11" s="147">
        <v>458126.51507999975</v>
      </c>
      <c r="AE11" s="147">
        <v>295794</v>
      </c>
      <c r="AF11" s="147">
        <v>122417</v>
      </c>
      <c r="AG11" s="147">
        <v>1712229</v>
      </c>
      <c r="AH11" s="147">
        <v>501926</v>
      </c>
      <c r="AI11" s="147">
        <v>397578</v>
      </c>
      <c r="AJ11" s="147">
        <v>496662</v>
      </c>
      <c r="AK11" s="147">
        <v>316063</v>
      </c>
      <c r="AL11" s="147">
        <v>1470650</v>
      </c>
      <c r="AM11" s="147">
        <v>427589</v>
      </c>
      <c r="AN11" s="147">
        <v>375290</v>
      </c>
      <c r="AO11" s="147">
        <v>366245</v>
      </c>
      <c r="AP11" s="147">
        <v>301526</v>
      </c>
      <c r="AQ11" s="147">
        <v>797052</v>
      </c>
      <c r="AR11" s="147">
        <v>380411</v>
      </c>
      <c r="AS11" s="147">
        <v>115290</v>
      </c>
      <c r="AT11" s="147">
        <v>178168</v>
      </c>
      <c r="AU11" s="147">
        <v>123183</v>
      </c>
      <c r="AV11" s="147">
        <v>768535.24473152473</v>
      </c>
      <c r="AW11" s="147">
        <v>316162.10878400004</v>
      </c>
      <c r="AX11" s="147">
        <v>151095.83175215847</v>
      </c>
      <c r="AY11" s="147">
        <v>200296.97400929825</v>
      </c>
      <c r="AZ11" s="147">
        <v>100980.33018606791</v>
      </c>
      <c r="BA11" s="147">
        <v>438043.76967465924</v>
      </c>
      <c r="BB11" s="147">
        <v>207965.17218360098</v>
      </c>
      <c r="BC11" s="147">
        <v>36214.026239999868</v>
      </c>
      <c r="BD11" s="147">
        <v>174331.77125105841</v>
      </c>
      <c r="BE11" s="147">
        <v>19532.8</v>
      </c>
      <c r="BF11" s="147">
        <v>456307.37336577382</v>
      </c>
      <c r="BG11" s="147">
        <v>153736.97313336117</v>
      </c>
      <c r="BH11" s="147">
        <v>71966.737172412686</v>
      </c>
      <c r="BI11" s="147">
        <v>230603.66305999996</v>
      </c>
      <c r="BJ11" s="147">
        <v>0</v>
      </c>
      <c r="BK11" s="147">
        <v>523437.67866731703</v>
      </c>
      <c r="BL11" s="147">
        <v>188667.69574</v>
      </c>
      <c r="BM11" s="147">
        <v>275937.31848731701</v>
      </c>
      <c r="BN11" s="147">
        <v>43631.285440000007</v>
      </c>
      <c r="BO11" s="147">
        <v>15201.379000000015</v>
      </c>
      <c r="BP11" s="147">
        <v>698469.06141866208</v>
      </c>
      <c r="BQ11" s="147">
        <v>201302.33752299985</v>
      </c>
      <c r="BR11" s="147">
        <v>142698.28250488237</v>
      </c>
      <c r="BS11" s="147">
        <v>211220.27633188176</v>
      </c>
      <c r="BT11" s="147">
        <v>143248.16505889807</v>
      </c>
    </row>
    <row r="12" spans="2:72" ht="15" customHeight="1" x14ac:dyDescent="0.35">
      <c r="B12" s="161" t="s">
        <v>296</v>
      </c>
      <c r="C12" s="162">
        <v>19749</v>
      </c>
      <c r="D12" s="162">
        <v>4780</v>
      </c>
      <c r="E12" s="162">
        <v>6449</v>
      </c>
      <c r="F12" s="162">
        <v>5096</v>
      </c>
      <c r="G12" s="162">
        <v>3424</v>
      </c>
      <c r="H12" s="162">
        <v>18135</v>
      </c>
      <c r="I12" s="162">
        <v>5763</v>
      </c>
      <c r="J12" s="162">
        <v>5947</v>
      </c>
      <c r="K12" s="162">
        <v>4187</v>
      </c>
      <c r="L12" s="162">
        <v>2238</v>
      </c>
      <c r="M12" s="162">
        <v>17180</v>
      </c>
      <c r="N12" s="162">
        <v>4998</v>
      </c>
      <c r="O12" s="162">
        <v>4152</v>
      </c>
      <c r="P12" s="162">
        <v>5268</v>
      </c>
      <c r="Q12" s="162">
        <v>2762</v>
      </c>
      <c r="R12" s="162">
        <v>14525</v>
      </c>
      <c r="S12" s="162">
        <v>4320</v>
      </c>
      <c r="T12" s="162">
        <v>4113</v>
      </c>
      <c r="U12" s="162">
        <v>3261</v>
      </c>
      <c r="V12" s="162">
        <v>2831</v>
      </c>
      <c r="W12" s="162">
        <v>13534</v>
      </c>
      <c r="X12" s="162">
        <v>3146</v>
      </c>
      <c r="Y12" s="162">
        <v>3764</v>
      </c>
      <c r="Z12" s="162">
        <v>4153</v>
      </c>
      <c r="AA12" s="162">
        <v>2471</v>
      </c>
      <c r="AB12" s="162">
        <v>10043</v>
      </c>
      <c r="AC12" s="162">
        <v>3701</v>
      </c>
      <c r="AD12" s="162">
        <v>3358</v>
      </c>
      <c r="AE12" s="162">
        <v>2132</v>
      </c>
      <c r="AF12" s="162">
        <v>852</v>
      </c>
      <c r="AG12" s="162">
        <v>11212</v>
      </c>
      <c r="AH12" s="162">
        <v>3248</v>
      </c>
      <c r="AI12" s="162">
        <v>2546</v>
      </c>
      <c r="AJ12" s="162">
        <v>3128</v>
      </c>
      <c r="AK12" s="162">
        <v>2290</v>
      </c>
      <c r="AL12" s="162">
        <v>11879</v>
      </c>
      <c r="AM12" s="162">
        <v>3307</v>
      </c>
      <c r="AN12" s="162">
        <v>3275</v>
      </c>
      <c r="AO12" s="162">
        <v>2104</v>
      </c>
      <c r="AP12" s="162">
        <v>3193</v>
      </c>
      <c r="AQ12" s="162">
        <v>7904</v>
      </c>
      <c r="AR12" s="162">
        <v>3380</v>
      </c>
      <c r="AS12" s="162">
        <v>740</v>
      </c>
      <c r="AT12" s="162">
        <v>2396</v>
      </c>
      <c r="AU12" s="162">
        <v>1388</v>
      </c>
      <c r="AV12" s="162">
        <v>4535</v>
      </c>
      <c r="AW12" s="162">
        <v>2032</v>
      </c>
      <c r="AX12" s="162">
        <v>620</v>
      </c>
      <c r="AY12" s="162">
        <v>1395</v>
      </c>
      <c r="AZ12" s="162">
        <v>488</v>
      </c>
      <c r="BA12" s="162">
        <v>2408</v>
      </c>
      <c r="BB12" s="162">
        <v>1000</v>
      </c>
      <c r="BC12" s="162">
        <v>512</v>
      </c>
      <c r="BD12" s="162">
        <v>640</v>
      </c>
      <c r="BE12" s="162">
        <v>256</v>
      </c>
      <c r="BF12" s="162">
        <v>19117</v>
      </c>
      <c r="BG12" s="162">
        <v>2725</v>
      </c>
      <c r="BH12" s="162">
        <v>4864</v>
      </c>
      <c r="BI12" s="162">
        <v>1332</v>
      </c>
      <c r="BJ12" s="162">
        <v>10196</v>
      </c>
      <c r="BK12" s="162">
        <v>36355</v>
      </c>
      <c r="BL12" s="162">
        <v>12700</v>
      </c>
      <c r="BM12" s="162">
        <v>9709</v>
      </c>
      <c r="BN12" s="162">
        <v>7650</v>
      </c>
      <c r="BO12" s="162">
        <v>6296</v>
      </c>
      <c r="BP12" s="162">
        <v>26376</v>
      </c>
      <c r="BQ12" s="162">
        <v>13210</v>
      </c>
      <c r="BR12" s="162">
        <v>7015</v>
      </c>
      <c r="BS12" s="162">
        <v>5060</v>
      </c>
      <c r="BT12" s="162">
        <v>1091</v>
      </c>
    </row>
    <row r="13" spans="2:72" ht="15" customHeight="1" x14ac:dyDescent="0.35">
      <c r="B13" s="146" t="s">
        <v>297</v>
      </c>
      <c r="C13" s="147">
        <v>0</v>
      </c>
      <c r="D13" s="147">
        <v>0</v>
      </c>
      <c r="E13" s="147">
        <v>0</v>
      </c>
      <c r="F13" s="147">
        <v>0</v>
      </c>
      <c r="G13" s="147">
        <v>0</v>
      </c>
      <c r="H13" s="147">
        <v>0</v>
      </c>
      <c r="I13" s="147">
        <v>0</v>
      </c>
      <c r="J13" s="147">
        <v>0</v>
      </c>
      <c r="K13" s="147">
        <v>0</v>
      </c>
      <c r="L13" s="147">
        <v>0</v>
      </c>
      <c r="M13" s="147">
        <v>0</v>
      </c>
      <c r="N13" s="147">
        <v>0</v>
      </c>
      <c r="O13" s="147">
        <v>0</v>
      </c>
      <c r="P13" s="147">
        <v>0</v>
      </c>
      <c r="Q13" s="147">
        <v>0</v>
      </c>
      <c r="R13" s="147">
        <v>0</v>
      </c>
      <c r="S13" s="147">
        <v>0</v>
      </c>
      <c r="T13" s="147">
        <v>0</v>
      </c>
      <c r="U13" s="147">
        <v>0</v>
      </c>
      <c r="V13" s="147">
        <v>0</v>
      </c>
      <c r="W13" s="147">
        <v>0</v>
      </c>
      <c r="X13" s="147">
        <v>0</v>
      </c>
      <c r="Y13" s="147">
        <v>0</v>
      </c>
      <c r="Z13" s="147">
        <v>0</v>
      </c>
      <c r="AA13" s="147">
        <v>0</v>
      </c>
      <c r="AB13" s="147">
        <v>0</v>
      </c>
      <c r="AC13" s="147">
        <v>0</v>
      </c>
      <c r="AD13" s="147">
        <v>0</v>
      </c>
      <c r="AE13" s="147">
        <v>0</v>
      </c>
      <c r="AF13" s="147">
        <v>0</v>
      </c>
      <c r="AG13" s="147">
        <v>0</v>
      </c>
      <c r="AH13" s="147">
        <v>0</v>
      </c>
      <c r="AI13" s="147">
        <v>0</v>
      </c>
      <c r="AJ13" s="147">
        <v>0</v>
      </c>
      <c r="AK13" s="147">
        <v>0</v>
      </c>
      <c r="AL13" s="147">
        <v>2345</v>
      </c>
      <c r="AM13" s="147">
        <v>440</v>
      </c>
      <c r="AN13" s="147">
        <v>544</v>
      </c>
      <c r="AO13" s="147">
        <v>0</v>
      </c>
      <c r="AP13" s="147">
        <v>1361</v>
      </c>
      <c r="AQ13" s="147">
        <v>1900</v>
      </c>
      <c r="AR13" s="147">
        <v>600</v>
      </c>
      <c r="AS13" s="147">
        <v>0</v>
      </c>
      <c r="AT13" s="147">
        <v>1300</v>
      </c>
      <c r="AU13" s="147">
        <v>0</v>
      </c>
      <c r="AV13" s="147">
        <v>0</v>
      </c>
      <c r="AW13" s="147">
        <v>0</v>
      </c>
      <c r="AX13" s="147">
        <v>0</v>
      </c>
      <c r="AY13" s="147">
        <v>0</v>
      </c>
      <c r="AZ13" s="147">
        <v>0</v>
      </c>
      <c r="BA13" s="147">
        <v>0</v>
      </c>
      <c r="BB13" s="147">
        <v>0</v>
      </c>
      <c r="BC13" s="147">
        <v>0</v>
      </c>
      <c r="BD13" s="147">
        <v>0</v>
      </c>
      <c r="BE13" s="147">
        <v>0</v>
      </c>
      <c r="BF13" s="147">
        <v>17284</v>
      </c>
      <c r="BG13" s="147">
        <v>2448</v>
      </c>
      <c r="BH13" s="147">
        <v>4640</v>
      </c>
      <c r="BI13" s="147">
        <v>0</v>
      </c>
      <c r="BJ13" s="147">
        <v>10196</v>
      </c>
      <c r="BK13" s="147">
        <v>34372</v>
      </c>
      <c r="BL13" s="147">
        <v>12100</v>
      </c>
      <c r="BM13" s="147">
        <v>8768</v>
      </c>
      <c r="BN13" s="147">
        <v>7244</v>
      </c>
      <c r="BO13" s="147">
        <v>6260</v>
      </c>
      <c r="BP13" s="147">
        <v>23234</v>
      </c>
      <c r="BQ13" s="147">
        <v>12836</v>
      </c>
      <c r="BR13" s="147">
        <v>6398</v>
      </c>
      <c r="BS13" s="147">
        <v>4000</v>
      </c>
      <c r="BT13" s="147">
        <v>0</v>
      </c>
    </row>
    <row r="14" spans="2:72" ht="15" customHeight="1" x14ac:dyDescent="0.35">
      <c r="B14" s="146" t="s">
        <v>298</v>
      </c>
      <c r="C14" s="147">
        <v>19749</v>
      </c>
      <c r="D14" s="147">
        <v>4780</v>
      </c>
      <c r="E14" s="147">
        <v>6449</v>
      </c>
      <c r="F14" s="147">
        <v>5096</v>
      </c>
      <c r="G14" s="147">
        <v>3424</v>
      </c>
      <c r="H14" s="147">
        <v>18135</v>
      </c>
      <c r="I14" s="147">
        <v>5763</v>
      </c>
      <c r="J14" s="147">
        <v>5947</v>
      </c>
      <c r="K14" s="147">
        <v>4187</v>
      </c>
      <c r="L14" s="147">
        <v>2238</v>
      </c>
      <c r="M14" s="147">
        <v>17180</v>
      </c>
      <c r="N14" s="147">
        <v>4998</v>
      </c>
      <c r="O14" s="147">
        <v>4152</v>
      </c>
      <c r="P14" s="147">
        <v>5268</v>
      </c>
      <c r="Q14" s="147">
        <v>2762</v>
      </c>
      <c r="R14" s="147">
        <v>14525</v>
      </c>
      <c r="S14" s="147">
        <v>4320</v>
      </c>
      <c r="T14" s="147">
        <v>4113</v>
      </c>
      <c r="U14" s="147">
        <v>3261</v>
      </c>
      <c r="V14" s="147">
        <v>2831</v>
      </c>
      <c r="W14" s="147">
        <v>13534</v>
      </c>
      <c r="X14" s="147">
        <v>3146</v>
      </c>
      <c r="Y14" s="147">
        <v>3764</v>
      </c>
      <c r="Z14" s="147">
        <v>4153</v>
      </c>
      <c r="AA14" s="147">
        <v>2471</v>
      </c>
      <c r="AB14" s="147">
        <v>10043</v>
      </c>
      <c r="AC14" s="147">
        <v>3701</v>
      </c>
      <c r="AD14" s="147">
        <v>3358</v>
      </c>
      <c r="AE14" s="147">
        <v>2132</v>
      </c>
      <c r="AF14" s="147">
        <v>852</v>
      </c>
      <c r="AG14" s="147">
        <v>11212</v>
      </c>
      <c r="AH14" s="147">
        <v>3248</v>
      </c>
      <c r="AI14" s="147">
        <v>2546</v>
      </c>
      <c r="AJ14" s="147">
        <v>3128</v>
      </c>
      <c r="AK14" s="147">
        <v>2290</v>
      </c>
      <c r="AL14" s="147">
        <v>9534</v>
      </c>
      <c r="AM14" s="147">
        <v>2867</v>
      </c>
      <c r="AN14" s="147">
        <v>2731</v>
      </c>
      <c r="AO14" s="147">
        <v>2104</v>
      </c>
      <c r="AP14" s="147">
        <v>1832</v>
      </c>
      <c r="AQ14" s="147">
        <v>6004</v>
      </c>
      <c r="AR14" s="147">
        <v>2780</v>
      </c>
      <c r="AS14" s="147">
        <v>740</v>
      </c>
      <c r="AT14" s="147">
        <v>1096</v>
      </c>
      <c r="AU14" s="147">
        <v>1388</v>
      </c>
      <c r="AV14" s="147">
        <v>4535</v>
      </c>
      <c r="AW14" s="147">
        <v>2032</v>
      </c>
      <c r="AX14" s="147">
        <v>620</v>
      </c>
      <c r="AY14" s="147">
        <v>1395</v>
      </c>
      <c r="AZ14" s="147">
        <v>488</v>
      </c>
      <c r="BA14" s="147">
        <v>2408</v>
      </c>
      <c r="BB14" s="147">
        <v>1000</v>
      </c>
      <c r="BC14" s="147">
        <v>512</v>
      </c>
      <c r="BD14" s="147">
        <v>640</v>
      </c>
      <c r="BE14" s="147">
        <v>256</v>
      </c>
      <c r="BF14" s="147">
        <v>1833</v>
      </c>
      <c r="BG14" s="147">
        <v>277</v>
      </c>
      <c r="BH14" s="147">
        <v>224</v>
      </c>
      <c r="BI14" s="147">
        <v>1332</v>
      </c>
      <c r="BJ14" s="147">
        <v>0</v>
      </c>
      <c r="BK14" s="147">
        <v>1983</v>
      </c>
      <c r="BL14" s="147">
        <v>600</v>
      </c>
      <c r="BM14" s="147">
        <v>941</v>
      </c>
      <c r="BN14" s="147">
        <v>406</v>
      </c>
      <c r="BO14" s="147">
        <v>36</v>
      </c>
      <c r="BP14" s="147">
        <v>3142</v>
      </c>
      <c r="BQ14" s="147">
        <v>374</v>
      </c>
      <c r="BR14" s="147">
        <v>617</v>
      </c>
      <c r="BS14" s="147">
        <v>1060</v>
      </c>
      <c r="BT14" s="147">
        <v>1091</v>
      </c>
    </row>
    <row r="15" spans="2:72" ht="15" customHeight="1" x14ac:dyDescent="0.35">
      <c r="B15" s="161" t="s">
        <v>299</v>
      </c>
      <c r="C15" s="163">
        <v>0.85940000000000005</v>
      </c>
      <c r="D15" s="163">
        <v>0.88390000000000002</v>
      </c>
      <c r="E15" s="163">
        <v>0.93773869390830622</v>
      </c>
      <c r="F15" s="163">
        <v>0.73164827173611868</v>
      </c>
      <c r="G15" s="163">
        <v>0.89043019469643125</v>
      </c>
      <c r="H15" s="163">
        <v>0.81676474995403947</v>
      </c>
      <c r="I15" s="163">
        <v>0.76686299414266557</v>
      </c>
      <c r="J15" s="163">
        <v>0.86772801036777791</v>
      </c>
      <c r="K15" s="163">
        <v>0.8795413097545246</v>
      </c>
      <c r="L15" s="163">
        <v>0.7289131643960951</v>
      </c>
      <c r="M15" s="163">
        <v>0.88426442708475994</v>
      </c>
      <c r="N15" s="163">
        <v>0.96141728036718699</v>
      </c>
      <c r="O15" s="163">
        <v>0.89988479590854387</v>
      </c>
      <c r="P15" s="163">
        <v>0.74756825071249722</v>
      </c>
      <c r="Q15" s="163">
        <v>0.99879644573467119</v>
      </c>
      <c r="R15" s="163">
        <v>0.85906181891663846</v>
      </c>
      <c r="S15" s="163">
        <v>0.8472027045009306</v>
      </c>
      <c r="T15" s="163">
        <v>0.81299530926738106</v>
      </c>
      <c r="U15" s="163">
        <v>0.89028202542653723</v>
      </c>
      <c r="V15" s="163">
        <v>0.93024609952727288</v>
      </c>
      <c r="W15" s="163">
        <v>0.85329775935254837</v>
      </c>
      <c r="X15" s="163">
        <v>0.91409628465008352</v>
      </c>
      <c r="Y15" s="163">
        <v>0.85805124778096475</v>
      </c>
      <c r="Z15" s="163">
        <v>0.84170958130318574</v>
      </c>
      <c r="AA15" s="163">
        <v>0.78714475643598814</v>
      </c>
      <c r="AB15" s="163">
        <v>0.86598192392093809</v>
      </c>
      <c r="AC15" s="163">
        <v>0.93252922579724107</v>
      </c>
      <c r="AD15" s="163">
        <v>0.7974627299138155</v>
      </c>
      <c r="AE15" s="163">
        <v>0.84</v>
      </c>
      <c r="AF15" s="163">
        <v>0.88</v>
      </c>
      <c r="AG15" s="163">
        <v>0.88</v>
      </c>
      <c r="AH15" s="163">
        <v>0.9</v>
      </c>
      <c r="AI15" s="163">
        <v>0.91</v>
      </c>
      <c r="AJ15" s="163">
        <v>0.88</v>
      </c>
      <c r="AK15" s="163">
        <v>0.81</v>
      </c>
      <c r="AL15" s="163">
        <v>0.88980806178155925</v>
      </c>
      <c r="AM15" s="163">
        <v>0.89</v>
      </c>
      <c r="AN15" s="163">
        <v>0.8</v>
      </c>
      <c r="AO15" s="163">
        <v>1</v>
      </c>
      <c r="AP15" s="163">
        <v>0.91</v>
      </c>
      <c r="AQ15" s="163">
        <v>0.88</v>
      </c>
      <c r="AR15" s="163">
        <v>0.92</v>
      </c>
      <c r="AS15" s="163">
        <v>1</v>
      </c>
      <c r="AT15" s="163">
        <v>0.97</v>
      </c>
      <c r="AU15" s="163">
        <v>0.61</v>
      </c>
      <c r="AV15" s="163">
        <v>0.923236851022468</v>
      </c>
      <c r="AW15" s="163">
        <v>0.89733272852856161</v>
      </c>
      <c r="AX15" s="163">
        <v>0.89102712935482942</v>
      </c>
      <c r="AY15" s="163">
        <v>0.95586627623151854</v>
      </c>
      <c r="AZ15" s="163">
        <v>1</v>
      </c>
      <c r="BA15" s="163">
        <v>0.87288632317976522</v>
      </c>
      <c r="BB15" s="163">
        <v>0.9154610608554703</v>
      </c>
      <c r="BC15" s="163">
        <v>0.5</v>
      </c>
      <c r="BD15" s="163">
        <v>1</v>
      </c>
      <c r="BE15" s="163">
        <v>0.7</v>
      </c>
      <c r="BF15" s="163">
        <v>0.91936269303572804</v>
      </c>
      <c r="BG15" s="163">
        <v>0.98842889129750611</v>
      </c>
      <c r="BH15" s="163">
        <v>0.73673018328492146</v>
      </c>
      <c r="BI15" s="163">
        <v>0.87707347246230427</v>
      </c>
      <c r="BJ15" s="163">
        <v>1</v>
      </c>
      <c r="BK15" s="163">
        <v>0.89949842470515473</v>
      </c>
      <c r="BL15" s="163">
        <v>0.94530673034166501</v>
      </c>
      <c r="BM15" s="163">
        <v>0.85876901637896252</v>
      </c>
      <c r="BN15" s="163">
        <v>0.80928394371968204</v>
      </c>
      <c r="BO15" s="163">
        <v>1</v>
      </c>
      <c r="BP15" s="163">
        <v>0.93730916012448418</v>
      </c>
      <c r="BQ15" s="163">
        <v>0.97281530114359993</v>
      </c>
      <c r="BR15" s="163">
        <v>0.89780052744090699</v>
      </c>
      <c r="BS15" s="163">
        <v>0.88393298126264208</v>
      </c>
      <c r="BT15" s="163">
        <v>0.99937497246947793</v>
      </c>
    </row>
    <row r="16" spans="2:72" ht="15" customHeight="1" x14ac:dyDescent="0.35">
      <c r="B16" s="161" t="s">
        <v>300</v>
      </c>
      <c r="C16" s="162">
        <v>347235.2</v>
      </c>
      <c r="D16" s="162">
        <v>397679.98</v>
      </c>
      <c r="E16" s="162">
        <v>333629.51069623197</v>
      </c>
      <c r="F16" s="162">
        <v>373606.60064756661</v>
      </c>
      <c r="G16" s="162">
        <v>263189.77299941587</v>
      </c>
      <c r="H16" s="162">
        <v>317326.46362779156</v>
      </c>
      <c r="I16" s="162">
        <v>318093.46999479434</v>
      </c>
      <c r="J16" s="162">
        <v>279867.61580628878</v>
      </c>
      <c r="K16" s="162">
        <v>324970.86830427515</v>
      </c>
      <c r="L16" s="162">
        <v>400588.47789097426</v>
      </c>
      <c r="M16" s="162">
        <v>282738.84617112903</v>
      </c>
      <c r="N16" s="162">
        <v>278150.66091036407</v>
      </c>
      <c r="O16" s="162">
        <v>337047.26122109807</v>
      </c>
      <c r="P16" s="162">
        <v>276508.37357630953</v>
      </c>
      <c r="Q16" s="162">
        <v>221285.3125995654</v>
      </c>
      <c r="R16" s="162">
        <v>250342.09353666086</v>
      </c>
      <c r="S16" s="162">
        <v>244840.98886342562</v>
      </c>
      <c r="T16" s="162">
        <v>289099.94727449556</v>
      </c>
      <c r="U16" s="162">
        <v>242370.17019319226</v>
      </c>
      <c r="V16" s="162">
        <v>211610.25382903565</v>
      </c>
      <c r="W16" s="162">
        <v>231859.30124057923</v>
      </c>
      <c r="X16" s="162">
        <v>220400.73744437378</v>
      </c>
      <c r="Y16" s="162">
        <v>287093.60863974498</v>
      </c>
      <c r="Z16" s="162">
        <v>189483.00507344087</v>
      </c>
      <c r="AA16" s="162">
        <v>233532.90165924723</v>
      </c>
      <c r="AB16" s="162">
        <v>175530.26426366621</v>
      </c>
      <c r="AC16" s="162">
        <v>188410.42502026478</v>
      </c>
      <c r="AD16" s="162">
        <v>171078.06968433582</v>
      </c>
      <c r="AE16" s="162">
        <v>164714</v>
      </c>
      <c r="AF16" s="162">
        <v>164193</v>
      </c>
      <c r="AG16" s="162">
        <v>173567</v>
      </c>
      <c r="AH16" s="162">
        <v>170914</v>
      </c>
      <c r="AI16" s="162">
        <v>171517</v>
      </c>
      <c r="AJ16" s="162">
        <v>179674</v>
      </c>
      <c r="AK16" s="162">
        <v>171270</v>
      </c>
      <c r="AL16" s="162">
        <v>160355</v>
      </c>
      <c r="AM16" s="162">
        <v>159867</v>
      </c>
      <c r="AN16" s="162">
        <v>161335</v>
      </c>
      <c r="AO16" s="162">
        <v>174071</v>
      </c>
      <c r="AP16" s="162">
        <v>150817</v>
      </c>
      <c r="AQ16" s="162">
        <v>140270</v>
      </c>
      <c r="AR16" s="162">
        <v>145169</v>
      </c>
      <c r="AS16" s="162">
        <v>155797</v>
      </c>
      <c r="AT16" s="162">
        <v>124990</v>
      </c>
      <c r="AU16" s="162">
        <v>146436</v>
      </c>
      <c r="AV16" s="162">
        <v>183558.02085923741</v>
      </c>
      <c r="AW16" s="162">
        <v>173393.41809547244</v>
      </c>
      <c r="AX16" s="162">
        <v>273507.89488915395</v>
      </c>
      <c r="AY16" s="162">
        <v>150211.45090272275</v>
      </c>
      <c r="AZ16" s="162">
        <v>206926.90611899161</v>
      </c>
      <c r="BA16" s="162">
        <v>208402.69763897805</v>
      </c>
      <c r="BB16" s="162">
        <v>227169.87218360102</v>
      </c>
      <c r="BC16" s="162">
        <v>141461.03999999948</v>
      </c>
      <c r="BD16" s="162">
        <v>272393.3925797788</v>
      </c>
      <c r="BE16" s="162">
        <v>109000</v>
      </c>
      <c r="BF16" s="162">
        <v>94104.195162199801</v>
      </c>
      <c r="BG16" s="162">
        <v>129090.89431682977</v>
      </c>
      <c r="BH16" s="162">
        <v>84866.223865627602</v>
      </c>
      <c r="BI16" s="162">
        <v>197390.38815315318</v>
      </c>
      <c r="BJ16" s="162">
        <v>75667.310906237748</v>
      </c>
      <c r="BK16" s="162">
        <v>78428.459657981701</v>
      </c>
      <c r="BL16" s="162">
        <v>76541.971888188986</v>
      </c>
      <c r="BM16" s="162">
        <v>93533.026973521977</v>
      </c>
      <c r="BN16" s="162">
        <v>72061.96993464051</v>
      </c>
      <c r="BO16" s="162">
        <v>66676.839104193132</v>
      </c>
      <c r="BP16" s="162">
        <v>94877.918952747103</v>
      </c>
      <c r="BQ16" s="162">
        <v>92525.547130867897</v>
      </c>
      <c r="BR16" s="162">
        <v>86236.580752429159</v>
      </c>
      <c r="BS16" s="162">
        <v>105128.4868811467</v>
      </c>
      <c r="BT16" s="162">
        <v>131381.99367736027</v>
      </c>
    </row>
    <row r="17" spans="2:72" ht="8.25" customHeight="1" x14ac:dyDescent="0.35">
      <c r="B17" s="149"/>
      <c r="C17" s="164"/>
      <c r="D17" s="164"/>
      <c r="E17" s="164"/>
      <c r="F17" s="164"/>
      <c r="G17" s="164"/>
      <c r="H17" s="164"/>
      <c r="I17" s="164"/>
      <c r="J17" s="164"/>
      <c r="K17" s="164"/>
      <c r="L17" s="164"/>
      <c r="M17" s="147"/>
      <c r="N17" s="147"/>
      <c r="O17" s="149"/>
      <c r="P17" s="149"/>
      <c r="Q17" s="149"/>
      <c r="R17" s="147"/>
      <c r="S17" s="147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5"/>
      <c r="BE17" s="165"/>
      <c r="BF17" s="165"/>
      <c r="BG17" s="165"/>
      <c r="BH17" s="165"/>
      <c r="BI17" s="165"/>
      <c r="BJ17" s="165"/>
      <c r="BK17" s="165"/>
      <c r="BL17" s="165"/>
      <c r="BM17" s="165"/>
      <c r="BN17" s="165"/>
      <c r="BO17" s="165"/>
      <c r="BP17" s="165"/>
      <c r="BQ17" s="165"/>
      <c r="BR17" s="165"/>
      <c r="BS17" s="165"/>
      <c r="BT17" s="165"/>
    </row>
    <row r="18" spans="2:72" ht="15" customHeight="1" x14ac:dyDescent="0.35">
      <c r="B18" s="159" t="s">
        <v>301</v>
      </c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  <c r="AX18" s="160"/>
      <c r="AY18" s="160"/>
      <c r="AZ18" s="160"/>
      <c r="BA18" s="160"/>
      <c r="BB18" s="160"/>
      <c r="BC18" s="160"/>
      <c r="BD18" s="160"/>
      <c r="BE18" s="160"/>
      <c r="BF18" s="160"/>
      <c r="BG18" s="160"/>
      <c r="BH18" s="160"/>
      <c r="BI18" s="160"/>
      <c r="BJ18" s="160"/>
      <c r="BK18" s="160"/>
      <c r="BL18" s="160"/>
      <c r="BM18" s="160"/>
      <c r="BN18" s="160"/>
      <c r="BO18" s="160"/>
      <c r="BP18" s="160"/>
      <c r="BQ18" s="160"/>
      <c r="BR18" s="160"/>
      <c r="BS18" s="160"/>
      <c r="BT18" s="160"/>
    </row>
    <row r="19" spans="2:72" ht="15" customHeight="1" x14ac:dyDescent="0.35">
      <c r="B19" s="161" t="s">
        <v>302</v>
      </c>
      <c r="C19" s="162">
        <v>6163133.7000000002</v>
      </c>
      <c r="D19" s="162">
        <v>1517513.3788300026</v>
      </c>
      <c r="E19" s="162">
        <v>1641806.9245500022</v>
      </c>
      <c r="F19" s="162">
        <v>1677312.5023999999</v>
      </c>
      <c r="G19" s="162">
        <v>1326500.8912400005</v>
      </c>
      <c r="H19" s="162">
        <v>6271470.784559994</v>
      </c>
      <c r="I19" s="162">
        <v>1579892.9994000001</v>
      </c>
      <c r="J19" s="162">
        <v>1765137.2478399996</v>
      </c>
      <c r="K19" s="162">
        <v>1618771.6610799963</v>
      </c>
      <c r="L19" s="162">
        <v>1307668.8762399985</v>
      </c>
      <c r="M19" s="162">
        <v>3991086.6545400028</v>
      </c>
      <c r="N19" s="162">
        <v>1220638.6729300006</v>
      </c>
      <c r="O19" s="162">
        <v>1004596.72406</v>
      </c>
      <c r="P19" s="162">
        <v>962491.65053000092</v>
      </c>
      <c r="Q19" s="162">
        <v>803359.60702000069</v>
      </c>
      <c r="R19" s="162">
        <v>2998855.7761400011</v>
      </c>
      <c r="S19" s="162">
        <v>694367.82004000188</v>
      </c>
      <c r="T19" s="162">
        <v>846854.98110000091</v>
      </c>
      <c r="U19" s="162">
        <v>835691.46071000141</v>
      </c>
      <c r="V19" s="162">
        <v>621941.5142899967</v>
      </c>
      <c r="W19" s="162">
        <v>2439934.0595699996</v>
      </c>
      <c r="X19" s="162">
        <v>667757.7232899979</v>
      </c>
      <c r="Y19" s="162">
        <v>642716.11535000068</v>
      </c>
      <c r="Z19" s="162">
        <v>614495.92772000027</v>
      </c>
      <c r="AA19" s="162">
        <v>514964.29321000073</v>
      </c>
      <c r="AB19" s="162">
        <v>1680301.6778400026</v>
      </c>
      <c r="AC19" s="162">
        <v>522749.29188000131</v>
      </c>
      <c r="AD19" s="162">
        <v>458406.8882200013</v>
      </c>
      <c r="AE19" s="162">
        <v>401096</v>
      </c>
      <c r="AF19" s="162">
        <v>298049</v>
      </c>
      <c r="AG19" s="162">
        <v>1320407</v>
      </c>
      <c r="AH19" s="162">
        <v>370616</v>
      </c>
      <c r="AI19" s="162">
        <v>326166</v>
      </c>
      <c r="AJ19" s="162">
        <v>336236</v>
      </c>
      <c r="AK19" s="162">
        <v>287389</v>
      </c>
      <c r="AL19" s="162">
        <v>1450714</v>
      </c>
      <c r="AM19" s="162">
        <v>427865</v>
      </c>
      <c r="AN19" s="162">
        <v>319160</v>
      </c>
      <c r="AO19" s="162">
        <v>319030</v>
      </c>
      <c r="AP19" s="162">
        <v>384658</v>
      </c>
      <c r="AQ19" s="162">
        <v>914494</v>
      </c>
      <c r="AR19" s="162">
        <v>267524</v>
      </c>
      <c r="AS19" s="162">
        <v>198168</v>
      </c>
      <c r="AT19" s="162">
        <v>298124</v>
      </c>
      <c r="AU19" s="162">
        <v>150678</v>
      </c>
      <c r="AV19" s="162">
        <v>494170.15528999857</v>
      </c>
      <c r="AW19" s="162">
        <v>202461.53421999927</v>
      </c>
      <c r="AX19" s="162">
        <v>90671.877380000034</v>
      </c>
      <c r="AY19" s="162">
        <v>76310.528809999159</v>
      </c>
      <c r="AZ19" s="162">
        <v>124726.21488000009</v>
      </c>
      <c r="BA19" s="162">
        <v>389889.8920699982</v>
      </c>
      <c r="BB19" s="162">
        <v>121567.80218999983</v>
      </c>
      <c r="BC19" s="162">
        <v>103970.27214999832</v>
      </c>
      <c r="BD19" s="162">
        <v>121767.04906</v>
      </c>
      <c r="BE19" s="162">
        <v>42584.76866999999</v>
      </c>
      <c r="BF19" s="162">
        <v>1773940.4648899997</v>
      </c>
      <c r="BG19" s="162">
        <v>343312.98313000001</v>
      </c>
      <c r="BH19" s="162">
        <v>408063.20834999986</v>
      </c>
      <c r="BI19" s="162">
        <v>133906.95462999999</v>
      </c>
      <c r="BJ19" s="162">
        <v>888657.31877999986</v>
      </c>
      <c r="BK19" s="162">
        <v>2962209.3272559252</v>
      </c>
      <c r="BL19" s="162">
        <v>1001571.1553099998</v>
      </c>
      <c r="BM19" s="162">
        <v>756782.041535925</v>
      </c>
      <c r="BN19" s="162">
        <v>655900.94597</v>
      </c>
      <c r="BO19" s="162">
        <v>547955.1844400001</v>
      </c>
      <c r="BP19" s="162">
        <v>2390755.3633387652</v>
      </c>
      <c r="BQ19" s="162">
        <v>1155011.0039287652</v>
      </c>
      <c r="BR19" s="162">
        <v>593670.65924000007</v>
      </c>
      <c r="BS19" s="162">
        <v>485317.86249000009</v>
      </c>
      <c r="BT19" s="162">
        <v>156755.83768</v>
      </c>
    </row>
    <row r="20" spans="2:72" ht="15" customHeight="1" x14ac:dyDescent="0.35">
      <c r="B20" s="146" t="s">
        <v>293</v>
      </c>
      <c r="C20" s="147">
        <v>0</v>
      </c>
      <c r="D20" s="147">
        <v>0</v>
      </c>
      <c r="E20" s="147">
        <v>0</v>
      </c>
      <c r="F20" s="147">
        <v>0</v>
      </c>
      <c r="G20" s="147">
        <v>0</v>
      </c>
      <c r="H20" s="147">
        <v>0</v>
      </c>
      <c r="I20" s="147">
        <v>0</v>
      </c>
      <c r="J20" s="147">
        <v>0</v>
      </c>
      <c r="K20" s="147">
        <v>0</v>
      </c>
      <c r="L20" s="147">
        <v>0</v>
      </c>
      <c r="M20" s="147">
        <v>0</v>
      </c>
      <c r="N20" s="147">
        <v>0</v>
      </c>
      <c r="O20" s="147">
        <v>0</v>
      </c>
      <c r="P20" s="147">
        <v>0</v>
      </c>
      <c r="Q20" s="147">
        <v>0</v>
      </c>
      <c r="R20" s="147">
        <v>0</v>
      </c>
      <c r="S20" s="147">
        <v>0</v>
      </c>
      <c r="T20" s="147">
        <v>0</v>
      </c>
      <c r="U20" s="147">
        <v>0</v>
      </c>
      <c r="V20" s="147">
        <v>0</v>
      </c>
      <c r="W20" s="147">
        <v>0</v>
      </c>
      <c r="X20" s="147">
        <v>0</v>
      </c>
      <c r="Y20" s="147">
        <v>0</v>
      </c>
      <c r="Z20" s="147">
        <v>0</v>
      </c>
      <c r="AA20" s="147">
        <v>0</v>
      </c>
      <c r="AB20" s="147">
        <v>0</v>
      </c>
      <c r="AC20" s="147">
        <v>0</v>
      </c>
      <c r="AD20" s="147">
        <v>0</v>
      </c>
      <c r="AE20" s="147">
        <v>0</v>
      </c>
      <c r="AF20" s="147">
        <v>0</v>
      </c>
      <c r="AG20" s="147">
        <v>0</v>
      </c>
      <c r="AH20" s="147">
        <v>0</v>
      </c>
      <c r="AI20" s="147">
        <v>0</v>
      </c>
      <c r="AJ20" s="147">
        <v>0</v>
      </c>
      <c r="AK20" s="147">
        <v>0</v>
      </c>
      <c r="AL20" s="147">
        <v>224304</v>
      </c>
      <c r="AM20" s="147">
        <v>41395</v>
      </c>
      <c r="AN20" s="147">
        <v>47876</v>
      </c>
      <c r="AO20" s="147">
        <v>0</v>
      </c>
      <c r="AP20" s="147">
        <v>135033</v>
      </c>
      <c r="AQ20" s="147">
        <v>183339</v>
      </c>
      <c r="AR20" s="147">
        <v>70862</v>
      </c>
      <c r="AS20" s="147">
        <v>0</v>
      </c>
      <c r="AT20" s="147">
        <v>112477</v>
      </c>
      <c r="AU20" s="147">
        <v>0</v>
      </c>
      <c r="AV20" s="147">
        <v>0</v>
      </c>
      <c r="AW20" s="147">
        <v>0</v>
      </c>
      <c r="AX20" s="147">
        <v>0</v>
      </c>
      <c r="AY20" s="147">
        <v>0</v>
      </c>
      <c r="AZ20" s="147">
        <v>0</v>
      </c>
      <c r="BA20" s="147">
        <v>0</v>
      </c>
      <c r="BB20" s="147">
        <v>0</v>
      </c>
      <c r="BC20" s="147">
        <v>0</v>
      </c>
      <c r="BD20" s="147">
        <v>0</v>
      </c>
      <c r="BE20" s="147">
        <v>0</v>
      </c>
      <c r="BF20" s="147">
        <v>1306291.79159</v>
      </c>
      <c r="BG20" s="147">
        <v>193965.31388</v>
      </c>
      <c r="BH20" s="147">
        <v>340822.57570999995</v>
      </c>
      <c r="BI20" s="147">
        <v>0</v>
      </c>
      <c r="BJ20" s="147">
        <v>771503.902</v>
      </c>
      <c r="BK20" s="147">
        <v>2265403.9103259249</v>
      </c>
      <c r="BL20" s="147">
        <v>783415.34724000003</v>
      </c>
      <c r="BM20" s="147">
        <v>601015.36308592488</v>
      </c>
      <c r="BN20" s="147">
        <v>476377.2</v>
      </c>
      <c r="BO20" s="147">
        <v>404596</v>
      </c>
      <c r="BP20" s="147">
        <v>1647147.1026987652</v>
      </c>
      <c r="BQ20" s="147">
        <v>987733.30269876518</v>
      </c>
      <c r="BR20" s="147">
        <v>400425.8</v>
      </c>
      <c r="BS20" s="147">
        <v>258988</v>
      </c>
      <c r="BT20" s="147">
        <v>0</v>
      </c>
    </row>
    <row r="21" spans="2:72" ht="15" customHeight="1" x14ac:dyDescent="0.35">
      <c r="B21" s="146" t="s">
        <v>294</v>
      </c>
      <c r="C21" s="147">
        <v>6163133.7000000002</v>
      </c>
      <c r="D21" s="147">
        <v>1517513.3788300026</v>
      </c>
      <c r="E21" s="147">
        <v>1641806.9245500022</v>
      </c>
      <c r="F21" s="147">
        <v>1677312.5023999999</v>
      </c>
      <c r="G21" s="147">
        <v>1326500.8912400005</v>
      </c>
      <c r="H21" s="147">
        <v>6271470.784559994</v>
      </c>
      <c r="I21" s="147">
        <v>1579892.9994000001</v>
      </c>
      <c r="J21" s="147">
        <v>1765137.2478399996</v>
      </c>
      <c r="K21" s="147">
        <v>1618771.6610799963</v>
      </c>
      <c r="L21" s="147">
        <v>1307668.8762399985</v>
      </c>
      <c r="M21" s="147">
        <v>3991086.6545400028</v>
      </c>
      <c r="N21" s="147">
        <v>1220638.6729300006</v>
      </c>
      <c r="O21" s="147">
        <v>1004596.72406</v>
      </c>
      <c r="P21" s="147">
        <v>962491.65053000092</v>
      </c>
      <c r="Q21" s="147">
        <v>803359.60702000069</v>
      </c>
      <c r="R21" s="147">
        <v>2998855.7761400011</v>
      </c>
      <c r="S21" s="147">
        <v>694367.82004000188</v>
      </c>
      <c r="T21" s="147">
        <v>846854.98110000091</v>
      </c>
      <c r="U21" s="147">
        <v>835691.46071000141</v>
      </c>
      <c r="V21" s="147">
        <v>621941.5142899967</v>
      </c>
      <c r="W21" s="147">
        <v>2439934.0595699996</v>
      </c>
      <c r="X21" s="147">
        <v>667757.7232899979</v>
      </c>
      <c r="Y21" s="147">
        <v>642716.11535000068</v>
      </c>
      <c r="Z21" s="147">
        <v>614495.92772000027</v>
      </c>
      <c r="AA21" s="147">
        <v>514964.29321000073</v>
      </c>
      <c r="AB21" s="147">
        <v>1680301.6778400021</v>
      </c>
      <c r="AC21" s="147">
        <v>522749.29188000131</v>
      </c>
      <c r="AD21" s="147">
        <v>458406.8882200013</v>
      </c>
      <c r="AE21" s="147">
        <v>401096</v>
      </c>
      <c r="AF21" s="147">
        <v>298049</v>
      </c>
      <c r="AG21" s="147">
        <v>1320407</v>
      </c>
      <c r="AH21" s="147">
        <v>370616</v>
      </c>
      <c r="AI21" s="147">
        <v>326166</v>
      </c>
      <c r="AJ21" s="147">
        <v>336236</v>
      </c>
      <c r="AK21" s="147">
        <v>287389</v>
      </c>
      <c r="AL21" s="147">
        <v>1226410</v>
      </c>
      <c r="AM21" s="147">
        <v>386470</v>
      </c>
      <c r="AN21" s="147">
        <v>271285</v>
      </c>
      <c r="AO21" s="147">
        <v>319030</v>
      </c>
      <c r="AP21" s="147">
        <v>249625</v>
      </c>
      <c r="AQ21" s="147">
        <v>731155</v>
      </c>
      <c r="AR21" s="147">
        <v>196662</v>
      </c>
      <c r="AS21" s="147">
        <v>198168</v>
      </c>
      <c r="AT21" s="147">
        <v>185647</v>
      </c>
      <c r="AU21" s="147">
        <v>150678</v>
      </c>
      <c r="AV21" s="147">
        <v>494170.15528999857</v>
      </c>
      <c r="AW21" s="147">
        <v>202461.53421999927</v>
      </c>
      <c r="AX21" s="147">
        <v>90671.877380000034</v>
      </c>
      <c r="AY21" s="147">
        <v>76310.528809999159</v>
      </c>
      <c r="AZ21" s="147">
        <v>124726.21488000009</v>
      </c>
      <c r="BA21" s="147">
        <v>389889.8920699982</v>
      </c>
      <c r="BB21" s="147">
        <v>121567.80218999983</v>
      </c>
      <c r="BC21" s="147">
        <v>103970.27214999832</v>
      </c>
      <c r="BD21" s="147">
        <v>121767.04906</v>
      </c>
      <c r="BE21" s="147">
        <v>42584.76866999999</v>
      </c>
      <c r="BF21" s="147">
        <v>467648.67329999967</v>
      </c>
      <c r="BG21" s="147">
        <v>149347.66925000001</v>
      </c>
      <c r="BH21" s="147">
        <v>67240.632639999909</v>
      </c>
      <c r="BI21" s="147">
        <v>133906.95462999999</v>
      </c>
      <c r="BJ21" s="147">
        <v>117153.41677999985</v>
      </c>
      <c r="BK21" s="147">
        <v>696805.41692999983</v>
      </c>
      <c r="BL21" s="147">
        <v>218155.80806999991</v>
      </c>
      <c r="BM21" s="147">
        <v>155766.67844999989</v>
      </c>
      <c r="BN21" s="147">
        <v>179523.74596999999</v>
      </c>
      <c r="BO21" s="147">
        <v>143359.1844400001</v>
      </c>
      <c r="BP21" s="147">
        <v>743608.26064000011</v>
      </c>
      <c r="BQ21" s="147">
        <v>167277.70123000001</v>
      </c>
      <c r="BR21" s="147">
        <v>193244.85924000008</v>
      </c>
      <c r="BS21" s="147">
        <v>226329.86249000003</v>
      </c>
      <c r="BT21" s="147">
        <v>156755.83768</v>
      </c>
    </row>
    <row r="22" spans="2:72" ht="15" customHeight="1" x14ac:dyDescent="0.35">
      <c r="B22" s="161" t="s">
        <v>303</v>
      </c>
      <c r="C22" s="162">
        <v>5136577</v>
      </c>
      <c r="D22" s="162">
        <v>1305147.5081987649</v>
      </c>
      <c r="E22" s="162">
        <v>1435255.2413708062</v>
      </c>
      <c r="F22" s="162">
        <v>1296399.623579815</v>
      </c>
      <c r="G22" s="162">
        <v>1099774.6652678526</v>
      </c>
      <c r="H22" s="162">
        <v>4880241.3376173852</v>
      </c>
      <c r="I22" s="162">
        <v>1242920.0812750531</v>
      </c>
      <c r="J22" s="162">
        <v>1373024.7657019007</v>
      </c>
      <c r="K22" s="162">
        <v>1260095.6339965651</v>
      </c>
      <c r="L22" s="162">
        <v>1004200.8566438663</v>
      </c>
      <c r="M22" s="162">
        <v>3122619.8596818405</v>
      </c>
      <c r="N22" s="162">
        <v>994436.03963308735</v>
      </c>
      <c r="O22" s="162">
        <v>751415.72245082317</v>
      </c>
      <c r="P22" s="162">
        <v>733884.74117781897</v>
      </c>
      <c r="Q22" s="162">
        <v>642883.35642011079</v>
      </c>
      <c r="R22" s="162">
        <v>2416011.1028492977</v>
      </c>
      <c r="S22" s="162">
        <v>551492.17440157069</v>
      </c>
      <c r="T22" s="162">
        <v>682313.56674981536</v>
      </c>
      <c r="U22" s="162">
        <v>674214.81196482084</v>
      </c>
      <c r="V22" s="162">
        <v>507990.54973309074</v>
      </c>
      <c r="W22" s="162">
        <v>2017273.471970154</v>
      </c>
      <c r="X22" s="162">
        <v>537662.33703938243</v>
      </c>
      <c r="Y22" s="162">
        <v>525001.78657159093</v>
      </c>
      <c r="Z22" s="162">
        <v>515664.98583731952</v>
      </c>
      <c r="AA22" s="162">
        <v>438944.36252186116</v>
      </c>
      <c r="AB22" s="162">
        <v>1407755.7938115024</v>
      </c>
      <c r="AC22" s="162">
        <v>446741.28075875051</v>
      </c>
      <c r="AD22" s="162">
        <v>368943.50594826031</v>
      </c>
      <c r="AE22" s="162">
        <v>344066</v>
      </c>
      <c r="AF22" s="162">
        <v>248005</v>
      </c>
      <c r="AG22" s="162">
        <v>1153185</v>
      </c>
      <c r="AH22" s="162">
        <v>322598</v>
      </c>
      <c r="AI22" s="162">
        <v>285593</v>
      </c>
      <c r="AJ22" s="162">
        <v>291204</v>
      </c>
      <c r="AK22" s="162">
        <v>253790</v>
      </c>
      <c r="AL22" s="162">
        <v>1334511</v>
      </c>
      <c r="AM22" s="162">
        <v>375919</v>
      </c>
      <c r="AN22" s="162">
        <v>298413</v>
      </c>
      <c r="AO22" s="162">
        <v>295388</v>
      </c>
      <c r="AP22" s="162">
        <v>364792</v>
      </c>
      <c r="AQ22" s="162">
        <v>807487</v>
      </c>
      <c r="AR22" s="162">
        <v>242372</v>
      </c>
      <c r="AS22" s="162">
        <v>168674</v>
      </c>
      <c r="AT22" s="162">
        <v>262496</v>
      </c>
      <c r="AU22" s="162">
        <v>133944</v>
      </c>
      <c r="AV22" s="162">
        <v>448100.01313282555</v>
      </c>
      <c r="AW22" s="162">
        <v>179379.51733885909</v>
      </c>
      <c r="AX22" s="162">
        <v>84153.884039990051</v>
      </c>
      <c r="AY22" s="162">
        <v>66158.611753976409</v>
      </c>
      <c r="AZ22" s="162">
        <v>118410</v>
      </c>
      <c r="BA22" s="162">
        <v>345062.99446525762</v>
      </c>
      <c r="BB22" s="162">
        <v>104118.63697297196</v>
      </c>
      <c r="BC22" s="162">
        <v>92980.301944885505</v>
      </c>
      <c r="BD22" s="162">
        <v>111508.34362130001</v>
      </c>
      <c r="BE22" s="162">
        <v>36455.711926100121</v>
      </c>
      <c r="BF22" s="162">
        <v>1634306.0283175609</v>
      </c>
      <c r="BG22" s="162">
        <v>330680.25255276496</v>
      </c>
      <c r="BH22" s="162">
        <v>295613.75309311796</v>
      </c>
      <c r="BI22" s="162">
        <v>126458.92376431701</v>
      </c>
      <c r="BJ22" s="162">
        <v>881553.09890736092</v>
      </c>
      <c r="BK22" s="162">
        <v>2651523.6371505372</v>
      </c>
      <c r="BL22" s="162">
        <v>936926.60637599509</v>
      </c>
      <c r="BM22" s="162">
        <v>641942.87608716998</v>
      </c>
      <c r="BN22" s="162">
        <v>542804.84198091307</v>
      </c>
      <c r="BO22" s="162">
        <v>529849.31270645896</v>
      </c>
      <c r="BP22" s="162">
        <v>2267338.2003531014</v>
      </c>
      <c r="BQ22" s="162">
        <v>1128773.9141641462</v>
      </c>
      <c r="BR22" s="162">
        <v>558392.20677303197</v>
      </c>
      <c r="BS22" s="162">
        <v>447647.33880353812</v>
      </c>
      <c r="BT22" s="162">
        <v>132524.7406123851</v>
      </c>
    </row>
    <row r="23" spans="2:72" ht="15" customHeight="1" x14ac:dyDescent="0.35">
      <c r="B23" s="146" t="s">
        <v>304</v>
      </c>
      <c r="C23" s="147">
        <v>0</v>
      </c>
      <c r="D23" s="147">
        <v>0</v>
      </c>
      <c r="E23" s="147">
        <v>0</v>
      </c>
      <c r="F23" s="147">
        <v>0</v>
      </c>
      <c r="G23" s="147">
        <v>0</v>
      </c>
      <c r="H23" s="147">
        <v>0</v>
      </c>
      <c r="I23" s="147">
        <v>0</v>
      </c>
      <c r="J23" s="147">
        <v>0</v>
      </c>
      <c r="K23" s="147">
        <v>0</v>
      </c>
      <c r="L23" s="147">
        <v>0</v>
      </c>
      <c r="M23" s="147">
        <v>0</v>
      </c>
      <c r="N23" s="147">
        <v>0</v>
      </c>
      <c r="O23" s="147">
        <v>0</v>
      </c>
      <c r="P23" s="147">
        <v>0</v>
      </c>
      <c r="Q23" s="147">
        <v>0</v>
      </c>
      <c r="R23" s="147">
        <v>0</v>
      </c>
      <c r="S23" s="147">
        <v>0</v>
      </c>
      <c r="T23" s="147">
        <v>0</v>
      </c>
      <c r="U23" s="147">
        <v>0</v>
      </c>
      <c r="V23" s="147">
        <v>0</v>
      </c>
      <c r="W23" s="147">
        <v>0</v>
      </c>
      <c r="X23" s="147">
        <v>0</v>
      </c>
      <c r="Y23" s="147">
        <v>0</v>
      </c>
      <c r="Z23" s="147">
        <v>0</v>
      </c>
      <c r="AA23" s="147">
        <v>0</v>
      </c>
      <c r="AB23" s="147">
        <v>0</v>
      </c>
      <c r="AC23" s="147">
        <v>0</v>
      </c>
      <c r="AD23" s="147">
        <v>0</v>
      </c>
      <c r="AE23" s="147">
        <v>0</v>
      </c>
      <c r="AF23" s="147">
        <v>0</v>
      </c>
      <c r="AG23" s="147">
        <v>0</v>
      </c>
      <c r="AH23" s="147">
        <v>0</v>
      </c>
      <c r="AI23" s="147">
        <v>0</v>
      </c>
      <c r="AJ23" s="147">
        <v>0</v>
      </c>
      <c r="AK23" s="147">
        <v>0</v>
      </c>
      <c r="AL23" s="147">
        <v>224304</v>
      </c>
      <c r="AM23" s="147">
        <v>41395</v>
      </c>
      <c r="AN23" s="147">
        <v>47876</v>
      </c>
      <c r="AO23" s="147">
        <v>0</v>
      </c>
      <c r="AP23" s="147">
        <v>135033</v>
      </c>
      <c r="AQ23" s="147">
        <v>183339</v>
      </c>
      <c r="AR23" s="147">
        <v>70862</v>
      </c>
      <c r="AS23" s="147">
        <v>0</v>
      </c>
      <c r="AT23" s="147">
        <v>112477</v>
      </c>
      <c r="AU23" s="147">
        <v>0</v>
      </c>
      <c r="AV23" s="147">
        <v>0</v>
      </c>
      <c r="AW23" s="147">
        <v>0</v>
      </c>
      <c r="AX23" s="147">
        <v>0</v>
      </c>
      <c r="AY23" s="147">
        <v>0</v>
      </c>
      <c r="AZ23" s="147">
        <v>0</v>
      </c>
      <c r="BA23" s="147">
        <v>0</v>
      </c>
      <c r="BB23" s="147">
        <v>0</v>
      </c>
      <c r="BC23" s="147">
        <v>0</v>
      </c>
      <c r="BD23" s="147">
        <v>0</v>
      </c>
      <c r="BE23" s="147">
        <v>0</v>
      </c>
      <c r="BF23" s="147">
        <v>1197616.824845504</v>
      </c>
      <c r="BG23" s="147">
        <v>193965.31388</v>
      </c>
      <c r="BH23" s="147">
        <v>232147.60896550398</v>
      </c>
      <c r="BI23" s="147">
        <v>0</v>
      </c>
      <c r="BJ23" s="147">
        <v>771503.902</v>
      </c>
      <c r="BK23" s="147">
        <v>2041272.182200925</v>
      </c>
      <c r="BL23" s="147">
        <v>730248.94724000001</v>
      </c>
      <c r="BM23" s="147">
        <v>503921.2669609249</v>
      </c>
      <c r="BN23" s="147">
        <v>402505.96799999999</v>
      </c>
      <c r="BO23" s="147">
        <v>404596</v>
      </c>
      <c r="BP23" s="147">
        <v>1647147.1026987652</v>
      </c>
      <c r="BQ23" s="147">
        <v>987733.30269876518</v>
      </c>
      <c r="BR23" s="147">
        <v>400425.8</v>
      </c>
      <c r="BS23" s="147">
        <v>258988</v>
      </c>
      <c r="BT23" s="147">
        <v>0</v>
      </c>
    </row>
    <row r="24" spans="2:72" ht="15" customHeight="1" x14ac:dyDescent="0.35">
      <c r="B24" s="146" t="s">
        <v>294</v>
      </c>
      <c r="C24" s="147">
        <v>5136577</v>
      </c>
      <c r="D24" s="147">
        <v>1305147.5081987649</v>
      </c>
      <c r="E24" s="147">
        <v>1435255.2413708062</v>
      </c>
      <c r="F24" s="147">
        <v>1296399.623579815</v>
      </c>
      <c r="G24" s="147">
        <v>1099774.6652678526</v>
      </c>
      <c r="H24" s="147">
        <v>4880241.3376173852</v>
      </c>
      <c r="I24" s="147">
        <v>1242920.0812750531</v>
      </c>
      <c r="J24" s="147">
        <v>1373024.7657019007</v>
      </c>
      <c r="K24" s="147">
        <v>1260095.6339965651</v>
      </c>
      <c r="L24" s="147">
        <v>1004200.8566438663</v>
      </c>
      <c r="M24" s="147">
        <v>3122619.8596818405</v>
      </c>
      <c r="N24" s="147">
        <v>994436.03963308735</v>
      </c>
      <c r="O24" s="147">
        <v>751415.72245082317</v>
      </c>
      <c r="P24" s="147">
        <v>733884.74117781897</v>
      </c>
      <c r="Q24" s="147">
        <v>642883.35642011079</v>
      </c>
      <c r="R24" s="147">
        <v>2416011.1028492977</v>
      </c>
      <c r="S24" s="147">
        <v>551492.17440157069</v>
      </c>
      <c r="T24" s="147">
        <v>682313.56674981536</v>
      </c>
      <c r="U24" s="147">
        <v>674214.81196482084</v>
      </c>
      <c r="V24" s="147">
        <v>507990.54973309074</v>
      </c>
      <c r="W24" s="147">
        <v>2017273.471970154</v>
      </c>
      <c r="X24" s="147">
        <v>537662.33703938243</v>
      </c>
      <c r="Y24" s="147">
        <v>525001.78657159093</v>
      </c>
      <c r="Z24" s="147">
        <v>515664.98583731952</v>
      </c>
      <c r="AA24" s="147">
        <v>438944.36252186116</v>
      </c>
      <c r="AB24" s="147">
        <v>1407755.7938115019</v>
      </c>
      <c r="AC24" s="147">
        <v>446741.28075875051</v>
      </c>
      <c r="AD24" s="147">
        <v>368943.50594826031</v>
      </c>
      <c r="AE24" s="147">
        <v>344066</v>
      </c>
      <c r="AF24" s="147">
        <v>248005</v>
      </c>
      <c r="AG24" s="147">
        <v>1153185</v>
      </c>
      <c r="AH24" s="147">
        <v>322598</v>
      </c>
      <c r="AI24" s="147">
        <v>285593</v>
      </c>
      <c r="AJ24" s="147">
        <v>291204</v>
      </c>
      <c r="AK24" s="147">
        <v>253790</v>
      </c>
      <c r="AL24" s="147">
        <v>1110207</v>
      </c>
      <c r="AM24" s="147">
        <v>334524</v>
      </c>
      <c r="AN24" s="147">
        <v>250537</v>
      </c>
      <c r="AO24" s="147">
        <v>295388</v>
      </c>
      <c r="AP24" s="147">
        <v>229759</v>
      </c>
      <c r="AQ24" s="147">
        <v>624148</v>
      </c>
      <c r="AR24" s="147">
        <v>171510</v>
      </c>
      <c r="AS24" s="147">
        <v>168674</v>
      </c>
      <c r="AT24" s="147">
        <v>150019</v>
      </c>
      <c r="AU24" s="147">
        <v>133944</v>
      </c>
      <c r="AV24" s="147">
        <v>448100.01313282555</v>
      </c>
      <c r="AW24" s="147">
        <v>179379.51733885909</v>
      </c>
      <c r="AX24" s="147">
        <v>84153.884039990051</v>
      </c>
      <c r="AY24" s="147">
        <v>66158.611753976409</v>
      </c>
      <c r="AZ24" s="147">
        <v>118410</v>
      </c>
      <c r="BA24" s="147">
        <v>345062.99446525762</v>
      </c>
      <c r="BB24" s="147">
        <v>104118.63697297196</v>
      </c>
      <c r="BC24" s="147">
        <v>92980.301944885505</v>
      </c>
      <c r="BD24" s="147">
        <v>111508.34362130001</v>
      </c>
      <c r="BE24" s="147">
        <v>36455.711926100121</v>
      </c>
      <c r="BF24" s="147">
        <v>436689.20347205695</v>
      </c>
      <c r="BG24" s="147">
        <v>136714.93867276498</v>
      </c>
      <c r="BH24" s="147">
        <v>63466.144127613981</v>
      </c>
      <c r="BI24" s="147">
        <v>126458.92376431701</v>
      </c>
      <c r="BJ24" s="147">
        <v>110049.19690736092</v>
      </c>
      <c r="BK24" s="147">
        <v>610251.45494961226</v>
      </c>
      <c r="BL24" s="147">
        <v>206677.65913599508</v>
      </c>
      <c r="BM24" s="147">
        <v>138021.60912624508</v>
      </c>
      <c r="BN24" s="147">
        <v>140298.87398091308</v>
      </c>
      <c r="BO24" s="147">
        <v>125253.31270645896</v>
      </c>
      <c r="BP24" s="147">
        <v>620191.09765433613</v>
      </c>
      <c r="BQ24" s="147">
        <v>141040.61146538099</v>
      </c>
      <c r="BR24" s="147">
        <v>157966.40677303198</v>
      </c>
      <c r="BS24" s="147">
        <v>188659.33880353812</v>
      </c>
      <c r="BT24" s="147">
        <v>132524.7406123851</v>
      </c>
    </row>
    <row r="25" spans="2:72" ht="15" customHeight="1" x14ac:dyDescent="0.35">
      <c r="B25" s="161" t="s">
        <v>305</v>
      </c>
      <c r="C25" s="162">
        <v>18590</v>
      </c>
      <c r="D25" s="162">
        <v>4227</v>
      </c>
      <c r="E25" s="162">
        <v>4857</v>
      </c>
      <c r="F25" s="162">
        <v>5176</v>
      </c>
      <c r="G25" s="162">
        <v>4330</v>
      </c>
      <c r="H25" s="162">
        <v>21060</v>
      </c>
      <c r="I25" s="162">
        <v>5186</v>
      </c>
      <c r="J25" s="162">
        <v>6293</v>
      </c>
      <c r="K25" s="162">
        <v>5354</v>
      </c>
      <c r="L25" s="162">
        <v>4227</v>
      </c>
      <c r="M25" s="162">
        <v>14785</v>
      </c>
      <c r="N25" s="162">
        <v>4506</v>
      </c>
      <c r="O25" s="162">
        <v>3458</v>
      </c>
      <c r="P25" s="162">
        <v>3575</v>
      </c>
      <c r="Q25" s="162">
        <v>3246</v>
      </c>
      <c r="R25" s="162">
        <v>13167</v>
      </c>
      <c r="S25" s="162">
        <v>2899</v>
      </c>
      <c r="T25" s="162">
        <v>3403</v>
      </c>
      <c r="U25" s="162">
        <v>3920</v>
      </c>
      <c r="V25" s="162">
        <v>2945</v>
      </c>
      <c r="W25" s="162">
        <v>12227</v>
      </c>
      <c r="X25" s="162">
        <v>3146</v>
      </c>
      <c r="Y25" s="162">
        <v>3211</v>
      </c>
      <c r="Z25" s="162">
        <v>3168</v>
      </c>
      <c r="AA25" s="162">
        <v>2702</v>
      </c>
      <c r="AB25" s="162">
        <v>9061</v>
      </c>
      <c r="AC25" s="162">
        <v>2749</v>
      </c>
      <c r="AD25" s="162">
        <v>2457</v>
      </c>
      <c r="AE25" s="162">
        <v>2207</v>
      </c>
      <c r="AF25" s="162">
        <v>1648</v>
      </c>
      <c r="AG25" s="162">
        <v>7601</v>
      </c>
      <c r="AH25" s="162">
        <v>2072</v>
      </c>
      <c r="AI25" s="162">
        <v>1854</v>
      </c>
      <c r="AJ25" s="162">
        <v>1923</v>
      </c>
      <c r="AK25" s="162">
        <v>1752</v>
      </c>
      <c r="AL25" s="162">
        <v>9843</v>
      </c>
      <c r="AM25" s="162">
        <v>2700</v>
      </c>
      <c r="AN25" s="162">
        <v>2151</v>
      </c>
      <c r="AO25" s="162">
        <v>1997</v>
      </c>
      <c r="AP25" s="162">
        <v>2995</v>
      </c>
      <c r="AQ25" s="162">
        <v>6243</v>
      </c>
      <c r="AR25" s="162">
        <v>1888</v>
      </c>
      <c r="AS25" s="162">
        <v>1111</v>
      </c>
      <c r="AT25" s="162">
        <v>2412</v>
      </c>
      <c r="AU25" s="162">
        <v>832</v>
      </c>
      <c r="AV25" s="162">
        <v>2209</v>
      </c>
      <c r="AW25" s="162">
        <v>923</v>
      </c>
      <c r="AX25" s="162">
        <v>347</v>
      </c>
      <c r="AY25" s="162">
        <v>360</v>
      </c>
      <c r="AZ25" s="162">
        <v>579</v>
      </c>
      <c r="BA25" s="162">
        <v>1620</v>
      </c>
      <c r="BB25" s="162">
        <v>547</v>
      </c>
      <c r="BC25" s="162">
        <v>425</v>
      </c>
      <c r="BD25" s="162">
        <v>460</v>
      </c>
      <c r="BE25" s="162">
        <v>188</v>
      </c>
      <c r="BF25" s="162">
        <v>18835</v>
      </c>
      <c r="BG25" s="162">
        <v>2800</v>
      </c>
      <c r="BH25" s="162">
        <v>4969</v>
      </c>
      <c r="BI25" s="162">
        <v>555</v>
      </c>
      <c r="BJ25" s="162">
        <v>10511</v>
      </c>
      <c r="BK25" s="162">
        <v>36650</v>
      </c>
      <c r="BL25" s="162">
        <v>12703</v>
      </c>
      <c r="BM25" s="162">
        <v>9259</v>
      </c>
      <c r="BN25" s="162">
        <v>7925</v>
      </c>
      <c r="BO25" s="162">
        <v>6763</v>
      </c>
      <c r="BP25" s="162">
        <v>27057</v>
      </c>
      <c r="BQ25" s="162">
        <v>13403</v>
      </c>
      <c r="BR25" s="162">
        <v>7351</v>
      </c>
      <c r="BS25" s="162">
        <v>5276</v>
      </c>
      <c r="BT25" s="162">
        <v>1027</v>
      </c>
    </row>
    <row r="26" spans="2:72" ht="15" customHeight="1" x14ac:dyDescent="0.35">
      <c r="B26" s="146" t="s">
        <v>297</v>
      </c>
      <c r="C26" s="147">
        <v>0</v>
      </c>
      <c r="D26" s="147">
        <v>0</v>
      </c>
      <c r="E26" s="147">
        <v>0</v>
      </c>
      <c r="F26" s="147">
        <v>0</v>
      </c>
      <c r="G26" s="147">
        <v>0</v>
      </c>
      <c r="H26" s="147">
        <v>0</v>
      </c>
      <c r="I26" s="147">
        <v>0</v>
      </c>
      <c r="J26" s="147">
        <v>0</v>
      </c>
      <c r="K26" s="147">
        <v>0</v>
      </c>
      <c r="L26" s="147">
        <v>0</v>
      </c>
      <c r="M26" s="147">
        <v>0</v>
      </c>
      <c r="N26" s="147">
        <v>0</v>
      </c>
      <c r="O26" s="147">
        <v>0</v>
      </c>
      <c r="P26" s="147">
        <v>0</v>
      </c>
      <c r="Q26" s="147">
        <v>0</v>
      </c>
      <c r="R26" s="147">
        <v>0</v>
      </c>
      <c r="S26" s="147">
        <v>0</v>
      </c>
      <c r="T26" s="147">
        <v>0</v>
      </c>
      <c r="U26" s="147">
        <v>0</v>
      </c>
      <c r="V26" s="147">
        <v>0</v>
      </c>
      <c r="W26" s="147">
        <v>0</v>
      </c>
      <c r="X26" s="147">
        <v>0</v>
      </c>
      <c r="Y26" s="147">
        <v>0</v>
      </c>
      <c r="Z26" s="147">
        <v>0</v>
      </c>
      <c r="AA26" s="147">
        <v>0</v>
      </c>
      <c r="AB26" s="147">
        <v>0</v>
      </c>
      <c r="AC26" s="147">
        <v>0</v>
      </c>
      <c r="AD26" s="147">
        <v>0</v>
      </c>
      <c r="AE26" s="147">
        <v>0</v>
      </c>
      <c r="AF26" s="147">
        <v>0</v>
      </c>
      <c r="AG26" s="147">
        <v>0</v>
      </c>
      <c r="AH26" s="147">
        <v>0</v>
      </c>
      <c r="AI26" s="147">
        <v>0</v>
      </c>
      <c r="AJ26" s="147">
        <v>0</v>
      </c>
      <c r="AK26" s="147">
        <v>0</v>
      </c>
      <c r="AL26" s="147">
        <v>2345</v>
      </c>
      <c r="AM26" s="147">
        <v>440</v>
      </c>
      <c r="AN26" s="147">
        <v>544</v>
      </c>
      <c r="AO26" s="147">
        <v>0</v>
      </c>
      <c r="AP26" s="147">
        <v>1361</v>
      </c>
      <c r="AQ26" s="147">
        <v>1900</v>
      </c>
      <c r="AR26" s="147">
        <v>600</v>
      </c>
      <c r="AS26" s="147">
        <v>0</v>
      </c>
      <c r="AT26" s="147">
        <v>1300</v>
      </c>
      <c r="AU26" s="147">
        <v>0</v>
      </c>
      <c r="AV26" s="147">
        <v>0</v>
      </c>
      <c r="AW26" s="147">
        <v>0</v>
      </c>
      <c r="AX26" s="147">
        <v>0</v>
      </c>
      <c r="AY26" s="147">
        <v>0</v>
      </c>
      <c r="AZ26" s="147">
        <v>0</v>
      </c>
      <c r="BA26" s="147">
        <v>0</v>
      </c>
      <c r="BB26" s="147">
        <v>0</v>
      </c>
      <c r="BC26" s="147">
        <v>0</v>
      </c>
      <c r="BD26" s="147">
        <v>0</v>
      </c>
      <c r="BE26" s="147">
        <v>0</v>
      </c>
      <c r="BF26" s="147">
        <v>17284</v>
      </c>
      <c r="BG26" s="147">
        <v>2448</v>
      </c>
      <c r="BH26" s="147">
        <v>4640</v>
      </c>
      <c r="BI26" s="147">
        <v>0</v>
      </c>
      <c r="BJ26" s="147">
        <v>10196</v>
      </c>
      <c r="BK26" s="147">
        <v>34372</v>
      </c>
      <c r="BL26" s="147">
        <v>12100</v>
      </c>
      <c r="BM26" s="147">
        <v>8768</v>
      </c>
      <c r="BN26" s="147">
        <v>7244</v>
      </c>
      <c r="BO26" s="147">
        <v>6260</v>
      </c>
      <c r="BP26" s="147">
        <v>23234</v>
      </c>
      <c r="BQ26" s="147">
        <v>12836</v>
      </c>
      <c r="BR26" s="147">
        <v>6398</v>
      </c>
      <c r="BS26" s="147">
        <v>4000</v>
      </c>
      <c r="BT26" s="147">
        <v>0</v>
      </c>
    </row>
    <row r="27" spans="2:72" ht="15" customHeight="1" x14ac:dyDescent="0.35">
      <c r="B27" s="146" t="s">
        <v>298</v>
      </c>
      <c r="C27" s="147">
        <v>18590</v>
      </c>
      <c r="D27" s="147">
        <v>4227</v>
      </c>
      <c r="E27" s="147">
        <v>4857</v>
      </c>
      <c r="F27" s="147">
        <v>5176</v>
      </c>
      <c r="G27" s="147">
        <v>4330</v>
      </c>
      <c r="H27" s="147">
        <v>21060</v>
      </c>
      <c r="I27" s="147">
        <v>5186</v>
      </c>
      <c r="J27" s="147">
        <v>6293</v>
      </c>
      <c r="K27" s="147">
        <v>5354</v>
      </c>
      <c r="L27" s="147">
        <v>4227</v>
      </c>
      <c r="M27" s="147">
        <v>14785</v>
      </c>
      <c r="N27" s="147">
        <v>4506</v>
      </c>
      <c r="O27" s="147">
        <v>3458</v>
      </c>
      <c r="P27" s="147">
        <v>3575</v>
      </c>
      <c r="Q27" s="147">
        <v>3246</v>
      </c>
      <c r="R27" s="147">
        <v>13167</v>
      </c>
      <c r="S27" s="147">
        <v>2899</v>
      </c>
      <c r="T27" s="147">
        <v>3403</v>
      </c>
      <c r="U27" s="147">
        <v>3920</v>
      </c>
      <c r="V27" s="147">
        <v>2945</v>
      </c>
      <c r="W27" s="147">
        <v>12227</v>
      </c>
      <c r="X27" s="147">
        <v>3146</v>
      </c>
      <c r="Y27" s="147">
        <v>3211</v>
      </c>
      <c r="Z27" s="147">
        <v>3168</v>
      </c>
      <c r="AA27" s="147">
        <v>2702</v>
      </c>
      <c r="AB27" s="147">
        <v>9061</v>
      </c>
      <c r="AC27" s="147">
        <v>2749</v>
      </c>
      <c r="AD27" s="147">
        <v>2457</v>
      </c>
      <c r="AE27" s="147">
        <v>2207</v>
      </c>
      <c r="AF27" s="147">
        <v>1648</v>
      </c>
      <c r="AG27" s="147">
        <v>7601</v>
      </c>
      <c r="AH27" s="147">
        <v>2072</v>
      </c>
      <c r="AI27" s="147">
        <v>1854</v>
      </c>
      <c r="AJ27" s="147">
        <v>1923</v>
      </c>
      <c r="AK27" s="147">
        <v>1752</v>
      </c>
      <c r="AL27" s="147">
        <v>7498</v>
      </c>
      <c r="AM27" s="147">
        <v>2260</v>
      </c>
      <c r="AN27" s="147">
        <v>1607</v>
      </c>
      <c r="AO27" s="147">
        <v>1997</v>
      </c>
      <c r="AP27" s="147">
        <v>1634</v>
      </c>
      <c r="AQ27" s="147">
        <v>4343</v>
      </c>
      <c r="AR27" s="147">
        <v>1288</v>
      </c>
      <c r="AS27" s="147">
        <v>1111</v>
      </c>
      <c r="AT27" s="147">
        <v>1112</v>
      </c>
      <c r="AU27" s="147">
        <v>832</v>
      </c>
      <c r="AV27" s="147">
        <v>2209</v>
      </c>
      <c r="AW27" s="147">
        <v>923</v>
      </c>
      <c r="AX27" s="147">
        <v>347</v>
      </c>
      <c r="AY27" s="147">
        <v>360</v>
      </c>
      <c r="AZ27" s="147">
        <v>579</v>
      </c>
      <c r="BA27" s="147">
        <v>1620</v>
      </c>
      <c r="BB27" s="147">
        <v>547</v>
      </c>
      <c r="BC27" s="147">
        <v>425</v>
      </c>
      <c r="BD27" s="147">
        <v>460</v>
      </c>
      <c r="BE27" s="147">
        <v>188</v>
      </c>
      <c r="BF27" s="147">
        <v>1551</v>
      </c>
      <c r="BG27" s="147">
        <v>352</v>
      </c>
      <c r="BH27" s="147">
        <v>329</v>
      </c>
      <c r="BI27" s="147">
        <v>555</v>
      </c>
      <c r="BJ27" s="147">
        <v>315</v>
      </c>
      <c r="BK27" s="147">
        <v>2278</v>
      </c>
      <c r="BL27" s="147">
        <v>603</v>
      </c>
      <c r="BM27" s="147">
        <v>491</v>
      </c>
      <c r="BN27" s="147">
        <v>681</v>
      </c>
      <c r="BO27" s="147">
        <v>503</v>
      </c>
      <c r="BP27" s="147">
        <v>3823</v>
      </c>
      <c r="BQ27" s="147">
        <v>567</v>
      </c>
      <c r="BR27" s="147">
        <v>953</v>
      </c>
      <c r="BS27" s="147">
        <v>1276</v>
      </c>
      <c r="BT27" s="147">
        <v>1027</v>
      </c>
    </row>
    <row r="28" spans="2:72" ht="15" customHeight="1" x14ac:dyDescent="0.35">
      <c r="B28" s="161" t="s">
        <v>300</v>
      </c>
      <c r="C28" s="162">
        <v>331529.5</v>
      </c>
      <c r="D28" s="162">
        <v>359004.82110953453</v>
      </c>
      <c r="E28" s="162">
        <v>338029.01473131607</v>
      </c>
      <c r="F28" s="162">
        <v>324055.7384853168</v>
      </c>
      <c r="G28" s="162">
        <v>306351.24509006942</v>
      </c>
      <c r="H28" s="162">
        <v>297790.63554415928</v>
      </c>
      <c r="I28" s="162">
        <v>304645.77697647514</v>
      </c>
      <c r="J28" s="162">
        <v>280492.17350071506</v>
      </c>
      <c r="K28" s="162">
        <v>302348.08761299896</v>
      </c>
      <c r="L28" s="162">
        <v>309360.98325999494</v>
      </c>
      <c r="M28" s="162">
        <v>269941.60666486324</v>
      </c>
      <c r="N28" s="162">
        <v>270891.84929649369</v>
      </c>
      <c r="O28" s="162">
        <v>290513.80105841527</v>
      </c>
      <c r="P28" s="162">
        <v>269228.43371468555</v>
      </c>
      <c r="Q28" s="162">
        <v>247492.17714725836</v>
      </c>
      <c r="R28" s="162">
        <v>227755.43222753864</v>
      </c>
      <c r="S28" s="162">
        <v>239519.77234908653</v>
      </c>
      <c r="T28" s="162">
        <v>248855.41613282423</v>
      </c>
      <c r="U28" s="162">
        <v>213186.59711989833</v>
      </c>
      <c r="V28" s="162">
        <v>211185.57361290211</v>
      </c>
      <c r="W28" s="162">
        <v>199552.96144352658</v>
      </c>
      <c r="X28" s="162">
        <v>212256.110390972</v>
      </c>
      <c r="Y28" s="162">
        <v>200160.73352538169</v>
      </c>
      <c r="Z28" s="162">
        <v>193969.67415404049</v>
      </c>
      <c r="AA28" s="162">
        <v>190586.34093634374</v>
      </c>
      <c r="AB28" s="162">
        <v>185443.2929963583</v>
      </c>
      <c r="AC28" s="162">
        <v>190159.8006111318</v>
      </c>
      <c r="AD28" s="162">
        <v>186571.7900773306</v>
      </c>
      <c r="AE28" s="162">
        <v>181738</v>
      </c>
      <c r="AF28" s="162">
        <v>180855</v>
      </c>
      <c r="AG28" s="162">
        <v>173715</v>
      </c>
      <c r="AH28" s="162">
        <v>178869</v>
      </c>
      <c r="AI28" s="162">
        <v>175926</v>
      </c>
      <c r="AJ28" s="162">
        <v>174850</v>
      </c>
      <c r="AK28" s="162">
        <v>164035</v>
      </c>
      <c r="AL28" s="162">
        <v>147385</v>
      </c>
      <c r="AM28" s="162">
        <v>158469</v>
      </c>
      <c r="AN28" s="162">
        <v>148378</v>
      </c>
      <c r="AO28" s="162">
        <v>159755</v>
      </c>
      <c r="AP28" s="162">
        <v>128433</v>
      </c>
      <c r="AQ28" s="162">
        <v>146483</v>
      </c>
      <c r="AR28" s="162">
        <v>141697</v>
      </c>
      <c r="AS28" s="162">
        <v>178369</v>
      </c>
      <c r="AT28" s="162">
        <v>123600</v>
      </c>
      <c r="AU28" s="162">
        <v>181104</v>
      </c>
      <c r="AV28" s="162">
        <v>223707.63028066934</v>
      </c>
      <c r="AW28" s="162">
        <v>219351.60803900249</v>
      </c>
      <c r="AX28" s="162">
        <v>261302.24028818455</v>
      </c>
      <c r="AY28" s="162">
        <v>211973.69113888653</v>
      </c>
      <c r="AZ28" s="162">
        <v>215416.60601036283</v>
      </c>
      <c r="BA28" s="162">
        <v>240672.77288271495</v>
      </c>
      <c r="BB28" s="162">
        <v>222244.61095063956</v>
      </c>
      <c r="BC28" s="162">
        <v>244635.9344705843</v>
      </c>
      <c r="BD28" s="162">
        <v>264710.97621739132</v>
      </c>
      <c r="BE28" s="162">
        <v>226514.72696808504</v>
      </c>
      <c r="BF28" s="162">
        <v>94183.194313246597</v>
      </c>
      <c r="BG28" s="162">
        <v>122611.77968928571</v>
      </c>
      <c r="BH28" s="162">
        <v>82121.796810223357</v>
      </c>
      <c r="BI28" s="162">
        <v>241273.79212612612</v>
      </c>
      <c r="BJ28" s="162">
        <v>84545.458926838532</v>
      </c>
      <c r="BK28" s="162">
        <v>80824.265409438609</v>
      </c>
      <c r="BL28" s="162">
        <v>78845.245635676605</v>
      </c>
      <c r="BM28" s="162">
        <v>81734.749058853558</v>
      </c>
      <c r="BN28" s="162">
        <v>82763.526305362786</v>
      </c>
      <c r="BO28" s="162">
        <v>81022.502504805569</v>
      </c>
      <c r="BP28" s="162">
        <v>88359.957250943015</v>
      </c>
      <c r="BQ28" s="162">
        <v>86175.558004086051</v>
      </c>
      <c r="BR28" s="162">
        <v>80760.530436675283</v>
      </c>
      <c r="BS28" s="162">
        <v>91985.948159590611</v>
      </c>
      <c r="BT28" s="162">
        <v>152634.70075949369</v>
      </c>
    </row>
    <row r="29" spans="2:72" ht="15" customHeight="1" x14ac:dyDescent="0.35">
      <c r="B29" s="161" t="s">
        <v>306</v>
      </c>
      <c r="C29" s="166">
        <v>0.50700000000000001</v>
      </c>
      <c r="D29" s="166">
        <v>0.191</v>
      </c>
      <c r="E29" s="166">
        <v>0.21310000000000001</v>
      </c>
      <c r="F29" s="166">
        <v>0.26062418966458512</v>
      </c>
      <c r="G29" s="166">
        <v>0.22902504542575239</v>
      </c>
      <c r="H29" s="166">
        <v>0.55700895909553394</v>
      </c>
      <c r="I29" s="166">
        <v>0.24797751017044739</v>
      </c>
      <c r="J29" s="166">
        <v>0.24972891021105312</v>
      </c>
      <c r="K29" s="166">
        <v>0.26245724603323806</v>
      </c>
      <c r="L29" s="166">
        <v>0.21383809927038319</v>
      </c>
      <c r="M29" s="166">
        <v>0.43713670229342461</v>
      </c>
      <c r="N29" s="166">
        <v>0.17246346182723693</v>
      </c>
      <c r="O29" s="166">
        <v>0.15414465844147313</v>
      </c>
      <c r="P29" s="166">
        <v>0.1728828550907183</v>
      </c>
      <c r="Q29" s="166">
        <v>0.18826291416663635</v>
      </c>
      <c r="R29" s="166">
        <v>0.47323471345675566</v>
      </c>
      <c r="S29" s="166">
        <v>0.16669912408781307</v>
      </c>
      <c r="T29" s="166">
        <v>0.1928833926652409</v>
      </c>
      <c r="U29" s="166">
        <v>0.23129286863395518</v>
      </c>
      <c r="V29" s="166">
        <v>0.17850967473534321</v>
      </c>
      <c r="W29" s="167">
        <v>0.44500000000000001</v>
      </c>
      <c r="X29" s="166">
        <v>0.16900000000000001</v>
      </c>
      <c r="Y29" s="166">
        <v>0.157</v>
      </c>
      <c r="Z29" s="166">
        <v>0.17199999999999999</v>
      </c>
      <c r="AA29" s="166">
        <v>0.16700000000000001</v>
      </c>
      <c r="AB29" s="167">
        <v>0.42699999999999999</v>
      </c>
      <c r="AC29" s="166">
        <v>0.183</v>
      </c>
      <c r="AD29" s="166">
        <v>0.17899999999999999</v>
      </c>
      <c r="AE29" s="166">
        <v>0.16500000000000001</v>
      </c>
      <c r="AF29" s="166">
        <v>0.13100000000000001</v>
      </c>
      <c r="AG29" s="167">
        <v>0.38300000000000001</v>
      </c>
      <c r="AH29" s="166">
        <v>0.126</v>
      </c>
      <c r="AI29" s="166">
        <v>0.14099999999999999</v>
      </c>
      <c r="AJ29" s="166">
        <v>0.16</v>
      </c>
      <c r="AK29" s="166">
        <v>0.152</v>
      </c>
      <c r="AL29" s="166">
        <v>0.443</v>
      </c>
      <c r="AM29" s="166">
        <v>0.19700000000000001</v>
      </c>
      <c r="AN29" s="166">
        <v>0.16200000000000001</v>
      </c>
      <c r="AO29" s="166">
        <v>0.219</v>
      </c>
      <c r="AP29" s="166">
        <v>0.20200000000000001</v>
      </c>
      <c r="AQ29" s="166">
        <v>0.42199999999999999</v>
      </c>
      <c r="AR29" s="166">
        <v>0.18</v>
      </c>
      <c r="AS29" s="166">
        <v>0.18825630543532773</v>
      </c>
      <c r="AT29" s="166">
        <v>0.19349269655562029</v>
      </c>
      <c r="AU29" s="166">
        <v>0.15016693768127753</v>
      </c>
      <c r="AV29" s="166">
        <v>0.3</v>
      </c>
      <c r="AW29" s="166">
        <v>0.16400000000000001</v>
      </c>
      <c r="AX29" s="166">
        <v>8.6651779480104676E-2</v>
      </c>
      <c r="AY29" s="166">
        <v>8.0940536392952955E-2</v>
      </c>
      <c r="AZ29" s="166">
        <v>0.25678920524165588</v>
      </c>
      <c r="BA29" s="166">
        <v>0.43308037479322864</v>
      </c>
      <c r="BB29" s="166">
        <v>0.21699308347153501</v>
      </c>
      <c r="BC29" s="166">
        <v>0.20276601974324371</v>
      </c>
      <c r="BD29" s="166">
        <v>0.23569308281140042</v>
      </c>
      <c r="BE29" s="166">
        <v>0.20013087937245885</v>
      </c>
      <c r="BF29" s="166">
        <v>0</v>
      </c>
      <c r="BG29" s="166">
        <v>0</v>
      </c>
      <c r="BH29" s="166">
        <v>0</v>
      </c>
      <c r="BI29" s="166">
        <v>0</v>
      </c>
      <c r="BJ29" s="166">
        <v>0</v>
      </c>
      <c r="BK29" s="166">
        <v>0</v>
      </c>
      <c r="BL29" s="166">
        <v>0</v>
      </c>
      <c r="BM29" s="166">
        <v>0</v>
      </c>
      <c r="BN29" s="166">
        <v>0</v>
      </c>
      <c r="BO29" s="166">
        <v>0</v>
      </c>
      <c r="BP29" s="166">
        <v>0</v>
      </c>
      <c r="BQ29" s="166">
        <v>0</v>
      </c>
      <c r="BR29" s="166">
        <v>0</v>
      </c>
      <c r="BS29" s="166">
        <v>0</v>
      </c>
      <c r="BT29" s="166">
        <v>0</v>
      </c>
    </row>
    <row r="30" spans="2:72" ht="15" customHeight="1" x14ac:dyDescent="0.35">
      <c r="B30" s="161" t="s">
        <v>307</v>
      </c>
      <c r="C30" s="166">
        <v>0.52900000000000003</v>
      </c>
      <c r="D30" s="166">
        <v>0.21099999999999999</v>
      </c>
      <c r="E30" s="166">
        <v>0.23899999999999999</v>
      </c>
      <c r="F30" s="166">
        <v>0.263655743236969</v>
      </c>
      <c r="G30" s="166">
        <v>0.23320129102508963</v>
      </c>
      <c r="H30" s="166">
        <v>0.56447881363544739</v>
      </c>
      <c r="I30" s="166">
        <v>0.24978796118394656</v>
      </c>
      <c r="J30" s="166">
        <v>0.24963678604926867</v>
      </c>
      <c r="K30" s="166">
        <v>0.26371760116357634</v>
      </c>
      <c r="L30" s="166">
        <v>0.21639895348043731</v>
      </c>
      <c r="M30" s="166">
        <v>0.427470897609869</v>
      </c>
      <c r="N30" s="166">
        <v>0.16350925387444942</v>
      </c>
      <c r="O30" s="166">
        <v>0.16793178263580283</v>
      </c>
      <c r="P30" s="166">
        <v>0.17502189701346693</v>
      </c>
      <c r="Q30" s="166">
        <v>0.1668656306165093</v>
      </c>
      <c r="R30" s="166">
        <v>0.43502893045445928</v>
      </c>
      <c r="S30" s="166">
        <v>0.1461532262758698</v>
      </c>
      <c r="T30" s="166">
        <v>0.19008916078576801</v>
      </c>
      <c r="U30" s="166">
        <v>0.20379111301937453</v>
      </c>
      <c r="V30" s="166">
        <v>0.16127881259931962</v>
      </c>
      <c r="W30" s="167">
        <v>0.433</v>
      </c>
      <c r="X30" s="166">
        <v>0.17199999999999999</v>
      </c>
      <c r="Y30" s="166">
        <v>0.16900000000000001</v>
      </c>
      <c r="Z30" s="166">
        <v>0.184</v>
      </c>
      <c r="AA30" s="166">
        <v>0.16700000000000001</v>
      </c>
      <c r="AB30" s="167">
        <v>0.4</v>
      </c>
      <c r="AC30" s="166">
        <v>0.17299999999999999</v>
      </c>
      <c r="AD30" s="166">
        <v>0.16300000000000001</v>
      </c>
      <c r="AE30" s="166">
        <v>0.153</v>
      </c>
      <c r="AF30" s="166">
        <v>0.11600000000000001</v>
      </c>
      <c r="AG30" s="167">
        <v>0.35299999999999998</v>
      </c>
      <c r="AH30" s="166">
        <v>0.13800000000000001</v>
      </c>
      <c r="AI30" s="166">
        <v>0.127</v>
      </c>
      <c r="AJ30" s="166">
        <v>0.13700000000000001</v>
      </c>
      <c r="AK30" s="166">
        <v>0.13100000000000001</v>
      </c>
      <c r="AL30" s="166">
        <v>0.36799999999999999</v>
      </c>
      <c r="AM30" s="166">
        <v>0.17699999999999999</v>
      </c>
      <c r="AN30" s="166">
        <v>0.122</v>
      </c>
      <c r="AO30" s="166">
        <v>0.154</v>
      </c>
      <c r="AP30" s="166">
        <v>0.125</v>
      </c>
      <c r="AQ30" s="166">
        <v>0.307</v>
      </c>
      <c r="AR30" s="166">
        <v>0.10580434994131775</v>
      </c>
      <c r="AS30" s="166">
        <v>0.122</v>
      </c>
      <c r="AT30" s="166">
        <v>0.106</v>
      </c>
      <c r="AU30" s="166">
        <v>9.0999999999999998E-2</v>
      </c>
      <c r="AV30" s="166">
        <v>0.253</v>
      </c>
      <c r="AW30" s="166">
        <v>0.12</v>
      </c>
      <c r="AX30" s="166">
        <v>6.4786220932748717E-2</v>
      </c>
      <c r="AY30" s="166">
        <v>5.7389509976019777E-2</v>
      </c>
      <c r="AZ30" s="166">
        <v>0.10180182060503276</v>
      </c>
      <c r="BA30" s="166">
        <v>0.26695966928448628</v>
      </c>
      <c r="BB30" s="166">
        <v>9.6438859670510857E-2</v>
      </c>
      <c r="BC30" s="166">
        <v>9.4069679126353417E-2</v>
      </c>
      <c r="BD30" s="166">
        <v>0.106</v>
      </c>
      <c r="BE30" s="166">
        <v>4.3165225267037935E-2</v>
      </c>
      <c r="BF30" s="166">
        <v>0.35242518310191989</v>
      </c>
      <c r="BG30" s="166">
        <v>0.13627886002937875</v>
      </c>
      <c r="BH30" s="166">
        <v>7.0139908020290118E-2</v>
      </c>
      <c r="BI30" s="166">
        <v>0.13448669084359052</v>
      </c>
      <c r="BJ30" s="166">
        <v>0.14043022764383634</v>
      </c>
      <c r="BK30" s="166">
        <v>0.4604977634599085</v>
      </c>
      <c r="BL30" s="166">
        <v>0.21076712298187555</v>
      </c>
      <c r="BM30" s="166">
        <v>0.15397899610287585</v>
      </c>
      <c r="BN30" s="166">
        <v>0.21224156404131561</v>
      </c>
      <c r="BO30" s="166">
        <v>0.15210593843547709</v>
      </c>
      <c r="BP30" s="166">
        <v>0.44078532654469171</v>
      </c>
      <c r="BQ30" s="166">
        <v>0.15234096290067617</v>
      </c>
      <c r="BR30" s="166">
        <v>0.18655135949685187</v>
      </c>
      <c r="BS30" s="166">
        <v>0.21166202316221611</v>
      </c>
      <c r="BT30" s="166">
        <v>0.16077643599551422</v>
      </c>
    </row>
    <row r="31" spans="2:72" ht="8.25" customHeight="1" x14ac:dyDescent="0.35">
      <c r="B31" s="149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9"/>
      <c r="P31" s="149"/>
      <c r="Q31" s="149"/>
      <c r="R31" s="147"/>
      <c r="S31" s="147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5"/>
      <c r="AZ31" s="165"/>
      <c r="BA31" s="165"/>
      <c r="BB31" s="165"/>
      <c r="BC31" s="165"/>
      <c r="BD31" s="165"/>
      <c r="BE31" s="165"/>
      <c r="BF31" s="165"/>
      <c r="BG31" s="165"/>
      <c r="BH31" s="165"/>
      <c r="BI31" s="165"/>
      <c r="BJ31" s="165"/>
      <c r="BK31" s="165"/>
      <c r="BL31" s="165"/>
      <c r="BM31" s="165"/>
      <c r="BN31" s="165"/>
      <c r="BO31" s="165"/>
      <c r="BP31" s="165"/>
      <c r="BQ31" s="165"/>
      <c r="BR31" s="165"/>
      <c r="BS31" s="165"/>
      <c r="BT31" s="165"/>
    </row>
    <row r="32" spans="2:72" ht="15" customHeight="1" x14ac:dyDescent="0.35">
      <c r="B32" s="159" t="s">
        <v>308</v>
      </c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60"/>
      <c r="AM32" s="160"/>
      <c r="AN32" s="160"/>
      <c r="AO32" s="160"/>
      <c r="AP32" s="160"/>
      <c r="AQ32" s="160"/>
      <c r="AR32" s="160"/>
      <c r="AS32" s="160"/>
      <c r="AT32" s="160"/>
      <c r="AU32" s="160"/>
      <c r="AV32" s="160"/>
      <c r="AW32" s="160"/>
      <c r="AX32" s="160"/>
      <c r="AY32" s="160"/>
      <c r="AZ32" s="160"/>
      <c r="BA32" s="160"/>
      <c r="BB32" s="160"/>
      <c r="BC32" s="160"/>
      <c r="BD32" s="160"/>
      <c r="BE32" s="160"/>
      <c r="BF32" s="160"/>
      <c r="BG32" s="160"/>
      <c r="BH32" s="160"/>
      <c r="BI32" s="160"/>
      <c r="BJ32" s="160"/>
      <c r="BK32" s="160"/>
      <c r="BL32" s="160"/>
      <c r="BM32" s="160"/>
      <c r="BN32" s="160"/>
      <c r="BO32" s="160"/>
      <c r="BP32" s="160"/>
      <c r="BQ32" s="160"/>
      <c r="BR32" s="160"/>
      <c r="BS32" s="160"/>
      <c r="BT32" s="160"/>
    </row>
    <row r="33" spans="2:72" ht="15" customHeight="1" x14ac:dyDescent="0.35">
      <c r="B33" s="149" t="s">
        <v>309</v>
      </c>
      <c r="C33" s="147">
        <v>5696074.2999999998</v>
      </c>
      <c r="D33" s="147">
        <v>5696074.2999999998</v>
      </c>
      <c r="E33" s="147">
        <v>5296306.7949601151</v>
      </c>
      <c r="F33" s="147">
        <v>4716030.0403999714</v>
      </c>
      <c r="G33" s="147">
        <v>4457852.9548300393</v>
      </c>
      <c r="H33" s="147">
        <v>4787060.9771200772</v>
      </c>
      <c r="I33" s="147">
        <v>4787060.9771200772</v>
      </c>
      <c r="J33" s="147">
        <v>4491763.8582301848</v>
      </c>
      <c r="K33" s="147">
        <v>4591683.8734300984</v>
      </c>
      <c r="L33" s="147">
        <v>4777623.8809859827</v>
      </c>
      <c r="M33" s="147">
        <v>5146344.3552999422</v>
      </c>
      <c r="N33" s="147">
        <v>5146344.3552999422</v>
      </c>
      <c r="O33" s="147">
        <v>5021448.6921899645</v>
      </c>
      <c r="P33" s="147">
        <v>4582751.2715999912</v>
      </c>
      <c r="Q33" s="147">
        <v>4042618.0769599848</v>
      </c>
      <c r="R33" s="147">
        <v>4203220.2442100272</v>
      </c>
      <c r="S33" s="147">
        <v>4203220.2442100272</v>
      </c>
      <c r="T33" s="147">
        <v>3693244.7942699729</v>
      </c>
      <c r="U33" s="147">
        <v>3265972.791360015</v>
      </c>
      <c r="V33" s="147">
        <v>3310356.605030003</v>
      </c>
      <c r="W33" s="147">
        <v>3257243.9537399895</v>
      </c>
      <c r="X33" s="147">
        <v>3257243.9537399895</v>
      </c>
      <c r="Y33" s="147">
        <v>3178010.9174513496</v>
      </c>
      <c r="Z33" s="147">
        <v>2721703.3810535693</v>
      </c>
      <c r="AA33" s="147">
        <v>2555988.8692799653</v>
      </c>
      <c r="AB33" s="147">
        <v>2502447.3095918144</v>
      </c>
      <c r="AC33" s="147">
        <v>2502447.3095918144</v>
      </c>
      <c r="AD33" s="147">
        <v>2328376.1671063821</v>
      </c>
      <c r="AE33" s="147">
        <v>2235027</v>
      </c>
      <c r="AF33" s="147">
        <v>2276753</v>
      </c>
      <c r="AG33" s="147">
        <v>2434918</v>
      </c>
      <c r="AH33" s="147">
        <v>2434918</v>
      </c>
      <c r="AI33" s="147">
        <v>2234885</v>
      </c>
      <c r="AJ33" s="147">
        <v>2123418</v>
      </c>
      <c r="AK33" s="147">
        <v>1898446</v>
      </c>
      <c r="AL33" s="147">
        <v>1796351</v>
      </c>
      <c r="AM33" s="147">
        <v>1796351</v>
      </c>
      <c r="AN33" s="147">
        <v>1695938</v>
      </c>
      <c r="AO33" s="147">
        <v>1741948</v>
      </c>
      <c r="AP33" s="147">
        <v>1705208</v>
      </c>
      <c r="AQ33" s="147">
        <v>1648147</v>
      </c>
      <c r="AR33" s="147">
        <v>1648147</v>
      </c>
      <c r="AS33" s="147">
        <v>1438923</v>
      </c>
      <c r="AT33" s="147">
        <v>1507911</v>
      </c>
      <c r="AU33" s="147">
        <v>1562353</v>
      </c>
      <c r="AV33" s="147">
        <v>1459759.2050761986</v>
      </c>
      <c r="AW33" s="147">
        <v>1459759.2050761986</v>
      </c>
      <c r="AX33" s="147">
        <v>1333791</v>
      </c>
      <c r="AY33" s="147">
        <v>1229980.0734099175</v>
      </c>
      <c r="AZ33" s="147">
        <v>1120149.7531609726</v>
      </c>
      <c r="BA33" s="147">
        <v>1124206.1560547687</v>
      </c>
      <c r="BB33" s="147">
        <v>1124206.1560547687</v>
      </c>
      <c r="BC33" s="147">
        <v>1033398.7679407585</v>
      </c>
      <c r="BD33" s="147">
        <v>1032819.3887315997</v>
      </c>
      <c r="BE33" s="147">
        <v>972189.70888819941</v>
      </c>
      <c r="BF33" s="147">
        <v>958648.68</v>
      </c>
      <c r="BG33" s="147">
        <v>958648.68</v>
      </c>
      <c r="BH33" s="147">
        <v>938090.18</v>
      </c>
      <c r="BI33" s="147">
        <v>886697.66</v>
      </c>
      <c r="BJ33" s="147">
        <v>732765.27</v>
      </c>
      <c r="BK33" s="147">
        <v>834246.43501346535</v>
      </c>
      <c r="BL33" s="147">
        <v>834246.43501346535</v>
      </c>
      <c r="BM33" s="147">
        <v>846388.46</v>
      </c>
      <c r="BN33" s="147">
        <v>704513.11459277628</v>
      </c>
      <c r="BO33" s="147">
        <v>770949.45035152812</v>
      </c>
      <c r="BP33" s="147">
        <v>927294.26525002811</v>
      </c>
      <c r="BQ33" s="147">
        <v>927294.26525002811</v>
      </c>
      <c r="BR33" s="147">
        <v>863518.90123735776</v>
      </c>
      <c r="BS33" s="147">
        <v>831356.38416768517</v>
      </c>
      <c r="BT33" s="147">
        <v>796336.25535088393</v>
      </c>
    </row>
    <row r="34" spans="2:72" ht="15" customHeight="1" x14ac:dyDescent="0.35">
      <c r="B34" s="149" t="s">
        <v>310</v>
      </c>
      <c r="C34" s="147">
        <v>182496.2</v>
      </c>
      <c r="D34" s="147">
        <v>182496.2</v>
      </c>
      <c r="E34" s="147">
        <v>176208.05291999999</v>
      </c>
      <c r="F34" s="147">
        <v>193638.42455</v>
      </c>
      <c r="G34" s="147">
        <v>191092.19005</v>
      </c>
      <c r="H34" s="147">
        <v>108427.43846999999</v>
      </c>
      <c r="I34" s="147">
        <v>108427.43846999999</v>
      </c>
      <c r="J34" s="147">
        <v>74694.146469999905</v>
      </c>
      <c r="K34" s="147">
        <v>85112.631160000397</v>
      </c>
      <c r="L34" s="147">
        <v>161356.38696</v>
      </c>
      <c r="M34" s="147">
        <v>73573.923070000455</v>
      </c>
      <c r="N34" s="147">
        <v>73573.923070000455</v>
      </c>
      <c r="O34" s="147">
        <v>79214.305160000396</v>
      </c>
      <c r="P34" s="147">
        <v>68045.523839999907</v>
      </c>
      <c r="Q34" s="147">
        <v>75570.191640000048</v>
      </c>
      <c r="R34" s="147">
        <v>88082.438850000646</v>
      </c>
      <c r="S34" s="147">
        <v>88082.438850000646</v>
      </c>
      <c r="T34" s="147">
        <v>66875.967039999916</v>
      </c>
      <c r="U34" s="147">
        <v>75156.635519999923</v>
      </c>
      <c r="V34" s="147">
        <v>186250.65904000087</v>
      </c>
      <c r="W34" s="147">
        <v>162976.36154000071</v>
      </c>
      <c r="X34" s="147">
        <v>162976.36154000071</v>
      </c>
      <c r="Y34" s="147">
        <v>129395.71443666659</v>
      </c>
      <c r="Z34" s="147">
        <v>120898.47089</v>
      </c>
      <c r="AA34" s="147">
        <v>154429.16082181362</v>
      </c>
      <c r="AB34" s="147">
        <v>180565.25544181376</v>
      </c>
      <c r="AC34" s="147">
        <v>180565.25544181376</v>
      </c>
      <c r="AD34" s="147">
        <v>229072.29960638116</v>
      </c>
      <c r="AE34" s="147">
        <v>260345</v>
      </c>
      <c r="AF34" s="147">
        <v>279324</v>
      </c>
      <c r="AG34" s="147">
        <v>293125</v>
      </c>
      <c r="AH34" s="147">
        <v>293125</v>
      </c>
      <c r="AI34" s="147">
        <v>316921</v>
      </c>
      <c r="AJ34" s="147">
        <v>333125</v>
      </c>
      <c r="AK34" s="147">
        <v>347706</v>
      </c>
      <c r="AL34" s="147">
        <v>365461</v>
      </c>
      <c r="AM34" s="147">
        <v>365461</v>
      </c>
      <c r="AN34" s="147">
        <v>394808</v>
      </c>
      <c r="AO34" s="147">
        <v>628117</v>
      </c>
      <c r="AP34" s="147">
        <v>658957</v>
      </c>
      <c r="AQ34" s="147">
        <v>541772</v>
      </c>
      <c r="AR34" s="147">
        <v>541772</v>
      </c>
      <c r="AS34" s="147">
        <v>472679</v>
      </c>
      <c r="AT34" s="147">
        <v>433075</v>
      </c>
      <c r="AU34" s="147">
        <v>433157</v>
      </c>
      <c r="AV34" s="147">
        <v>354844.21918784146</v>
      </c>
      <c r="AW34" s="147">
        <v>354844.21918784146</v>
      </c>
      <c r="AX34" s="147">
        <v>368321</v>
      </c>
      <c r="AY34" s="147">
        <v>326359.17915041075</v>
      </c>
      <c r="AZ34" s="147">
        <v>338113.4740668154</v>
      </c>
      <c r="BA34" s="147">
        <v>319324.35552685801</v>
      </c>
      <c r="BB34" s="147">
        <v>319324.35552685801</v>
      </c>
      <c r="BC34" s="147">
        <v>282286.62022563868</v>
      </c>
      <c r="BD34" s="147">
        <v>284279.30259439984</v>
      </c>
      <c r="BE34" s="147">
        <v>237059.97771249991</v>
      </c>
      <c r="BF34" s="147">
        <v>239410.34445953378</v>
      </c>
      <c r="BG34" s="147">
        <v>239410.34445953378</v>
      </c>
      <c r="BH34" s="147">
        <v>219594.23866188325</v>
      </c>
      <c r="BI34" s="147">
        <v>199490.97842136177</v>
      </c>
      <c r="BJ34" s="147">
        <v>206699.51642147714</v>
      </c>
      <c r="BK34" s="147">
        <v>173090.70414873102</v>
      </c>
      <c r="BL34" s="147">
        <v>173090.70414873102</v>
      </c>
      <c r="BM34" s="147">
        <v>135365.54420498019</v>
      </c>
      <c r="BN34" s="147">
        <v>104277.21043747895</v>
      </c>
      <c r="BO34" s="147">
        <v>120254.9485186432</v>
      </c>
      <c r="BP34" s="147">
        <v>144945.03329702077</v>
      </c>
      <c r="BQ34" s="147">
        <v>144945.03329702077</v>
      </c>
      <c r="BR34" s="147">
        <v>115089.13159180815</v>
      </c>
      <c r="BS34" s="147">
        <v>88547.579247785092</v>
      </c>
      <c r="BT34" s="147">
        <v>94194.51704819953</v>
      </c>
    </row>
    <row r="35" spans="2:72" ht="15" customHeight="1" x14ac:dyDescent="0.35">
      <c r="B35" s="149" t="s">
        <v>311</v>
      </c>
      <c r="C35" s="147">
        <v>15844</v>
      </c>
      <c r="D35" s="147">
        <v>15844</v>
      </c>
      <c r="E35" s="147">
        <v>15284</v>
      </c>
      <c r="F35" s="147">
        <v>13709</v>
      </c>
      <c r="G35" s="147">
        <v>13801</v>
      </c>
      <c r="H35" s="147">
        <v>14730</v>
      </c>
      <c r="I35" s="147">
        <v>14730</v>
      </c>
      <c r="J35" s="147">
        <v>14121</v>
      </c>
      <c r="K35" s="147">
        <v>14580</v>
      </c>
      <c r="L35" s="147">
        <v>15747</v>
      </c>
      <c r="M35" s="147">
        <v>17734</v>
      </c>
      <c r="N35" s="147">
        <v>17734</v>
      </c>
      <c r="O35" s="147">
        <v>17617</v>
      </c>
      <c r="P35" s="147">
        <v>16923</v>
      </c>
      <c r="Q35" s="147">
        <v>15224</v>
      </c>
      <c r="R35" s="147">
        <v>15781</v>
      </c>
      <c r="S35" s="147">
        <v>15781</v>
      </c>
      <c r="T35" s="147">
        <v>14386</v>
      </c>
      <c r="U35" s="147">
        <v>13676</v>
      </c>
      <c r="V35" s="147">
        <v>14513</v>
      </c>
      <c r="W35" s="147">
        <v>14627</v>
      </c>
      <c r="X35" s="147">
        <v>14627</v>
      </c>
      <c r="Y35" s="147">
        <v>14573</v>
      </c>
      <c r="Z35" s="147">
        <v>14045</v>
      </c>
      <c r="AA35" s="147">
        <v>13112</v>
      </c>
      <c r="AB35" s="147">
        <v>13381</v>
      </c>
      <c r="AC35" s="147">
        <v>13381</v>
      </c>
      <c r="AD35" s="147">
        <v>12429</v>
      </c>
      <c r="AE35" s="147">
        <v>11649</v>
      </c>
      <c r="AF35" s="147">
        <v>11724</v>
      </c>
      <c r="AG35" s="147">
        <v>12519</v>
      </c>
      <c r="AH35" s="147">
        <v>12519</v>
      </c>
      <c r="AI35" s="147">
        <v>11342</v>
      </c>
      <c r="AJ35" s="147">
        <v>10634</v>
      </c>
      <c r="AK35" s="147">
        <v>9418</v>
      </c>
      <c r="AL35" s="147">
        <v>8880</v>
      </c>
      <c r="AM35" s="147">
        <v>8880</v>
      </c>
      <c r="AN35" s="147">
        <v>8272</v>
      </c>
      <c r="AO35" s="147">
        <v>7589</v>
      </c>
      <c r="AP35" s="147">
        <v>7495</v>
      </c>
      <c r="AQ35" s="147">
        <v>7300</v>
      </c>
      <c r="AR35" s="147">
        <v>7300</v>
      </c>
      <c r="AS35" s="147">
        <v>5804</v>
      </c>
      <c r="AT35" s="147">
        <v>6175</v>
      </c>
      <c r="AU35" s="147">
        <v>6152</v>
      </c>
      <c r="AV35" s="147">
        <v>5622</v>
      </c>
      <c r="AW35" s="147">
        <v>5622</v>
      </c>
      <c r="AX35" s="147">
        <v>4533</v>
      </c>
      <c r="AY35" s="147">
        <v>4272</v>
      </c>
      <c r="AZ35" s="147">
        <v>3255</v>
      </c>
      <c r="BA35" s="147">
        <v>3346</v>
      </c>
      <c r="BB35" s="147">
        <v>3346</v>
      </c>
      <c r="BC35" s="147">
        <v>2960</v>
      </c>
      <c r="BD35" s="147">
        <v>2858</v>
      </c>
      <c r="BE35" s="147">
        <v>2723</v>
      </c>
      <c r="BF35" s="147">
        <v>2655</v>
      </c>
      <c r="BG35" s="147">
        <v>2655</v>
      </c>
      <c r="BH35" s="147">
        <v>2739</v>
      </c>
      <c r="BI35" s="147">
        <v>2852</v>
      </c>
      <c r="BJ35" s="147">
        <v>2114</v>
      </c>
      <c r="BK35" s="147">
        <v>2482</v>
      </c>
      <c r="BL35" s="147">
        <v>2482</v>
      </c>
      <c r="BM35" s="147">
        <v>2466</v>
      </c>
      <c r="BN35" s="147">
        <v>2028</v>
      </c>
      <c r="BO35" s="147">
        <v>2350</v>
      </c>
      <c r="BP35" s="147">
        <v>2866</v>
      </c>
      <c r="BQ35" s="147">
        <v>2866</v>
      </c>
      <c r="BR35" s="147">
        <v>3083</v>
      </c>
      <c r="BS35" s="147">
        <v>3435</v>
      </c>
      <c r="BT35" s="147">
        <v>3877</v>
      </c>
    </row>
    <row r="36" spans="2:72" ht="15" customHeight="1" x14ac:dyDescent="0.35">
      <c r="B36" s="149" t="s">
        <v>312</v>
      </c>
      <c r="C36" s="147">
        <v>4778531.9000000004</v>
      </c>
      <c r="D36" s="147">
        <v>4778531.9000000004</v>
      </c>
      <c r="E36" s="147">
        <v>4496955.9487183373</v>
      </c>
      <c r="F36" s="147">
        <v>3861641.5815323316</v>
      </c>
      <c r="G36" s="147">
        <v>3694096.5096896128</v>
      </c>
      <c r="H36" s="147">
        <v>3939039.632420355</v>
      </c>
      <c r="I36" s="147">
        <v>3939039.632420355</v>
      </c>
      <c r="J36" s="147">
        <v>3785343.6689252793</v>
      </c>
      <c r="K36" s="147">
        <v>3827516.5029357881</v>
      </c>
      <c r="L36" s="147">
        <v>3967910.3769535208</v>
      </c>
      <c r="M36" s="147">
        <v>4339141.0362665681</v>
      </c>
      <c r="N36" s="147">
        <v>4339141.0362665681</v>
      </c>
      <c r="O36" s="147">
        <v>4064312.4522204176</v>
      </c>
      <c r="P36" s="147">
        <v>3788923.3331531351</v>
      </c>
      <c r="Q36" s="147">
        <v>3437201.7170078228</v>
      </c>
      <c r="R36" s="147">
        <v>3430448.8390917312</v>
      </c>
      <c r="S36" s="147">
        <v>3430448.8390917312</v>
      </c>
      <c r="T36" s="147">
        <v>3146086.6134908912</v>
      </c>
      <c r="U36" s="147">
        <v>2787042.1742037754</v>
      </c>
      <c r="V36" s="147">
        <v>2718625.3324392573</v>
      </c>
      <c r="W36" s="147">
        <v>2662254.8740540869</v>
      </c>
      <c r="X36" s="147">
        <v>2662254.8740540869</v>
      </c>
      <c r="Y36" s="147">
        <v>2686462.1916083433</v>
      </c>
      <c r="Z36" s="147">
        <v>2281022.7959058243</v>
      </c>
      <c r="AA36" s="147">
        <v>2225560.7420900348</v>
      </c>
      <c r="AB36" s="147">
        <v>2213873.2104889592</v>
      </c>
      <c r="AC36" s="147">
        <v>2213873.2104889592</v>
      </c>
      <c r="AD36" s="147">
        <v>2044091.2730107338</v>
      </c>
      <c r="AE36" s="147">
        <v>1967693</v>
      </c>
      <c r="AF36" s="147">
        <v>2007732</v>
      </c>
      <c r="AG36" s="147">
        <v>2116856</v>
      </c>
      <c r="AH36" s="147">
        <v>2116856</v>
      </c>
      <c r="AI36" s="147">
        <v>1924912</v>
      </c>
      <c r="AJ36" s="147">
        <v>1811865</v>
      </c>
      <c r="AK36" s="147">
        <v>1609028</v>
      </c>
      <c r="AL36" s="147">
        <v>1551351</v>
      </c>
      <c r="AM36" s="147">
        <v>1551351</v>
      </c>
      <c r="AN36" s="147">
        <v>1596177</v>
      </c>
      <c r="AO36" s="147">
        <v>1561832</v>
      </c>
      <c r="AP36" s="147">
        <v>1500874</v>
      </c>
      <c r="AQ36" s="147">
        <v>1470992</v>
      </c>
      <c r="AR36" s="147">
        <v>1470992</v>
      </c>
      <c r="AS36" s="147">
        <v>1275381</v>
      </c>
      <c r="AT36" s="147">
        <v>1320697</v>
      </c>
      <c r="AU36" s="147">
        <v>1339914</v>
      </c>
      <c r="AV36" s="147">
        <v>1307915.0257757518</v>
      </c>
      <c r="AW36" s="147">
        <v>1307915.0257757518</v>
      </c>
      <c r="AX36" s="147">
        <v>1194839.8631712277</v>
      </c>
      <c r="AY36" s="147">
        <v>1103329.9773418733</v>
      </c>
      <c r="AZ36" s="147">
        <v>989638.49247743189</v>
      </c>
      <c r="BA36" s="147">
        <v>988693.76188469236</v>
      </c>
      <c r="BB36" s="147">
        <v>988693.76188469236</v>
      </c>
      <c r="BC36" s="147">
        <v>897113.0132873652</v>
      </c>
      <c r="BD36" s="147">
        <v>924576.9051425996</v>
      </c>
      <c r="BE36" s="147">
        <v>854932.75279199996</v>
      </c>
      <c r="BF36" s="147">
        <v>846151.45</v>
      </c>
      <c r="BG36" s="147">
        <v>846151.45</v>
      </c>
      <c r="BH36" s="147">
        <v>812690.79</v>
      </c>
      <c r="BI36" s="147">
        <v>764504.57</v>
      </c>
      <c r="BJ36" s="147">
        <v>631255.65</v>
      </c>
      <c r="BK36" s="147">
        <v>725240.50189126551</v>
      </c>
      <c r="BL36" s="147">
        <v>725240.50189126551</v>
      </c>
      <c r="BM36" s="147">
        <v>726914.96</v>
      </c>
      <c r="BN36" s="147">
        <v>603423.4</v>
      </c>
      <c r="BO36" s="147">
        <v>666584.11315448489</v>
      </c>
      <c r="BP36" s="147">
        <v>799927.87238082278</v>
      </c>
      <c r="BQ36" s="147">
        <v>799927.87238082278</v>
      </c>
      <c r="BR36" s="147">
        <v>742672.87626825506</v>
      </c>
      <c r="BS36" s="147">
        <v>717686.55541086616</v>
      </c>
      <c r="BT36" s="147">
        <v>705912.8222288494</v>
      </c>
    </row>
    <row r="37" spans="2:72" ht="15" customHeight="1" x14ac:dyDescent="0.35">
      <c r="B37" s="149" t="s">
        <v>313</v>
      </c>
      <c r="C37" s="147">
        <v>125852.9</v>
      </c>
      <c r="D37" s="147">
        <v>125852.9</v>
      </c>
      <c r="E37" s="147">
        <v>118025.92348140301</v>
      </c>
      <c r="F37" s="147">
        <v>135352.03191905099</v>
      </c>
      <c r="G37" s="147">
        <v>133556.93439049699</v>
      </c>
      <c r="H37" s="147">
        <v>65051.698201415602</v>
      </c>
      <c r="I37" s="147">
        <v>65051.698201415602</v>
      </c>
      <c r="J37" s="147">
        <v>49263.384040766301</v>
      </c>
      <c r="K37" s="147">
        <v>53735.315113482597</v>
      </c>
      <c r="L37" s="147">
        <v>91455.261695840003</v>
      </c>
      <c r="M37" s="147">
        <v>57675.547439365349</v>
      </c>
      <c r="N37" s="147">
        <v>57675.547439365349</v>
      </c>
      <c r="O37" s="147">
        <v>61521.458529365802</v>
      </c>
      <c r="P37" s="147">
        <v>45729.828905365335</v>
      </c>
      <c r="Q37" s="147">
        <v>59242.016100761291</v>
      </c>
      <c r="R37" s="147">
        <v>71745.694359110057</v>
      </c>
      <c r="S37" s="147">
        <v>71745.694359110057</v>
      </c>
      <c r="T37" s="147">
        <v>49273.966179509334</v>
      </c>
      <c r="U37" s="147">
        <v>55721.947810891324</v>
      </c>
      <c r="V37" s="147">
        <v>164436.87319110535</v>
      </c>
      <c r="W37" s="147">
        <v>139006.59574687391</v>
      </c>
      <c r="X37" s="147">
        <v>139006.59574687391</v>
      </c>
      <c r="Y37" s="147">
        <v>101834.5845533469</v>
      </c>
      <c r="Z37" s="147">
        <v>107411.90438069089</v>
      </c>
      <c r="AA37" s="147">
        <v>140612.85189523143</v>
      </c>
      <c r="AB37" s="147">
        <v>160004.77377082396</v>
      </c>
      <c r="AC37" s="147">
        <v>160004.77377082396</v>
      </c>
      <c r="AD37" s="147">
        <v>199608.19574289556</v>
      </c>
      <c r="AE37" s="147">
        <v>227542</v>
      </c>
      <c r="AF37" s="147">
        <v>244194</v>
      </c>
      <c r="AG37" s="147">
        <v>255874</v>
      </c>
      <c r="AH37" s="147">
        <v>255874</v>
      </c>
      <c r="AI37" s="147">
        <v>277745</v>
      </c>
      <c r="AJ37" s="147">
        <v>290549</v>
      </c>
      <c r="AK37" s="147">
        <v>298451</v>
      </c>
      <c r="AL37" s="147">
        <v>308699</v>
      </c>
      <c r="AM37" s="147">
        <v>308699</v>
      </c>
      <c r="AN37" s="147">
        <v>329993</v>
      </c>
      <c r="AO37" s="147">
        <v>534213</v>
      </c>
      <c r="AP37" s="147">
        <v>561906</v>
      </c>
      <c r="AQ37" s="147">
        <v>449794</v>
      </c>
      <c r="AR37" s="147">
        <v>449794</v>
      </c>
      <c r="AS37" s="147">
        <v>392171</v>
      </c>
      <c r="AT37" s="147">
        <v>369220</v>
      </c>
      <c r="AU37" s="147">
        <v>357585</v>
      </c>
      <c r="AV37" s="147">
        <v>275139.19065133901</v>
      </c>
      <c r="AW37" s="147">
        <v>275139.19065133901</v>
      </c>
      <c r="AX37" s="147">
        <v>296532.05570779281</v>
      </c>
      <c r="AY37" s="147">
        <v>259169.76560972733</v>
      </c>
      <c r="AZ37" s="147">
        <v>264442.83984514658</v>
      </c>
      <c r="BA37" s="147">
        <v>256548.12374891547</v>
      </c>
      <c r="BB37" s="147">
        <v>256548.12374891547</v>
      </c>
      <c r="BC37" s="147">
        <v>234863.29126143546</v>
      </c>
      <c r="BD37" s="147">
        <v>235301.53152290004</v>
      </c>
      <c r="BE37" s="147">
        <v>215885.7190506004</v>
      </c>
      <c r="BF37" s="147">
        <v>217604.15882005714</v>
      </c>
      <c r="BG37" s="147">
        <v>217604.15882005714</v>
      </c>
      <c r="BH37" s="147">
        <v>183097.33087479856</v>
      </c>
      <c r="BI37" s="147">
        <v>168704.62813067294</v>
      </c>
      <c r="BJ37" s="147">
        <v>179396.31931975001</v>
      </c>
      <c r="BK37" s="147">
        <v>154121.59652884945</v>
      </c>
      <c r="BL37" s="147">
        <v>154121.59652884945</v>
      </c>
      <c r="BM37" s="147">
        <v>123813.74836249201</v>
      </c>
      <c r="BN37" s="147">
        <v>88442.794916045736</v>
      </c>
      <c r="BO37" s="147">
        <v>105713.61474956801</v>
      </c>
      <c r="BP37" s="147">
        <v>129919.48288482486</v>
      </c>
      <c r="BQ37" s="147">
        <v>129919.48288482486</v>
      </c>
      <c r="BR37" s="147">
        <v>103698.63316857163</v>
      </c>
      <c r="BS37" s="147">
        <v>70359.857737116574</v>
      </c>
      <c r="BT37" s="147">
        <v>72731.750340097191</v>
      </c>
    </row>
    <row r="38" spans="2:72" ht="8.25" customHeight="1" x14ac:dyDescent="0.35">
      <c r="B38" s="149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9"/>
      <c r="P38" s="149"/>
      <c r="Q38" s="149"/>
      <c r="R38" s="147"/>
      <c r="S38" s="147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5"/>
      <c r="AO38" s="165"/>
      <c r="AP38" s="165"/>
      <c r="AQ38" s="165"/>
      <c r="AR38" s="165"/>
      <c r="AS38" s="165"/>
      <c r="AT38" s="165"/>
      <c r="AU38" s="165"/>
      <c r="AV38" s="165"/>
      <c r="AW38" s="165"/>
      <c r="AX38" s="165"/>
      <c r="AY38" s="165"/>
      <c r="AZ38" s="165"/>
      <c r="BA38" s="165"/>
      <c r="BB38" s="165"/>
      <c r="BC38" s="165"/>
      <c r="BD38" s="165"/>
      <c r="BE38" s="165"/>
      <c r="BF38" s="165"/>
      <c r="BG38" s="165"/>
      <c r="BH38" s="165"/>
      <c r="BI38" s="165"/>
      <c r="BJ38" s="165"/>
      <c r="BK38" s="165"/>
      <c r="BL38" s="165"/>
      <c r="BM38" s="165"/>
      <c r="BN38" s="165"/>
      <c r="BO38" s="165"/>
      <c r="BP38" s="165"/>
      <c r="BQ38" s="165"/>
      <c r="BR38" s="165"/>
      <c r="BS38" s="165"/>
      <c r="BT38" s="165"/>
    </row>
    <row r="39" spans="2:72" ht="15" customHeight="1" x14ac:dyDescent="0.35">
      <c r="B39" s="159" t="s">
        <v>314</v>
      </c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60"/>
      <c r="AM39" s="160"/>
      <c r="AN39" s="160"/>
      <c r="AO39" s="160"/>
      <c r="AP39" s="160"/>
      <c r="AQ39" s="160"/>
      <c r="AR39" s="160"/>
      <c r="AS39" s="160"/>
      <c r="AT39" s="160"/>
      <c r="AU39" s="160"/>
      <c r="AV39" s="160"/>
      <c r="AW39" s="160"/>
      <c r="AX39" s="160"/>
      <c r="AY39" s="160"/>
      <c r="AZ39" s="160"/>
      <c r="BA39" s="160"/>
      <c r="BB39" s="160"/>
      <c r="BC39" s="160"/>
      <c r="BD39" s="160"/>
      <c r="BE39" s="160"/>
      <c r="BF39" s="160"/>
      <c r="BG39" s="160"/>
      <c r="BH39" s="160"/>
      <c r="BI39" s="160"/>
      <c r="BJ39" s="160"/>
      <c r="BK39" s="160"/>
      <c r="BL39" s="160"/>
      <c r="BM39" s="160"/>
      <c r="BN39" s="160"/>
      <c r="BO39" s="160"/>
      <c r="BP39" s="160"/>
      <c r="BQ39" s="160"/>
      <c r="BR39" s="160"/>
      <c r="BS39" s="160"/>
      <c r="BT39" s="160"/>
    </row>
    <row r="40" spans="2:72" ht="15" customHeight="1" x14ac:dyDescent="0.35">
      <c r="B40" s="149" t="s">
        <v>315</v>
      </c>
      <c r="C40" s="147">
        <v>58452264.200000003</v>
      </c>
      <c r="D40" s="147">
        <v>58452264.200000003</v>
      </c>
      <c r="E40" s="147">
        <v>51251929</v>
      </c>
      <c r="F40" s="147">
        <v>49901268.066825747</v>
      </c>
      <c r="G40" s="147">
        <v>46253335.528173834</v>
      </c>
      <c r="H40" s="147">
        <v>46239914.401027516</v>
      </c>
      <c r="I40" s="147">
        <v>46239914.401027516</v>
      </c>
      <c r="J40" s="147">
        <v>43238920.421519525</v>
      </c>
      <c r="K40" s="147">
        <v>39678348.026469529</v>
      </c>
      <c r="L40" s="147">
        <v>37282561.035461366</v>
      </c>
      <c r="M40" s="147">
        <v>36301444.675461367</v>
      </c>
      <c r="N40" s="147">
        <v>36301444.675461367</v>
      </c>
      <c r="O40" s="147">
        <v>35769587.296003446</v>
      </c>
      <c r="P40" s="147">
        <v>35133506.181113042</v>
      </c>
      <c r="Q40" s="147">
        <v>32505330.711433042</v>
      </c>
      <c r="R40" s="147">
        <v>32458539.903538365</v>
      </c>
      <c r="S40" s="147">
        <v>32458539.903538365</v>
      </c>
      <c r="T40" s="147">
        <v>28896880.767142825</v>
      </c>
      <c r="U40" s="147">
        <v>28203972.840656158</v>
      </c>
      <c r="V40" s="147">
        <v>27797920.787736915</v>
      </c>
      <c r="W40" s="147">
        <v>26806721.71599438</v>
      </c>
      <c r="X40" s="147">
        <v>26806721.71599438</v>
      </c>
      <c r="Y40" s="147">
        <v>25474474.688302144</v>
      </c>
      <c r="Z40" s="147">
        <v>26486851.593264468</v>
      </c>
      <c r="AA40" s="147">
        <v>24936828.786436155</v>
      </c>
      <c r="AB40" s="147">
        <v>24799480.301249489</v>
      </c>
      <c r="AC40" s="147">
        <v>24799480.301249489</v>
      </c>
      <c r="AD40" s="147">
        <v>24506867.123002298</v>
      </c>
      <c r="AE40" s="147">
        <v>23227370</v>
      </c>
      <c r="AF40" s="147">
        <v>23092927</v>
      </c>
      <c r="AG40" s="147">
        <v>22326962</v>
      </c>
      <c r="AH40" s="147">
        <v>22326962</v>
      </c>
      <c r="AI40" s="147">
        <v>21029801</v>
      </c>
      <c r="AJ40" s="147">
        <v>21695053</v>
      </c>
      <c r="AK40" s="147">
        <v>21501897</v>
      </c>
      <c r="AL40" s="147">
        <v>20334373</v>
      </c>
      <c r="AM40" s="147">
        <v>20334373</v>
      </c>
      <c r="AN40" s="147">
        <v>19940900</v>
      </c>
      <c r="AO40" s="147">
        <v>16721513</v>
      </c>
      <c r="AP40" s="147">
        <v>16847273</v>
      </c>
      <c r="AQ40" s="147">
        <v>16222476</v>
      </c>
      <c r="AR40" s="147">
        <v>16222476</v>
      </c>
      <c r="AS40" s="147">
        <v>15569769</v>
      </c>
      <c r="AT40" s="147">
        <v>14749497</v>
      </c>
      <c r="AU40" s="147">
        <v>13242673</v>
      </c>
      <c r="AV40" s="147">
        <v>13044853.293920437</v>
      </c>
      <c r="AW40" s="147">
        <v>13044853.293920437</v>
      </c>
      <c r="AX40" s="147">
        <v>12787633.924785519</v>
      </c>
      <c r="AY40" s="147">
        <v>12799648.739663936</v>
      </c>
      <c r="AZ40" s="147">
        <v>12343695.782820664</v>
      </c>
      <c r="BA40" s="147">
        <v>11759865.425119964</v>
      </c>
      <c r="BB40" s="147">
        <v>11759865.425119964</v>
      </c>
      <c r="BC40" s="147">
        <v>11421123.381047266</v>
      </c>
      <c r="BD40" s="147">
        <v>10918758.123959549</v>
      </c>
      <c r="BE40" s="147">
        <v>11165125.522140864</v>
      </c>
      <c r="BF40" s="147">
        <v>11101527.16095488</v>
      </c>
      <c r="BG40" s="147">
        <v>11101527.16095488</v>
      </c>
      <c r="BH40" s="147">
        <v>10340009.808469482</v>
      </c>
      <c r="BI40" s="147">
        <v>9732939.1207524892</v>
      </c>
      <c r="BJ40" s="147">
        <v>9602849.4673999995</v>
      </c>
      <c r="BK40" s="147">
        <v>9633184.9480400011</v>
      </c>
      <c r="BL40" s="147">
        <v>9633184.9480400011</v>
      </c>
      <c r="BM40" s="147">
        <v>8388960.1953999996</v>
      </c>
      <c r="BN40" s="147">
        <v>8785036.4753999989</v>
      </c>
      <c r="BO40" s="147">
        <v>8647417.0464319997</v>
      </c>
      <c r="BP40" s="147">
        <v>8890232.7953600008</v>
      </c>
      <c r="BQ40" s="147">
        <v>8890232.7953600008</v>
      </c>
      <c r="BR40" s="147">
        <v>9008558.1973600015</v>
      </c>
      <c r="BS40" s="147">
        <v>9107633.63136</v>
      </c>
      <c r="BT40" s="147">
        <v>9189705.3889599983</v>
      </c>
    </row>
    <row r="41" spans="2:72" ht="15" customHeight="1" x14ac:dyDescent="0.35">
      <c r="B41" s="149" t="s">
        <v>316</v>
      </c>
      <c r="C41" s="147">
        <v>53559354.899999999</v>
      </c>
      <c r="D41" s="147">
        <v>53559354.899999999</v>
      </c>
      <c r="E41" s="147">
        <v>46208978</v>
      </c>
      <c r="F41" s="147">
        <v>44854370.463046171</v>
      </c>
      <c r="G41" s="147">
        <v>42574672.29540018</v>
      </c>
      <c r="H41" s="147">
        <v>41540060.636253856</v>
      </c>
      <c r="I41" s="147">
        <v>41540060.636253856</v>
      </c>
      <c r="J41" s="147">
        <v>39225749.06757386</v>
      </c>
      <c r="K41" s="147">
        <v>35637130.407273866</v>
      </c>
      <c r="L41" s="147">
        <v>33955742.057432048</v>
      </c>
      <c r="M41" s="147">
        <v>32914713.984534848</v>
      </c>
      <c r="N41" s="147">
        <v>32914713.984534848</v>
      </c>
      <c r="O41" s="147">
        <v>32296125.405076925</v>
      </c>
      <c r="P41" s="147">
        <v>31558918.305886526</v>
      </c>
      <c r="Q41" s="147">
        <v>29758724.154252507</v>
      </c>
      <c r="R41" s="147">
        <v>29726437.34635783</v>
      </c>
      <c r="S41" s="147">
        <v>29726437.34635783</v>
      </c>
      <c r="T41" s="147">
        <v>26281908.788162291</v>
      </c>
      <c r="U41" s="147">
        <v>25503271.775208954</v>
      </c>
      <c r="V41" s="147">
        <v>25276489.067521758</v>
      </c>
      <c r="W41" s="147">
        <v>24701365.034379229</v>
      </c>
      <c r="X41" s="147">
        <v>24701365.034379229</v>
      </c>
      <c r="Y41" s="147">
        <v>23589821.425539795</v>
      </c>
      <c r="Z41" s="147">
        <v>24454649.519102119</v>
      </c>
      <c r="AA41" s="147">
        <v>23036674.938677475</v>
      </c>
      <c r="AB41" s="147">
        <v>22965509.567990806</v>
      </c>
      <c r="AC41" s="147">
        <v>22965509.567990806</v>
      </c>
      <c r="AD41" s="147">
        <v>22559250.135382131</v>
      </c>
      <c r="AE41" s="147">
        <v>21103145</v>
      </c>
      <c r="AF41" s="147">
        <v>20926593</v>
      </c>
      <c r="AG41" s="147">
        <v>20142835</v>
      </c>
      <c r="AH41" s="147">
        <v>20142835</v>
      </c>
      <c r="AI41" s="147">
        <v>18731620</v>
      </c>
      <c r="AJ41" s="147">
        <v>19261462</v>
      </c>
      <c r="AK41" s="147">
        <v>19032426</v>
      </c>
      <c r="AL41" s="147">
        <v>17806201</v>
      </c>
      <c r="AM41" s="147">
        <v>17806201</v>
      </c>
      <c r="AN41" s="147">
        <v>17457252</v>
      </c>
      <c r="AO41" s="147">
        <v>14329272</v>
      </c>
      <c r="AP41" s="147">
        <v>13912283</v>
      </c>
      <c r="AQ41" s="147">
        <v>13803583</v>
      </c>
      <c r="AR41" s="147">
        <v>13803583</v>
      </c>
      <c r="AS41" s="147">
        <v>13084431</v>
      </c>
      <c r="AT41" s="147">
        <v>12306719</v>
      </c>
      <c r="AU41" s="147">
        <v>10970259</v>
      </c>
      <c r="AV41" s="147">
        <v>10751539.126746468</v>
      </c>
      <c r="AW41" s="147">
        <v>10751539.126746468</v>
      </c>
      <c r="AX41" s="147">
        <v>10563137.808961134</v>
      </c>
      <c r="AY41" s="147">
        <v>10637342.909151679</v>
      </c>
      <c r="AZ41" s="147">
        <v>10219501.234859999</v>
      </c>
      <c r="BA41" s="147">
        <v>9770212.4195499979</v>
      </c>
      <c r="BB41" s="147">
        <v>9770212.4195499979</v>
      </c>
      <c r="BC41" s="147">
        <v>9415408.368719995</v>
      </c>
      <c r="BD41" s="147">
        <v>9050772.8750999961</v>
      </c>
      <c r="BE41" s="147">
        <v>9332323.0674899984</v>
      </c>
      <c r="BF41" s="147">
        <v>9261044.7062999979</v>
      </c>
      <c r="BG41" s="147">
        <v>9261044.7062999979</v>
      </c>
      <c r="BH41" s="147">
        <v>8524410.5538199972</v>
      </c>
      <c r="BI41" s="147">
        <v>7952065.1846799999</v>
      </c>
      <c r="BJ41" s="147">
        <v>7820120.2560400004</v>
      </c>
      <c r="BK41" s="147">
        <v>7382311.2573999995</v>
      </c>
      <c r="BL41" s="147">
        <v>7382311.2573999995</v>
      </c>
      <c r="BM41" s="147">
        <v>6171559.3377799997</v>
      </c>
      <c r="BN41" s="147">
        <v>6548978.23807</v>
      </c>
      <c r="BO41" s="147">
        <v>6447337.974311579</v>
      </c>
      <c r="BP41" s="147">
        <v>6733605.4521548497</v>
      </c>
      <c r="BQ41" s="147">
        <v>6733605.4521548497</v>
      </c>
      <c r="BR41" s="147">
        <v>6820417.5287528476</v>
      </c>
      <c r="BS41" s="147">
        <v>6895392.5707108509</v>
      </c>
      <c r="BT41" s="147">
        <v>6934289.8000492528</v>
      </c>
    </row>
    <row r="42" spans="2:72" ht="15" customHeight="1" x14ac:dyDescent="0.35">
      <c r="B42" s="149" t="s">
        <v>317</v>
      </c>
      <c r="C42" s="147">
        <v>241470</v>
      </c>
      <c r="D42" s="147">
        <v>241470</v>
      </c>
      <c r="E42" s="147">
        <v>220267</v>
      </c>
      <c r="F42" s="147">
        <v>217749</v>
      </c>
      <c r="G42" s="147">
        <v>198296</v>
      </c>
      <c r="H42" s="147">
        <v>209504</v>
      </c>
      <c r="I42" s="147">
        <v>209504</v>
      </c>
      <c r="J42" s="147">
        <v>205534</v>
      </c>
      <c r="K42" s="147">
        <v>195189</v>
      </c>
      <c r="L42" s="147">
        <v>186181</v>
      </c>
      <c r="M42" s="147">
        <v>181519</v>
      </c>
      <c r="N42" s="147">
        <v>181519</v>
      </c>
      <c r="O42" s="147">
        <v>181036</v>
      </c>
      <c r="P42" s="147">
        <v>179670</v>
      </c>
      <c r="Q42" s="147">
        <v>169819</v>
      </c>
      <c r="R42" s="147">
        <v>170693</v>
      </c>
      <c r="S42" s="147">
        <v>170693</v>
      </c>
      <c r="T42" s="147">
        <v>158073</v>
      </c>
      <c r="U42" s="147">
        <v>156148</v>
      </c>
      <c r="V42" s="147">
        <v>156004</v>
      </c>
      <c r="W42" s="147">
        <v>151744</v>
      </c>
      <c r="X42" s="147">
        <v>151744</v>
      </c>
      <c r="Y42" s="147">
        <v>147702</v>
      </c>
      <c r="Z42" s="147">
        <v>151357.00000000003</v>
      </c>
      <c r="AA42" s="147">
        <v>144223</v>
      </c>
      <c r="AB42" s="147">
        <v>143844</v>
      </c>
      <c r="AC42" s="147">
        <v>143844</v>
      </c>
      <c r="AD42" s="147">
        <v>142379</v>
      </c>
      <c r="AE42" s="147">
        <v>136729</v>
      </c>
      <c r="AF42" s="147">
        <v>136593</v>
      </c>
      <c r="AG42" s="147">
        <v>133475</v>
      </c>
      <c r="AH42" s="147">
        <v>133475</v>
      </c>
      <c r="AI42" s="147">
        <v>124454</v>
      </c>
      <c r="AJ42" s="147">
        <v>127716</v>
      </c>
      <c r="AK42" s="147">
        <v>126255</v>
      </c>
      <c r="AL42" s="147">
        <v>117895</v>
      </c>
      <c r="AM42" s="147">
        <v>117895</v>
      </c>
      <c r="AN42" s="147">
        <v>115706</v>
      </c>
      <c r="AO42" s="147">
        <v>98513</v>
      </c>
      <c r="AP42" s="147">
        <v>100809</v>
      </c>
      <c r="AQ42" s="147">
        <v>94060</v>
      </c>
      <c r="AR42" s="147">
        <v>94060</v>
      </c>
      <c r="AS42" s="147">
        <v>90262</v>
      </c>
      <c r="AT42" s="147">
        <v>84910</v>
      </c>
      <c r="AU42" s="147">
        <v>74386</v>
      </c>
      <c r="AV42" s="147">
        <v>72810</v>
      </c>
      <c r="AW42" s="147">
        <v>72810</v>
      </c>
      <c r="AX42" s="147">
        <v>70451</v>
      </c>
      <c r="AY42" s="147">
        <v>69457</v>
      </c>
      <c r="AZ42" s="147">
        <v>67184</v>
      </c>
      <c r="BA42" s="147">
        <v>63163</v>
      </c>
      <c r="BB42" s="147">
        <v>63163</v>
      </c>
      <c r="BC42" s="147">
        <v>60487</v>
      </c>
      <c r="BD42" s="147">
        <v>57657</v>
      </c>
      <c r="BE42" s="147">
        <v>59034</v>
      </c>
      <c r="BF42" s="147">
        <v>58670</v>
      </c>
      <c r="BG42" s="147">
        <v>58670</v>
      </c>
      <c r="BH42" s="147">
        <v>52680</v>
      </c>
      <c r="BI42" s="147">
        <v>51540</v>
      </c>
      <c r="BJ42" s="147">
        <v>52115</v>
      </c>
      <c r="BK42" s="147">
        <v>60080</v>
      </c>
      <c r="BL42" s="147">
        <v>60080</v>
      </c>
      <c r="BM42" s="147">
        <v>56007</v>
      </c>
      <c r="BN42" s="147">
        <v>60702</v>
      </c>
      <c r="BO42" s="147">
        <v>63461</v>
      </c>
      <c r="BP42" s="147">
        <v>66381</v>
      </c>
      <c r="BQ42" s="147">
        <v>66381</v>
      </c>
      <c r="BR42" s="147">
        <v>66559</v>
      </c>
      <c r="BS42" s="147">
        <v>66859</v>
      </c>
      <c r="BT42" s="147">
        <v>67089</v>
      </c>
    </row>
    <row r="43" spans="2:72" ht="8.25" customHeight="1" x14ac:dyDescent="0.35">
      <c r="B43" s="149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9"/>
      <c r="P43" s="149"/>
      <c r="Q43" s="149"/>
      <c r="R43" s="147"/>
      <c r="S43" s="147"/>
      <c r="T43" s="165"/>
      <c r="U43" s="165"/>
      <c r="V43" s="165"/>
      <c r="W43" s="165"/>
      <c r="X43" s="165"/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  <c r="AK43" s="165"/>
      <c r="AL43" s="165"/>
      <c r="AM43" s="165"/>
      <c r="AN43" s="165"/>
      <c r="AO43" s="165"/>
      <c r="AP43" s="165"/>
      <c r="AQ43" s="165"/>
      <c r="AR43" s="165"/>
      <c r="AS43" s="165"/>
      <c r="AT43" s="165"/>
      <c r="AU43" s="165"/>
      <c r="AV43" s="165"/>
      <c r="AW43" s="165"/>
      <c r="AX43" s="165"/>
      <c r="AY43" s="165"/>
      <c r="AZ43" s="165"/>
      <c r="BA43" s="165"/>
      <c r="BB43" s="165"/>
      <c r="BC43" s="165"/>
      <c r="BD43" s="165"/>
      <c r="BE43" s="165"/>
      <c r="BF43" s="165"/>
      <c r="BG43" s="165"/>
      <c r="BH43" s="165"/>
      <c r="BI43" s="165"/>
      <c r="BJ43" s="165"/>
      <c r="BK43" s="165"/>
      <c r="BL43" s="165"/>
      <c r="BM43" s="165"/>
      <c r="BN43" s="165"/>
      <c r="BO43" s="165"/>
      <c r="BP43" s="165"/>
      <c r="BQ43" s="165"/>
      <c r="BR43" s="165"/>
      <c r="BS43" s="165"/>
      <c r="BT43" s="165"/>
    </row>
    <row r="44" spans="2:72" x14ac:dyDescent="0.35">
      <c r="B44" s="159" t="s">
        <v>318</v>
      </c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  <c r="AX44" s="160"/>
      <c r="AY44" s="160"/>
      <c r="AZ44" s="160"/>
      <c r="BA44" s="160"/>
      <c r="BB44" s="160"/>
      <c r="BC44" s="160"/>
      <c r="BD44" s="160"/>
      <c r="BE44" s="160"/>
      <c r="BF44" s="160"/>
      <c r="BG44" s="160"/>
      <c r="BH44" s="160"/>
      <c r="BI44" s="160"/>
      <c r="BJ44" s="160"/>
      <c r="BK44" s="160"/>
      <c r="BL44" s="160"/>
      <c r="BM44" s="160"/>
      <c r="BN44" s="160"/>
      <c r="BO44" s="160"/>
      <c r="BP44" s="160"/>
      <c r="BQ44" s="160"/>
      <c r="BR44" s="160"/>
      <c r="BS44" s="160"/>
      <c r="BT44" s="160"/>
    </row>
    <row r="45" spans="2:72" x14ac:dyDescent="0.35">
      <c r="B45" s="149" t="s">
        <v>319</v>
      </c>
      <c r="C45" s="147">
        <v>4173573.6</v>
      </c>
      <c r="D45" s="147">
        <v>1195024.2</v>
      </c>
      <c r="E45" s="147">
        <v>1075231</v>
      </c>
      <c r="F45" s="147">
        <v>1129328.6913500011</v>
      </c>
      <c r="G45" s="147">
        <v>773989.77535999962</v>
      </c>
      <c r="H45" s="147">
        <v>3363489.4884599987</v>
      </c>
      <c r="I45" s="147">
        <v>885069.65955000056</v>
      </c>
      <c r="J45" s="147">
        <v>899363.8225699981</v>
      </c>
      <c r="K45" s="147">
        <v>1028917.4222400003</v>
      </c>
      <c r="L45" s="147">
        <v>550138.58409999975</v>
      </c>
      <c r="M45" s="147">
        <v>2228637.6851700014</v>
      </c>
      <c r="N45" s="147">
        <v>539876.44847000041</v>
      </c>
      <c r="O45" s="147">
        <v>556142.80757000053</v>
      </c>
      <c r="P45" s="147">
        <v>631928.88674999995</v>
      </c>
      <c r="Q45" s="147">
        <v>500689.54238000035</v>
      </c>
      <c r="R45" s="147">
        <v>2376088.6429000022</v>
      </c>
      <c r="S45" s="147">
        <v>491082.74038000038</v>
      </c>
      <c r="T45" s="147">
        <v>647319.68171000155</v>
      </c>
      <c r="U45" s="147">
        <v>776957.53773000056</v>
      </c>
      <c r="V45" s="147">
        <v>460728.68307999993</v>
      </c>
      <c r="W45" s="147">
        <v>2045644.7426499985</v>
      </c>
      <c r="X45" s="147">
        <v>502298.87541000004</v>
      </c>
      <c r="Y45" s="147">
        <v>536881.22652999929</v>
      </c>
      <c r="Z45" s="147">
        <v>550091.13148999889</v>
      </c>
      <c r="AA45" s="147">
        <v>456373.50922000041</v>
      </c>
      <c r="AB45" s="147">
        <v>1308878.8050500001</v>
      </c>
      <c r="AC45" s="147">
        <v>426714.85083000036</v>
      </c>
      <c r="AD45" s="147">
        <v>446137.9889099999</v>
      </c>
      <c r="AE45" s="147">
        <v>436025.96530999988</v>
      </c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7"/>
      <c r="BC45" s="147"/>
      <c r="BD45" s="147"/>
      <c r="BE45" s="147"/>
      <c r="BF45" s="147"/>
      <c r="BG45" s="147"/>
      <c r="BH45" s="147"/>
      <c r="BI45" s="147"/>
      <c r="BJ45" s="147"/>
      <c r="BK45" s="147"/>
      <c r="BL45" s="147"/>
      <c r="BM45" s="147"/>
      <c r="BN45" s="147"/>
      <c r="BO45" s="147"/>
      <c r="BP45" s="147"/>
      <c r="BQ45" s="147"/>
      <c r="BR45" s="147"/>
      <c r="BS45" s="147"/>
      <c r="BT45" s="147"/>
    </row>
    <row r="46" spans="2:72" x14ac:dyDescent="0.35">
      <c r="B46" s="149" t="s">
        <v>97</v>
      </c>
      <c r="C46" s="147">
        <v>14058</v>
      </c>
      <c r="D46" s="147">
        <v>3856</v>
      </c>
      <c r="E46" s="147">
        <v>3632</v>
      </c>
      <c r="F46" s="147">
        <v>3817</v>
      </c>
      <c r="G46" s="147">
        <v>2753</v>
      </c>
      <c r="H46" s="147">
        <v>12304</v>
      </c>
      <c r="I46" s="147">
        <v>3093</v>
      </c>
      <c r="J46" s="147">
        <v>3275</v>
      </c>
      <c r="K46" s="147">
        <v>3727</v>
      </c>
      <c r="L46" s="147">
        <v>2209</v>
      </c>
      <c r="M46" s="147">
        <v>9499</v>
      </c>
      <c r="N46" s="147">
        <v>2129</v>
      </c>
      <c r="O46" s="147">
        <v>2370</v>
      </c>
      <c r="P46" s="147">
        <v>2746</v>
      </c>
      <c r="Q46" s="147">
        <v>2254</v>
      </c>
      <c r="R46" s="147">
        <v>11413</v>
      </c>
      <c r="S46" s="147">
        <v>2287</v>
      </c>
      <c r="T46" s="147">
        <v>3052</v>
      </c>
      <c r="U46" s="147">
        <v>3851</v>
      </c>
      <c r="V46" s="147">
        <v>2223</v>
      </c>
      <c r="W46" s="147">
        <v>11264</v>
      </c>
      <c r="X46" s="147">
        <v>2707</v>
      </c>
      <c r="Y46" s="147">
        <v>2985</v>
      </c>
      <c r="Z46" s="147">
        <v>2963</v>
      </c>
      <c r="AA46" s="147">
        <v>2609</v>
      </c>
      <c r="AB46" s="147">
        <v>9025</v>
      </c>
      <c r="AC46" s="147">
        <v>2305</v>
      </c>
      <c r="AD46" s="147">
        <v>2389</v>
      </c>
      <c r="AE46" s="147">
        <v>2462</v>
      </c>
      <c r="AF46" s="147">
        <v>1869</v>
      </c>
      <c r="AG46" s="147">
        <v>7973</v>
      </c>
      <c r="AH46" s="147">
        <v>2301</v>
      </c>
      <c r="AI46" s="147">
        <v>1587</v>
      </c>
      <c r="AJ46" s="147">
        <v>1991</v>
      </c>
      <c r="AK46" s="147">
        <v>2094</v>
      </c>
      <c r="AL46" s="147">
        <v>7561</v>
      </c>
      <c r="AM46" s="147">
        <v>1796</v>
      </c>
      <c r="AN46" s="147">
        <v>2092</v>
      </c>
      <c r="AO46" s="147">
        <v>2288</v>
      </c>
      <c r="AP46" s="147">
        <v>1385</v>
      </c>
      <c r="AQ46" s="147">
        <v>3330</v>
      </c>
      <c r="AR46" s="147">
        <v>1161</v>
      </c>
      <c r="AS46" s="147">
        <v>1304</v>
      </c>
      <c r="AT46" s="147">
        <v>570</v>
      </c>
      <c r="AU46" s="147">
        <v>295</v>
      </c>
      <c r="AV46" s="147">
        <v>993</v>
      </c>
      <c r="AW46" s="147">
        <v>231</v>
      </c>
      <c r="AX46" s="147">
        <v>200</v>
      </c>
      <c r="AY46" s="147">
        <v>305</v>
      </c>
      <c r="AZ46" s="147">
        <v>257</v>
      </c>
      <c r="BA46" s="147">
        <v>463</v>
      </c>
      <c r="BB46" s="147">
        <v>170</v>
      </c>
      <c r="BC46" s="147">
        <v>142</v>
      </c>
      <c r="BD46" s="147">
        <v>100</v>
      </c>
      <c r="BE46" s="147">
        <v>51</v>
      </c>
      <c r="BF46" s="147">
        <v>207</v>
      </c>
      <c r="BG46" s="147">
        <v>58</v>
      </c>
      <c r="BH46" s="147">
        <v>87</v>
      </c>
      <c r="BI46" s="147">
        <v>43</v>
      </c>
      <c r="BJ46" s="147">
        <v>19</v>
      </c>
      <c r="BK46" s="147">
        <v>130</v>
      </c>
      <c r="BL46" s="147">
        <v>36</v>
      </c>
      <c r="BM46" s="147">
        <v>41</v>
      </c>
      <c r="BN46" s="147">
        <v>23</v>
      </c>
      <c r="BO46" s="147">
        <v>30</v>
      </c>
      <c r="BP46" s="147">
        <v>132</v>
      </c>
      <c r="BQ46" s="147">
        <v>33</v>
      </c>
      <c r="BR46" s="147">
        <v>51</v>
      </c>
      <c r="BS46" s="147">
        <v>33</v>
      </c>
      <c r="BT46" s="147">
        <v>15</v>
      </c>
    </row>
    <row r="48" spans="2:72" x14ac:dyDescent="0.35">
      <c r="B48" s="153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8"/>
      <c r="AB48" s="168"/>
      <c r="AC48" s="168"/>
      <c r="AD48" s="168"/>
      <c r="AE48" s="168"/>
      <c r="AF48" s="168"/>
      <c r="AG48" s="168"/>
      <c r="AH48" s="168"/>
      <c r="AI48" s="168"/>
      <c r="AJ48" s="168"/>
      <c r="AK48" s="168"/>
      <c r="AL48" s="168"/>
      <c r="AM48" s="168"/>
      <c r="AN48" s="168"/>
      <c r="AO48" s="168"/>
      <c r="AP48" s="168"/>
    </row>
    <row r="49" spans="2:2" x14ac:dyDescent="0.35">
      <c r="B49" s="153" t="s">
        <v>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0569-0F07-4EAE-8F3B-C47F1FE11378}">
  <sheetPr>
    <tabColor rgb="FF002060"/>
  </sheetPr>
  <dimension ref="B2:J13"/>
  <sheetViews>
    <sheetView showGridLines="0" workbookViewId="0">
      <selection activeCell="F6" sqref="F6"/>
    </sheetView>
  </sheetViews>
  <sheetFormatPr defaultColWidth="8.6328125" defaultRowHeight="14.5" x14ac:dyDescent="0.35"/>
  <cols>
    <col min="1" max="1" width="2" customWidth="1"/>
    <col min="2" max="2" width="40" customWidth="1"/>
    <col min="3" max="10" width="11" customWidth="1"/>
  </cols>
  <sheetData>
    <row r="2" spans="2:10" ht="18.5" x14ac:dyDescent="0.45">
      <c r="B2" s="14"/>
    </row>
    <row r="3" spans="2:10" ht="15" customHeight="1" x14ac:dyDescent="0.35">
      <c r="B3" s="15"/>
    </row>
    <row r="4" spans="2:10" ht="15" customHeight="1" thickBot="1" x14ac:dyDescent="0.4">
      <c r="B4" s="16" t="s">
        <v>82</v>
      </c>
      <c r="C4" s="17" t="s">
        <v>83</v>
      </c>
      <c r="D4" s="17" t="s">
        <v>84</v>
      </c>
      <c r="E4" s="17" t="s">
        <v>85</v>
      </c>
      <c r="F4" s="17" t="s">
        <v>86</v>
      </c>
      <c r="G4" s="18" t="s">
        <v>5</v>
      </c>
      <c r="H4" s="18" t="s">
        <v>6</v>
      </c>
      <c r="I4" s="18" t="s">
        <v>7</v>
      </c>
      <c r="J4" s="18" t="s">
        <v>8</v>
      </c>
    </row>
    <row r="5" spans="2:10" ht="15" customHeight="1" x14ac:dyDescent="0.35">
      <c r="B5" s="19" t="s">
        <v>87</v>
      </c>
      <c r="C5" s="20">
        <v>0.13750000000000001</v>
      </c>
      <c r="D5" s="20">
        <v>0.11749999999999999</v>
      </c>
      <c r="E5" s="20">
        <v>0.1225</v>
      </c>
      <c r="F5" s="20">
        <v>0.14749999999999999</v>
      </c>
      <c r="G5" s="20">
        <v>0.13</v>
      </c>
      <c r="H5" s="20">
        <v>0.13</v>
      </c>
      <c r="I5" s="20">
        <v>0.13</v>
      </c>
      <c r="J5" s="20">
        <v>0.13</v>
      </c>
    </row>
    <row r="6" spans="2:10" ht="15" customHeight="1" x14ac:dyDescent="0.35">
      <c r="B6" s="19" t="s">
        <v>88</v>
      </c>
      <c r="C6" s="20">
        <v>0.13650000000000001</v>
      </c>
      <c r="D6" s="20">
        <v>0.11650000000000001</v>
      </c>
      <c r="E6" s="20">
        <v>0.1215</v>
      </c>
      <c r="F6" s="20">
        <v>0.14649999999999999</v>
      </c>
      <c r="G6" s="20">
        <v>0.13</v>
      </c>
      <c r="H6" s="20">
        <v>0.13</v>
      </c>
      <c r="I6" s="20">
        <v>0.13</v>
      </c>
      <c r="J6" s="20">
        <v>0.13</v>
      </c>
    </row>
    <row r="7" spans="2:10" ht="15" customHeight="1" x14ac:dyDescent="0.35">
      <c r="B7" s="19" t="s">
        <v>89</v>
      </c>
      <c r="C7" s="20">
        <v>5.79E-2</v>
      </c>
      <c r="D7" s="20">
        <v>4.6199999999999998E-2</v>
      </c>
      <c r="E7" s="20">
        <v>4.8300000000000003E-2</v>
      </c>
      <c r="F7" s="20">
        <v>4.8300000000000003E-2</v>
      </c>
      <c r="G7" s="20">
        <v>4.9000000000000002E-2</v>
      </c>
      <c r="H7" s="20">
        <v>4.9000000000000002E-2</v>
      </c>
      <c r="I7" s="20">
        <v>4.9000000000000002E-2</v>
      </c>
      <c r="J7" s="20">
        <v>4.9000000000000002E-2</v>
      </c>
    </row>
    <row r="8" spans="2:10" ht="15" customHeight="1" x14ac:dyDescent="0.35">
      <c r="B8" s="19" t="s">
        <v>90</v>
      </c>
      <c r="C8" s="20">
        <v>9.11E-2</v>
      </c>
      <c r="D8" s="20">
        <v>3.49E-2</v>
      </c>
      <c r="E8" s="20">
        <v>7.0000000000000007E-2</v>
      </c>
      <c r="F8" s="20">
        <v>7.0000000000000007E-2</v>
      </c>
      <c r="G8" s="20">
        <v>5.8999999999999997E-2</v>
      </c>
      <c r="H8" s="20">
        <v>5.8999999999999997E-2</v>
      </c>
      <c r="I8" s="20">
        <v>5.8999999999999997E-2</v>
      </c>
      <c r="J8" s="20">
        <v>5.8999999999999997E-2</v>
      </c>
    </row>
    <row r="9" spans="2:10" ht="15" customHeight="1" x14ac:dyDescent="0.35">
      <c r="B9" s="19" t="s">
        <v>91</v>
      </c>
      <c r="C9" s="20">
        <v>7.3000000000000001E-3</v>
      </c>
      <c r="D9" s="20">
        <v>1.3599999999999999E-2</v>
      </c>
      <c r="E9" s="20">
        <v>9.5999999999999992E-3</v>
      </c>
      <c r="F9" s="20">
        <v>5.0000000000000001E-3</v>
      </c>
      <c r="G9" s="20">
        <v>5.0000000000000001E-3</v>
      </c>
      <c r="H9" s="20">
        <v>5.0000000000000001E-3</v>
      </c>
      <c r="I9" s="20">
        <v>5.0000000000000001E-3</v>
      </c>
      <c r="J9" s="20">
        <v>5.0000000000000001E-3</v>
      </c>
    </row>
    <row r="10" spans="2:10" ht="15" customHeight="1" x14ac:dyDescent="0.35">
      <c r="B10" s="19" t="s">
        <v>92</v>
      </c>
      <c r="C10" s="20">
        <v>5.22</v>
      </c>
      <c r="D10" s="20">
        <v>4.84</v>
      </c>
      <c r="E10" s="20">
        <v>6.18</v>
      </c>
      <c r="F10" s="20">
        <v>5.53</v>
      </c>
      <c r="G10" s="20">
        <v>4.9000000000000004</v>
      </c>
      <c r="H10" s="20">
        <v>4.9000000000000004</v>
      </c>
      <c r="I10" s="20">
        <v>4.9000000000000004</v>
      </c>
      <c r="J10" s="20">
        <v>4.9000000000000004</v>
      </c>
    </row>
    <row r="13" spans="2:10" ht="15" customHeight="1" x14ac:dyDescent="0.35">
      <c r="B13" s="15" t="s">
        <v>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A9296-6C27-4B47-843D-E344B7965802}">
  <sheetPr>
    <tabColor rgb="FF002060"/>
  </sheetPr>
  <dimension ref="A1:AO128"/>
  <sheetViews>
    <sheetView showGridLines="0" workbookViewId="0">
      <selection activeCell="B6" sqref="B6"/>
    </sheetView>
  </sheetViews>
  <sheetFormatPr defaultColWidth="8.81640625" defaultRowHeight="14" x14ac:dyDescent="0.3"/>
  <cols>
    <col min="1" max="1" width="1.54296875" style="25" customWidth="1"/>
    <col min="2" max="2" width="37.36328125" style="25" customWidth="1"/>
    <col min="3" max="3" width="17.453125" style="25" customWidth="1"/>
    <col min="4" max="4" width="25.453125" style="25" customWidth="1"/>
    <col min="5" max="5" width="22.6328125" style="25" customWidth="1"/>
    <col min="6" max="7" width="23" style="25" customWidth="1"/>
    <col min="8" max="8" width="22.6328125" style="25" customWidth="1"/>
    <col min="9" max="12" width="20.6328125" style="25" customWidth="1"/>
    <col min="13" max="13" width="22.6328125" style="25" customWidth="1"/>
    <col min="14" max="14" width="21.26953125" style="25" customWidth="1"/>
    <col min="15" max="16" width="20.26953125" style="25" customWidth="1"/>
    <col min="17" max="19" width="18.1796875" style="25" customWidth="1"/>
    <col min="20" max="20" width="17.6328125" style="25" customWidth="1"/>
    <col min="21" max="22" width="18.1796875" style="25" customWidth="1"/>
    <col min="23" max="33" width="20.26953125" style="25" customWidth="1"/>
    <col min="34" max="39" width="18.1796875" style="25" customWidth="1"/>
    <col min="40" max="40" width="18.81640625" style="25" customWidth="1"/>
    <col min="41" max="16384" width="8.81640625" style="25"/>
  </cols>
  <sheetData>
    <row r="1" spans="1:14" s="21" customFormat="1" ht="6.75" customHeight="1" x14ac:dyDescent="0.3"/>
    <row r="2" spans="1:14" s="21" customFormat="1" ht="36" customHeight="1" x14ac:dyDescent="0.3">
      <c r="A2" s="22"/>
      <c r="C2" s="23"/>
      <c r="D2" s="24"/>
      <c r="E2" s="24"/>
      <c r="F2" s="24"/>
      <c r="H2" s="24"/>
      <c r="I2" s="24"/>
      <c r="J2" s="24"/>
      <c r="K2" s="23"/>
      <c r="L2" s="23"/>
      <c r="M2" s="24"/>
      <c r="N2" s="24"/>
    </row>
    <row r="3" spans="1:14" s="21" customFormat="1" ht="6" customHeight="1" x14ac:dyDescent="0.3">
      <c r="G3" s="24"/>
    </row>
    <row r="6" spans="1:14" s="21" customFormat="1" ht="13.5" customHeight="1" x14ac:dyDescent="0.35">
      <c r="A6" s="25"/>
      <c r="B6" s="26" t="s">
        <v>94</v>
      </c>
      <c r="C6" s="26"/>
      <c r="E6" s="27"/>
    </row>
    <row r="7" spans="1:14" ht="13.5" customHeight="1" x14ac:dyDescent="0.3"/>
    <row r="8" spans="1:14" ht="13.5" customHeight="1" x14ac:dyDescent="0.35">
      <c r="B8" s="28" t="s">
        <v>95</v>
      </c>
      <c r="C8" s="29">
        <f>C9*C10</f>
        <v>80500000</v>
      </c>
      <c r="D8" s="30"/>
      <c r="E8" s="31"/>
      <c r="F8" s="31"/>
      <c r="H8" s="25" t="s">
        <v>96</v>
      </c>
    </row>
    <row r="9" spans="1:14" ht="13.5" customHeight="1" x14ac:dyDescent="0.35">
      <c r="B9" s="28" t="s">
        <v>97</v>
      </c>
      <c r="C9" s="32">
        <v>350</v>
      </c>
      <c r="D9" s="30"/>
      <c r="E9" s="31"/>
      <c r="F9" s="31"/>
      <c r="H9" s="25" t="s">
        <v>98</v>
      </c>
    </row>
    <row r="10" spans="1:14" ht="13.5" customHeight="1" x14ac:dyDescent="0.35">
      <c r="B10" s="28" t="s">
        <v>99</v>
      </c>
      <c r="C10" s="29">
        <v>230000</v>
      </c>
      <c r="D10" s="30"/>
      <c r="E10" s="31"/>
      <c r="F10" s="31"/>
    </row>
    <row r="11" spans="1:14" ht="13.5" customHeight="1" x14ac:dyDescent="0.35">
      <c r="B11" s="25" t="s">
        <v>100</v>
      </c>
      <c r="C11" s="29">
        <f>C8-(C8*C19)</f>
        <v>77280000</v>
      </c>
      <c r="E11" s="33">
        <f>C8*C13</f>
        <v>48300000</v>
      </c>
      <c r="F11" s="31"/>
    </row>
    <row r="12" spans="1:14" ht="13.5" customHeight="1" x14ac:dyDescent="0.35">
      <c r="C12" s="34"/>
      <c r="E12" s="31"/>
      <c r="F12" s="31"/>
    </row>
    <row r="13" spans="1:14" ht="13.5" customHeight="1" x14ac:dyDescent="0.3">
      <c r="B13" s="28" t="s">
        <v>101</v>
      </c>
      <c r="C13" s="35">
        <f>C14+C17+(C16*C9/C8)</f>
        <v>0.6</v>
      </c>
      <c r="D13" s="30"/>
    </row>
    <row r="14" spans="1:14" ht="13.5" customHeight="1" x14ac:dyDescent="0.3">
      <c r="B14" s="28" t="s">
        <v>102</v>
      </c>
      <c r="C14" s="35">
        <v>0.01</v>
      </c>
      <c r="D14" s="30"/>
    </row>
    <row r="15" spans="1:14" ht="13.5" customHeight="1" x14ac:dyDescent="0.3">
      <c r="B15" s="28"/>
      <c r="C15" s="35"/>
      <c r="D15" s="30"/>
    </row>
    <row r="16" spans="1:14" ht="13.5" customHeight="1" x14ac:dyDescent="0.3">
      <c r="B16" s="28" t="s">
        <v>103</v>
      </c>
      <c r="C16" s="36">
        <v>117300</v>
      </c>
      <c r="D16" s="30"/>
    </row>
    <row r="17" spans="1:41" ht="13.5" customHeight="1" x14ac:dyDescent="0.3">
      <c r="B17" s="28" t="s">
        <v>104</v>
      </c>
      <c r="C17" s="35">
        <v>0.08</v>
      </c>
      <c r="D17" s="30"/>
    </row>
    <row r="18" spans="1:41" ht="13.5" customHeight="1" x14ac:dyDescent="0.3">
      <c r="C18" s="35"/>
    </row>
    <row r="19" spans="1:41" ht="13.5" customHeight="1" x14ac:dyDescent="0.3">
      <c r="B19" s="25" t="s">
        <v>105</v>
      </c>
      <c r="C19" s="35">
        <v>0.04</v>
      </c>
    </row>
    <row r="20" spans="1:41" ht="13.5" customHeight="1" x14ac:dyDescent="0.3">
      <c r="B20" s="28" t="s">
        <v>106</v>
      </c>
      <c r="C20" s="35">
        <v>0.03</v>
      </c>
      <c r="D20" s="30"/>
    </row>
    <row r="21" spans="1:41" ht="13.5" customHeight="1" x14ac:dyDescent="0.3">
      <c r="B21" s="28" t="s">
        <v>107</v>
      </c>
      <c r="C21" s="35">
        <v>0</v>
      </c>
      <c r="D21" s="30"/>
    </row>
    <row r="22" spans="1:41" ht="13.5" customHeight="1" x14ac:dyDescent="0.3">
      <c r="B22" s="28" t="s">
        <v>108</v>
      </c>
      <c r="C22" s="35">
        <v>0.04</v>
      </c>
      <c r="D22" s="30"/>
    </row>
    <row r="23" spans="1:41" ht="13.5" customHeight="1" x14ac:dyDescent="0.3">
      <c r="B23" s="28"/>
      <c r="C23" s="37"/>
      <c r="D23" s="30"/>
    </row>
    <row r="24" spans="1:41" s="38" customFormat="1" ht="13.5" customHeight="1" x14ac:dyDescent="0.3">
      <c r="B24" s="28" t="s">
        <v>109</v>
      </c>
      <c r="C24" s="35">
        <v>0.01</v>
      </c>
      <c r="D24" s="30"/>
      <c r="E24" s="39"/>
      <c r="H24" s="39"/>
      <c r="K24" s="39"/>
      <c r="N24" s="39"/>
      <c r="Q24" s="39"/>
      <c r="T24" s="39"/>
      <c r="W24" s="39"/>
      <c r="Z24" s="39"/>
      <c r="AC24" s="39"/>
      <c r="AF24" s="39"/>
      <c r="AI24" s="39"/>
      <c r="AL24" s="39"/>
      <c r="AO24" s="39"/>
    </row>
    <row r="25" spans="1:41" s="40" customFormat="1" ht="13.5" customHeight="1" x14ac:dyDescent="0.3"/>
    <row r="26" spans="1:41" s="38" customFormat="1" ht="13.5" customHeight="1" x14ac:dyDescent="0.3">
      <c r="B26" s="28"/>
      <c r="C26" s="41"/>
      <c r="D26" s="30"/>
      <c r="E26" s="39"/>
      <c r="H26" s="39"/>
      <c r="K26" s="39"/>
      <c r="N26" s="39"/>
      <c r="Q26" s="39"/>
      <c r="T26" s="39"/>
      <c r="W26" s="39"/>
      <c r="Z26" s="39"/>
      <c r="AC26" s="39"/>
      <c r="AF26" s="39"/>
      <c r="AI26" s="39"/>
      <c r="AL26" s="39"/>
      <c r="AO26" s="39"/>
    </row>
    <row r="27" spans="1:41" s="21" customFormat="1" ht="13.5" customHeight="1" x14ac:dyDescent="0.3">
      <c r="A27" s="38"/>
      <c r="B27" s="42"/>
      <c r="C27" s="43"/>
      <c r="D27" s="44"/>
    </row>
    <row r="28" spans="1:41" s="46" customFormat="1" ht="13.5" customHeight="1" x14ac:dyDescent="0.3">
      <c r="A28" s="45" t="s">
        <v>110</v>
      </c>
      <c r="D28" s="46">
        <v>0</v>
      </c>
      <c r="E28" s="46">
        <v>1</v>
      </c>
      <c r="F28" s="46">
        <v>2</v>
      </c>
      <c r="G28" s="46">
        <v>3</v>
      </c>
      <c r="H28" s="46">
        <v>4</v>
      </c>
      <c r="I28" s="46">
        <v>5</v>
      </c>
      <c r="J28" s="46">
        <v>6</v>
      </c>
      <c r="K28" s="46">
        <v>7</v>
      </c>
      <c r="L28" s="46">
        <v>8</v>
      </c>
      <c r="M28" s="46">
        <v>9</v>
      </c>
      <c r="N28" s="46">
        <v>10</v>
      </c>
      <c r="O28" s="46">
        <v>11</v>
      </c>
      <c r="P28" s="46">
        <v>12</v>
      </c>
      <c r="Q28" s="46">
        <v>13</v>
      </c>
      <c r="R28" s="46">
        <v>14</v>
      </c>
      <c r="S28" s="46">
        <v>15</v>
      </c>
      <c r="T28" s="46">
        <v>16</v>
      </c>
      <c r="U28" s="46">
        <v>17</v>
      </c>
      <c r="V28" s="46">
        <v>18</v>
      </c>
      <c r="W28" s="46">
        <v>19</v>
      </c>
      <c r="X28" s="46">
        <v>20</v>
      </c>
      <c r="Y28" s="46">
        <v>21</v>
      </c>
      <c r="Z28" s="46">
        <v>22</v>
      </c>
      <c r="AA28" s="46">
        <v>23</v>
      </c>
      <c r="AB28" s="46">
        <v>24</v>
      </c>
      <c r="AC28" s="46">
        <v>25</v>
      </c>
      <c r="AD28" s="46">
        <v>26</v>
      </c>
      <c r="AE28" s="46">
        <v>27</v>
      </c>
      <c r="AF28" s="46">
        <v>28</v>
      </c>
      <c r="AG28" s="46">
        <f t="shared" ref="AG28:AN28" si="0">AF28+1</f>
        <v>29</v>
      </c>
      <c r="AH28" s="46">
        <f t="shared" si="0"/>
        <v>30</v>
      </c>
      <c r="AI28" s="46">
        <f t="shared" si="0"/>
        <v>31</v>
      </c>
      <c r="AJ28" s="46">
        <f t="shared" si="0"/>
        <v>32</v>
      </c>
      <c r="AK28" s="46">
        <f t="shared" si="0"/>
        <v>33</v>
      </c>
      <c r="AL28" s="46">
        <f t="shared" si="0"/>
        <v>34</v>
      </c>
      <c r="AM28" s="46">
        <f t="shared" si="0"/>
        <v>35</v>
      </c>
      <c r="AN28" s="46">
        <f t="shared" si="0"/>
        <v>36</v>
      </c>
    </row>
    <row r="29" spans="1:41" ht="13.5" customHeight="1" x14ac:dyDescent="0.3">
      <c r="D29" s="30"/>
    </row>
    <row r="30" spans="1:41" s="47" customFormat="1" ht="13.5" customHeight="1" x14ac:dyDescent="0.3">
      <c r="B30" s="48" t="s">
        <v>111</v>
      </c>
      <c r="C30" s="49"/>
      <c r="D30" s="35">
        <v>0</v>
      </c>
      <c r="E30" s="35">
        <v>0.13</v>
      </c>
      <c r="F30" s="35">
        <v>0.1</v>
      </c>
      <c r="G30" s="35">
        <v>0.08</v>
      </c>
      <c r="H30" s="35">
        <v>0.05</v>
      </c>
      <c r="I30" s="35">
        <v>0.05</v>
      </c>
      <c r="J30" s="35">
        <v>0.05</v>
      </c>
      <c r="K30" s="35">
        <v>0.04</v>
      </c>
      <c r="L30" s="35">
        <v>0.04</v>
      </c>
      <c r="M30" s="35">
        <v>0.04</v>
      </c>
      <c r="N30" s="35">
        <v>0.04</v>
      </c>
      <c r="O30" s="35">
        <v>0.03</v>
      </c>
      <c r="P30" s="35">
        <v>0.03</v>
      </c>
      <c r="Q30" s="35">
        <v>0.03</v>
      </c>
      <c r="R30" s="35">
        <v>0.03</v>
      </c>
      <c r="S30" s="35">
        <v>0.03</v>
      </c>
      <c r="T30" s="35">
        <v>0.03</v>
      </c>
      <c r="U30" s="35">
        <v>0.02</v>
      </c>
      <c r="V30" s="35">
        <v>0.02</v>
      </c>
      <c r="W30" s="35">
        <v>0.02</v>
      </c>
      <c r="X30" s="35">
        <v>0.02</v>
      </c>
      <c r="Y30" s="35">
        <v>0.02</v>
      </c>
      <c r="Z30" s="35">
        <v>0.02</v>
      </c>
      <c r="AA30" s="35">
        <v>0.02</v>
      </c>
      <c r="AB30" s="35">
        <v>0.02</v>
      </c>
      <c r="AC30" s="35">
        <v>0.01</v>
      </c>
      <c r="AD30" s="35">
        <v>0.01</v>
      </c>
      <c r="AE30" s="35">
        <v>0.01</v>
      </c>
      <c r="AF30" s="35">
        <v>0.01</v>
      </c>
      <c r="AG30" s="35">
        <v>0</v>
      </c>
      <c r="AH30" s="35">
        <v>0</v>
      </c>
      <c r="AI30" s="35">
        <v>0</v>
      </c>
      <c r="AJ30" s="35">
        <v>0</v>
      </c>
      <c r="AK30" s="35">
        <v>0</v>
      </c>
      <c r="AL30" s="35">
        <v>0</v>
      </c>
      <c r="AM30" s="35">
        <v>0</v>
      </c>
      <c r="AN30" s="35">
        <v>0</v>
      </c>
    </row>
    <row r="31" spans="1:41" s="47" customFormat="1" ht="13.5" customHeight="1" x14ac:dyDescent="0.3">
      <c r="B31" s="48"/>
      <c r="C31" s="49"/>
      <c r="D31" s="50"/>
      <c r="E31" s="50"/>
      <c r="F31" s="4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</row>
    <row r="32" spans="1:41" s="51" customFormat="1" ht="13.5" customHeight="1" x14ac:dyDescent="0.3">
      <c r="B32" s="52" t="s">
        <v>112</v>
      </c>
      <c r="C32" s="53"/>
      <c r="D32" s="52">
        <f>D30</f>
        <v>0</v>
      </c>
      <c r="E32" s="52">
        <f t="shared" ref="E32:AN32" si="1">E30+D32</f>
        <v>0.13</v>
      </c>
      <c r="F32" s="52">
        <f t="shared" si="1"/>
        <v>0.23</v>
      </c>
      <c r="G32" s="52">
        <f t="shared" si="1"/>
        <v>0.31</v>
      </c>
      <c r="H32" s="52">
        <f t="shared" si="1"/>
        <v>0.36</v>
      </c>
      <c r="I32" s="52">
        <f t="shared" si="1"/>
        <v>0.41</v>
      </c>
      <c r="J32" s="52">
        <f t="shared" si="1"/>
        <v>0.45999999999999996</v>
      </c>
      <c r="K32" s="52">
        <f t="shared" si="1"/>
        <v>0.49999999999999994</v>
      </c>
      <c r="L32" s="52">
        <f t="shared" si="1"/>
        <v>0.53999999999999992</v>
      </c>
      <c r="M32" s="52">
        <f t="shared" si="1"/>
        <v>0.57999999999999996</v>
      </c>
      <c r="N32" s="52">
        <f t="shared" si="1"/>
        <v>0.62</v>
      </c>
      <c r="O32" s="52">
        <f t="shared" si="1"/>
        <v>0.65</v>
      </c>
      <c r="P32" s="52">
        <f t="shared" si="1"/>
        <v>0.68</v>
      </c>
      <c r="Q32" s="52">
        <f t="shared" si="1"/>
        <v>0.71000000000000008</v>
      </c>
      <c r="R32" s="52">
        <f t="shared" si="1"/>
        <v>0.7400000000000001</v>
      </c>
      <c r="S32" s="52">
        <f t="shared" si="1"/>
        <v>0.77000000000000013</v>
      </c>
      <c r="T32" s="52">
        <f t="shared" si="1"/>
        <v>0.80000000000000016</v>
      </c>
      <c r="U32" s="52">
        <f t="shared" si="1"/>
        <v>0.82000000000000017</v>
      </c>
      <c r="V32" s="52">
        <f t="shared" si="1"/>
        <v>0.84000000000000019</v>
      </c>
      <c r="W32" s="52">
        <f t="shared" si="1"/>
        <v>0.86000000000000021</v>
      </c>
      <c r="X32" s="52">
        <f t="shared" si="1"/>
        <v>0.88000000000000023</v>
      </c>
      <c r="Y32" s="52">
        <f t="shared" si="1"/>
        <v>0.90000000000000024</v>
      </c>
      <c r="Z32" s="52">
        <f t="shared" si="1"/>
        <v>0.92000000000000026</v>
      </c>
      <c r="AA32" s="52">
        <f t="shared" si="1"/>
        <v>0.94000000000000028</v>
      </c>
      <c r="AB32" s="52">
        <f t="shared" si="1"/>
        <v>0.9600000000000003</v>
      </c>
      <c r="AC32" s="52">
        <f t="shared" si="1"/>
        <v>0.97000000000000031</v>
      </c>
      <c r="AD32" s="52">
        <f t="shared" si="1"/>
        <v>0.98000000000000032</v>
      </c>
      <c r="AE32" s="52">
        <f t="shared" si="1"/>
        <v>0.99000000000000032</v>
      </c>
      <c r="AF32" s="52">
        <f t="shared" si="1"/>
        <v>1.0000000000000002</v>
      </c>
      <c r="AG32" s="52">
        <f t="shared" si="1"/>
        <v>1.0000000000000002</v>
      </c>
      <c r="AH32" s="52">
        <f t="shared" si="1"/>
        <v>1.0000000000000002</v>
      </c>
      <c r="AI32" s="52">
        <f t="shared" si="1"/>
        <v>1.0000000000000002</v>
      </c>
      <c r="AJ32" s="52">
        <f t="shared" si="1"/>
        <v>1.0000000000000002</v>
      </c>
      <c r="AK32" s="52">
        <f t="shared" si="1"/>
        <v>1.0000000000000002</v>
      </c>
      <c r="AL32" s="52">
        <f t="shared" si="1"/>
        <v>1.0000000000000002</v>
      </c>
      <c r="AM32" s="52">
        <f t="shared" si="1"/>
        <v>1.0000000000000002</v>
      </c>
      <c r="AN32" s="52">
        <f t="shared" si="1"/>
        <v>1.0000000000000002</v>
      </c>
    </row>
    <row r="33" spans="1:40" s="54" customFormat="1" ht="13.5" customHeight="1" x14ac:dyDescent="0.3">
      <c r="B33" s="55" t="s">
        <v>113</v>
      </c>
      <c r="C33" s="56"/>
      <c r="D33" s="55">
        <f t="shared" ref="D33:AN33" si="2">$C$9*D30</f>
        <v>0</v>
      </c>
      <c r="E33" s="55">
        <f t="shared" si="2"/>
        <v>45.5</v>
      </c>
      <c r="F33" s="55">
        <f t="shared" si="2"/>
        <v>35</v>
      </c>
      <c r="G33" s="55">
        <f t="shared" si="2"/>
        <v>28</v>
      </c>
      <c r="H33" s="55">
        <f t="shared" si="2"/>
        <v>17.5</v>
      </c>
      <c r="I33" s="55">
        <f t="shared" si="2"/>
        <v>17.5</v>
      </c>
      <c r="J33" s="55">
        <f t="shared" si="2"/>
        <v>17.5</v>
      </c>
      <c r="K33" s="55">
        <f t="shared" si="2"/>
        <v>14</v>
      </c>
      <c r="L33" s="55">
        <f t="shared" si="2"/>
        <v>14</v>
      </c>
      <c r="M33" s="55">
        <f t="shared" si="2"/>
        <v>14</v>
      </c>
      <c r="N33" s="55">
        <f t="shared" si="2"/>
        <v>14</v>
      </c>
      <c r="O33" s="55">
        <f t="shared" si="2"/>
        <v>10.5</v>
      </c>
      <c r="P33" s="55">
        <f t="shared" si="2"/>
        <v>10.5</v>
      </c>
      <c r="Q33" s="55">
        <f t="shared" si="2"/>
        <v>10.5</v>
      </c>
      <c r="R33" s="55">
        <f t="shared" si="2"/>
        <v>10.5</v>
      </c>
      <c r="S33" s="55">
        <f t="shared" si="2"/>
        <v>10.5</v>
      </c>
      <c r="T33" s="55">
        <f t="shared" si="2"/>
        <v>10.5</v>
      </c>
      <c r="U33" s="55">
        <f t="shared" si="2"/>
        <v>7</v>
      </c>
      <c r="V33" s="55">
        <f t="shared" si="2"/>
        <v>7</v>
      </c>
      <c r="W33" s="55">
        <f t="shared" si="2"/>
        <v>7</v>
      </c>
      <c r="X33" s="55">
        <f t="shared" si="2"/>
        <v>7</v>
      </c>
      <c r="Y33" s="55">
        <f t="shared" si="2"/>
        <v>7</v>
      </c>
      <c r="Z33" s="55">
        <f t="shared" si="2"/>
        <v>7</v>
      </c>
      <c r="AA33" s="55">
        <f t="shared" si="2"/>
        <v>7</v>
      </c>
      <c r="AB33" s="55">
        <f t="shared" si="2"/>
        <v>7</v>
      </c>
      <c r="AC33" s="55">
        <f t="shared" si="2"/>
        <v>3.5</v>
      </c>
      <c r="AD33" s="55">
        <f t="shared" si="2"/>
        <v>3.5</v>
      </c>
      <c r="AE33" s="55">
        <f t="shared" si="2"/>
        <v>3.5</v>
      </c>
      <c r="AF33" s="55">
        <f t="shared" si="2"/>
        <v>3.5</v>
      </c>
      <c r="AG33" s="55">
        <f t="shared" si="2"/>
        <v>0</v>
      </c>
      <c r="AH33" s="55">
        <f t="shared" si="2"/>
        <v>0</v>
      </c>
      <c r="AI33" s="55">
        <f t="shared" si="2"/>
        <v>0</v>
      </c>
      <c r="AJ33" s="55">
        <f t="shared" si="2"/>
        <v>0</v>
      </c>
      <c r="AK33" s="55">
        <f t="shared" si="2"/>
        <v>0</v>
      </c>
      <c r="AL33" s="55">
        <f t="shared" si="2"/>
        <v>0</v>
      </c>
      <c r="AM33" s="55">
        <f t="shared" si="2"/>
        <v>0</v>
      </c>
      <c r="AN33" s="55">
        <f t="shared" si="2"/>
        <v>0</v>
      </c>
    </row>
    <row r="34" spans="1:40" s="54" customFormat="1" ht="13.5" customHeight="1" x14ac:dyDescent="0.3">
      <c r="B34" s="55" t="s">
        <v>114</v>
      </c>
      <c r="C34" s="56"/>
      <c r="D34" s="55">
        <f>D33</f>
        <v>0</v>
      </c>
      <c r="E34" s="55">
        <f t="shared" ref="E34:AN34" si="3">E33+D34</f>
        <v>45.5</v>
      </c>
      <c r="F34" s="55">
        <f t="shared" si="3"/>
        <v>80.5</v>
      </c>
      <c r="G34" s="55">
        <f t="shared" si="3"/>
        <v>108.5</v>
      </c>
      <c r="H34" s="55">
        <f t="shared" si="3"/>
        <v>126</v>
      </c>
      <c r="I34" s="55">
        <f t="shared" si="3"/>
        <v>143.5</v>
      </c>
      <c r="J34" s="55">
        <f t="shared" si="3"/>
        <v>161</v>
      </c>
      <c r="K34" s="55">
        <f t="shared" si="3"/>
        <v>175</v>
      </c>
      <c r="L34" s="55">
        <f t="shared" si="3"/>
        <v>189</v>
      </c>
      <c r="M34" s="55">
        <f t="shared" si="3"/>
        <v>203</v>
      </c>
      <c r="N34" s="55">
        <f t="shared" si="3"/>
        <v>217</v>
      </c>
      <c r="O34" s="55">
        <f t="shared" si="3"/>
        <v>227.5</v>
      </c>
      <c r="P34" s="55">
        <f t="shared" si="3"/>
        <v>238</v>
      </c>
      <c r="Q34" s="55">
        <f t="shared" si="3"/>
        <v>248.5</v>
      </c>
      <c r="R34" s="55">
        <f t="shared" si="3"/>
        <v>259</v>
      </c>
      <c r="S34" s="55">
        <f t="shared" si="3"/>
        <v>269.5</v>
      </c>
      <c r="T34" s="55">
        <f t="shared" si="3"/>
        <v>280</v>
      </c>
      <c r="U34" s="55">
        <f t="shared" si="3"/>
        <v>287</v>
      </c>
      <c r="V34" s="55">
        <f t="shared" si="3"/>
        <v>294</v>
      </c>
      <c r="W34" s="55">
        <f t="shared" si="3"/>
        <v>301</v>
      </c>
      <c r="X34" s="55">
        <f t="shared" si="3"/>
        <v>308</v>
      </c>
      <c r="Y34" s="55">
        <f t="shared" si="3"/>
        <v>315</v>
      </c>
      <c r="Z34" s="55">
        <f t="shared" si="3"/>
        <v>322</v>
      </c>
      <c r="AA34" s="55">
        <f t="shared" si="3"/>
        <v>329</v>
      </c>
      <c r="AB34" s="55">
        <f t="shared" si="3"/>
        <v>336</v>
      </c>
      <c r="AC34" s="55">
        <f t="shared" si="3"/>
        <v>339.5</v>
      </c>
      <c r="AD34" s="55">
        <f t="shared" si="3"/>
        <v>343</v>
      </c>
      <c r="AE34" s="55">
        <f t="shared" si="3"/>
        <v>346.5</v>
      </c>
      <c r="AF34" s="55">
        <f t="shared" si="3"/>
        <v>350</v>
      </c>
      <c r="AG34" s="55">
        <f t="shared" si="3"/>
        <v>350</v>
      </c>
      <c r="AH34" s="55">
        <f t="shared" si="3"/>
        <v>350</v>
      </c>
      <c r="AI34" s="55">
        <f t="shared" si="3"/>
        <v>350</v>
      </c>
      <c r="AJ34" s="55">
        <f t="shared" si="3"/>
        <v>350</v>
      </c>
      <c r="AK34" s="55">
        <f t="shared" si="3"/>
        <v>350</v>
      </c>
      <c r="AL34" s="55">
        <f t="shared" si="3"/>
        <v>350</v>
      </c>
      <c r="AM34" s="55">
        <f t="shared" si="3"/>
        <v>350</v>
      </c>
      <c r="AN34" s="55">
        <f t="shared" si="3"/>
        <v>350</v>
      </c>
    </row>
    <row r="35" spans="1:40" s="57" customFormat="1" ht="13.5" customHeight="1" x14ac:dyDescent="0.3">
      <c r="B35" s="57" t="s">
        <v>115</v>
      </c>
      <c r="D35" s="57">
        <f>D32*C8</f>
        <v>0</v>
      </c>
      <c r="E35" s="57">
        <f t="shared" ref="E35:AN35" si="4">E32*$C$8</f>
        <v>10465000</v>
      </c>
      <c r="F35" s="57">
        <f t="shared" si="4"/>
        <v>18515000</v>
      </c>
      <c r="G35" s="57">
        <f t="shared" si="4"/>
        <v>24955000</v>
      </c>
      <c r="H35" s="57">
        <f t="shared" si="4"/>
        <v>28980000</v>
      </c>
      <c r="I35" s="57">
        <f t="shared" si="4"/>
        <v>33004999.999999996</v>
      </c>
      <c r="J35" s="57">
        <f t="shared" si="4"/>
        <v>37030000</v>
      </c>
      <c r="K35" s="57">
        <f t="shared" si="4"/>
        <v>40249999.999999993</v>
      </c>
      <c r="L35" s="57">
        <f t="shared" si="4"/>
        <v>43469999.999999993</v>
      </c>
      <c r="M35" s="57">
        <f t="shared" si="4"/>
        <v>46690000</v>
      </c>
      <c r="N35" s="57">
        <f t="shared" si="4"/>
        <v>49910000</v>
      </c>
      <c r="O35" s="57">
        <f t="shared" si="4"/>
        <v>52325000</v>
      </c>
      <c r="P35" s="57">
        <f t="shared" si="4"/>
        <v>54740000.000000007</v>
      </c>
      <c r="Q35" s="57">
        <f t="shared" si="4"/>
        <v>57155000.000000007</v>
      </c>
      <c r="R35" s="57">
        <f t="shared" si="4"/>
        <v>59570000.000000007</v>
      </c>
      <c r="S35" s="57">
        <f t="shared" si="4"/>
        <v>61985000.000000007</v>
      </c>
      <c r="T35" s="57">
        <f t="shared" si="4"/>
        <v>64400000.000000015</v>
      </c>
      <c r="U35" s="57">
        <f t="shared" si="4"/>
        <v>66010000.000000015</v>
      </c>
      <c r="V35" s="57">
        <f t="shared" si="4"/>
        <v>67620000.000000015</v>
      </c>
      <c r="W35" s="57">
        <f t="shared" si="4"/>
        <v>69230000.000000015</v>
      </c>
      <c r="X35" s="57">
        <f t="shared" si="4"/>
        <v>70840000.000000015</v>
      </c>
      <c r="Y35" s="57">
        <f t="shared" si="4"/>
        <v>72450000.000000015</v>
      </c>
      <c r="Z35" s="57">
        <f t="shared" si="4"/>
        <v>74060000.000000015</v>
      </c>
      <c r="AA35" s="57">
        <f t="shared" si="4"/>
        <v>75670000.00000003</v>
      </c>
      <c r="AB35" s="57">
        <f t="shared" si="4"/>
        <v>77280000.00000003</v>
      </c>
      <c r="AC35" s="57">
        <f t="shared" si="4"/>
        <v>78085000.00000003</v>
      </c>
      <c r="AD35" s="57">
        <f t="shared" si="4"/>
        <v>78890000.00000003</v>
      </c>
      <c r="AE35" s="57">
        <f t="shared" si="4"/>
        <v>79695000.00000003</v>
      </c>
      <c r="AF35" s="57">
        <f t="shared" si="4"/>
        <v>80500000.000000015</v>
      </c>
      <c r="AG35" s="57">
        <f t="shared" si="4"/>
        <v>80500000.000000015</v>
      </c>
      <c r="AH35" s="57">
        <f t="shared" si="4"/>
        <v>80500000.000000015</v>
      </c>
      <c r="AI35" s="57">
        <f t="shared" si="4"/>
        <v>80500000.000000015</v>
      </c>
      <c r="AJ35" s="57">
        <f t="shared" si="4"/>
        <v>80500000.000000015</v>
      </c>
      <c r="AK35" s="57">
        <f t="shared" si="4"/>
        <v>80500000.000000015</v>
      </c>
      <c r="AL35" s="57">
        <f t="shared" si="4"/>
        <v>80500000.000000015</v>
      </c>
      <c r="AM35" s="57">
        <f t="shared" si="4"/>
        <v>80500000.000000015</v>
      </c>
      <c r="AN35" s="57">
        <f t="shared" si="4"/>
        <v>80500000.000000015</v>
      </c>
    </row>
    <row r="36" spans="1:40" ht="13.5" customHeight="1" x14ac:dyDescent="0.3"/>
    <row r="37" spans="1:40" s="47" customFormat="1" ht="13.5" customHeight="1" x14ac:dyDescent="0.3">
      <c r="B37" s="48" t="s">
        <v>116</v>
      </c>
      <c r="C37" s="49"/>
      <c r="D37" s="35">
        <v>0</v>
      </c>
      <c r="E37" s="35">
        <v>0</v>
      </c>
      <c r="F37" s="35">
        <v>0</v>
      </c>
      <c r="G37" s="35">
        <v>0</v>
      </c>
      <c r="H37" s="35">
        <v>0.02</v>
      </c>
      <c r="I37" s="35">
        <v>0.03</v>
      </c>
      <c r="J37" s="35">
        <v>0.04</v>
      </c>
      <c r="K37" s="35">
        <v>0.05</v>
      </c>
      <c r="L37" s="35">
        <v>0.06</v>
      </c>
      <c r="M37" s="35">
        <v>7.0000000000000007E-2</v>
      </c>
      <c r="N37" s="35">
        <v>0.08</v>
      </c>
      <c r="O37" s="35">
        <v>0.08</v>
      </c>
      <c r="P37" s="35">
        <v>0.09</v>
      </c>
      <c r="Q37" s="35">
        <v>0.09</v>
      </c>
      <c r="R37" s="35">
        <v>0.08</v>
      </c>
      <c r="S37" s="35">
        <v>0.08</v>
      </c>
      <c r="T37" s="35">
        <v>7.0000000000000007E-2</v>
      </c>
      <c r="U37" s="35">
        <v>0.06</v>
      </c>
      <c r="V37" s="35">
        <v>0.05</v>
      </c>
      <c r="W37" s="35">
        <v>0.03</v>
      </c>
      <c r="X37" s="35">
        <v>0.01</v>
      </c>
      <c r="Y37" s="35">
        <v>0.01</v>
      </c>
      <c r="Z37" s="35">
        <v>0</v>
      </c>
      <c r="AA37" s="35">
        <v>0</v>
      </c>
      <c r="AB37" s="35">
        <v>0</v>
      </c>
      <c r="AC37" s="35">
        <v>0</v>
      </c>
      <c r="AD37" s="35">
        <v>0</v>
      </c>
      <c r="AE37" s="35">
        <v>0</v>
      </c>
      <c r="AF37" s="35">
        <v>0</v>
      </c>
      <c r="AG37" s="35">
        <v>0</v>
      </c>
      <c r="AH37" s="35">
        <v>0</v>
      </c>
      <c r="AI37" s="35">
        <v>0</v>
      </c>
      <c r="AJ37" s="35">
        <v>0</v>
      </c>
      <c r="AK37" s="35">
        <v>0</v>
      </c>
      <c r="AL37" s="35">
        <v>0</v>
      </c>
      <c r="AM37" s="35">
        <v>0</v>
      </c>
      <c r="AN37" s="35">
        <v>0</v>
      </c>
    </row>
    <row r="38" spans="1:40" s="51" customFormat="1" ht="13.5" customHeight="1" x14ac:dyDescent="0.3">
      <c r="B38" s="52" t="s">
        <v>117</v>
      </c>
      <c r="C38" s="53"/>
      <c r="D38" s="52">
        <f>D37</f>
        <v>0</v>
      </c>
      <c r="E38" s="52">
        <f t="shared" ref="E38:AN38" si="5">E37+D38</f>
        <v>0</v>
      </c>
      <c r="F38" s="52">
        <f t="shared" si="5"/>
        <v>0</v>
      </c>
      <c r="G38" s="52">
        <f t="shared" si="5"/>
        <v>0</v>
      </c>
      <c r="H38" s="52">
        <f t="shared" si="5"/>
        <v>0.02</v>
      </c>
      <c r="I38" s="52">
        <f t="shared" si="5"/>
        <v>0.05</v>
      </c>
      <c r="J38" s="52">
        <f t="shared" si="5"/>
        <v>0.09</v>
      </c>
      <c r="K38" s="52">
        <f t="shared" si="5"/>
        <v>0.14000000000000001</v>
      </c>
      <c r="L38" s="52">
        <f t="shared" si="5"/>
        <v>0.2</v>
      </c>
      <c r="M38" s="52">
        <f t="shared" si="5"/>
        <v>0.27</v>
      </c>
      <c r="N38" s="52">
        <f t="shared" si="5"/>
        <v>0.35000000000000003</v>
      </c>
      <c r="O38" s="52">
        <f t="shared" si="5"/>
        <v>0.43000000000000005</v>
      </c>
      <c r="P38" s="52">
        <f t="shared" si="5"/>
        <v>0.52</v>
      </c>
      <c r="Q38" s="52">
        <f t="shared" si="5"/>
        <v>0.61</v>
      </c>
      <c r="R38" s="52">
        <f t="shared" si="5"/>
        <v>0.69</v>
      </c>
      <c r="S38" s="52">
        <f t="shared" si="5"/>
        <v>0.76999999999999991</v>
      </c>
      <c r="T38" s="52">
        <f t="shared" si="5"/>
        <v>0.83999999999999986</v>
      </c>
      <c r="U38" s="52">
        <f t="shared" si="5"/>
        <v>0.89999999999999991</v>
      </c>
      <c r="V38" s="52">
        <f t="shared" si="5"/>
        <v>0.95</v>
      </c>
      <c r="W38" s="52">
        <f t="shared" si="5"/>
        <v>0.98</v>
      </c>
      <c r="X38" s="52">
        <f t="shared" si="5"/>
        <v>0.99</v>
      </c>
      <c r="Y38" s="52">
        <f t="shared" si="5"/>
        <v>1</v>
      </c>
      <c r="Z38" s="52">
        <f t="shared" si="5"/>
        <v>1</v>
      </c>
      <c r="AA38" s="52">
        <f t="shared" si="5"/>
        <v>1</v>
      </c>
      <c r="AB38" s="52">
        <f t="shared" si="5"/>
        <v>1</v>
      </c>
      <c r="AC38" s="52">
        <f t="shared" si="5"/>
        <v>1</v>
      </c>
      <c r="AD38" s="52">
        <f t="shared" si="5"/>
        <v>1</v>
      </c>
      <c r="AE38" s="52">
        <f t="shared" si="5"/>
        <v>1</v>
      </c>
      <c r="AF38" s="52">
        <f t="shared" si="5"/>
        <v>1</v>
      </c>
      <c r="AG38" s="52">
        <f t="shared" si="5"/>
        <v>1</v>
      </c>
      <c r="AH38" s="52">
        <f t="shared" si="5"/>
        <v>1</v>
      </c>
      <c r="AI38" s="52">
        <f t="shared" si="5"/>
        <v>1</v>
      </c>
      <c r="AJ38" s="52">
        <f t="shared" si="5"/>
        <v>1</v>
      </c>
      <c r="AK38" s="52">
        <f t="shared" si="5"/>
        <v>1</v>
      </c>
      <c r="AL38" s="52">
        <f t="shared" si="5"/>
        <v>1</v>
      </c>
      <c r="AM38" s="52">
        <f t="shared" si="5"/>
        <v>1</v>
      </c>
      <c r="AN38" s="52">
        <f t="shared" si="5"/>
        <v>1</v>
      </c>
    </row>
    <row r="39" spans="1:40" s="58" customFormat="1" ht="13.5" hidden="1" customHeight="1" x14ac:dyDescent="0.25">
      <c r="B39" s="58" t="s">
        <v>118</v>
      </c>
      <c r="D39" s="58">
        <v>0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58">
        <v>0</v>
      </c>
      <c r="Z39" s="58">
        <v>0</v>
      </c>
      <c r="AA39" s="58">
        <v>0</v>
      </c>
      <c r="AB39" s="58">
        <v>0</v>
      </c>
      <c r="AC39" s="58">
        <v>0</v>
      </c>
      <c r="AD39" s="58">
        <v>0</v>
      </c>
      <c r="AE39" s="58">
        <v>0</v>
      </c>
      <c r="AF39" s="58">
        <v>0</v>
      </c>
      <c r="AG39" s="58">
        <v>0</v>
      </c>
      <c r="AH39" s="58">
        <v>0</v>
      </c>
      <c r="AI39" s="58">
        <v>0</v>
      </c>
      <c r="AJ39" s="58">
        <v>0</v>
      </c>
      <c r="AK39" s="58">
        <v>0</v>
      </c>
      <c r="AL39" s="58">
        <v>0</v>
      </c>
      <c r="AM39" s="58">
        <v>0</v>
      </c>
      <c r="AN39" s="58">
        <v>0</v>
      </c>
    </row>
    <row r="40" spans="1:40" s="57" customFormat="1" ht="13.5" customHeight="1" x14ac:dyDescent="0.3">
      <c r="B40" s="57" t="s">
        <v>119</v>
      </c>
      <c r="D40" s="57">
        <f>C14*C8</f>
        <v>805000</v>
      </c>
      <c r="E40" s="57">
        <f t="shared" ref="E40:AN40" si="6">$C$17*$C$8*E30</f>
        <v>837200</v>
      </c>
      <c r="F40" s="57">
        <f t="shared" si="6"/>
        <v>644000</v>
      </c>
      <c r="G40" s="57">
        <f t="shared" si="6"/>
        <v>515200</v>
      </c>
      <c r="H40" s="57">
        <f t="shared" si="6"/>
        <v>322000</v>
      </c>
      <c r="I40" s="57">
        <f t="shared" si="6"/>
        <v>322000</v>
      </c>
      <c r="J40" s="57">
        <f t="shared" si="6"/>
        <v>322000</v>
      </c>
      <c r="K40" s="57">
        <f t="shared" si="6"/>
        <v>257600</v>
      </c>
      <c r="L40" s="57">
        <f t="shared" si="6"/>
        <v>257600</v>
      </c>
      <c r="M40" s="57">
        <f t="shared" si="6"/>
        <v>257600</v>
      </c>
      <c r="N40" s="57">
        <f t="shared" si="6"/>
        <v>257600</v>
      </c>
      <c r="O40" s="57">
        <f t="shared" si="6"/>
        <v>193200</v>
      </c>
      <c r="P40" s="57">
        <f t="shared" si="6"/>
        <v>193200</v>
      </c>
      <c r="Q40" s="57">
        <f t="shared" si="6"/>
        <v>193200</v>
      </c>
      <c r="R40" s="57">
        <f t="shared" si="6"/>
        <v>193200</v>
      </c>
      <c r="S40" s="57">
        <f t="shared" si="6"/>
        <v>193200</v>
      </c>
      <c r="T40" s="57">
        <f t="shared" si="6"/>
        <v>193200</v>
      </c>
      <c r="U40" s="57">
        <f t="shared" si="6"/>
        <v>128800</v>
      </c>
      <c r="V40" s="57">
        <f t="shared" si="6"/>
        <v>128800</v>
      </c>
      <c r="W40" s="57">
        <f t="shared" si="6"/>
        <v>128800</v>
      </c>
      <c r="X40" s="57">
        <f t="shared" si="6"/>
        <v>128800</v>
      </c>
      <c r="Y40" s="57">
        <f t="shared" si="6"/>
        <v>128800</v>
      </c>
      <c r="Z40" s="57">
        <f t="shared" si="6"/>
        <v>128800</v>
      </c>
      <c r="AA40" s="57">
        <f t="shared" si="6"/>
        <v>128800</v>
      </c>
      <c r="AB40" s="57">
        <f t="shared" si="6"/>
        <v>128800</v>
      </c>
      <c r="AC40" s="57">
        <f t="shared" si="6"/>
        <v>64400</v>
      </c>
      <c r="AD40" s="57">
        <f t="shared" si="6"/>
        <v>64400</v>
      </c>
      <c r="AE40" s="57">
        <f t="shared" si="6"/>
        <v>64400</v>
      </c>
      <c r="AF40" s="57">
        <f t="shared" si="6"/>
        <v>64400</v>
      </c>
      <c r="AG40" s="57">
        <f t="shared" si="6"/>
        <v>0</v>
      </c>
      <c r="AH40" s="57">
        <f t="shared" si="6"/>
        <v>0</v>
      </c>
      <c r="AI40" s="57">
        <f t="shared" si="6"/>
        <v>0</v>
      </c>
      <c r="AJ40" s="57">
        <f t="shared" si="6"/>
        <v>0</v>
      </c>
      <c r="AK40" s="57">
        <f t="shared" si="6"/>
        <v>0</v>
      </c>
      <c r="AL40" s="57">
        <f t="shared" si="6"/>
        <v>0</v>
      </c>
      <c r="AM40" s="57">
        <f t="shared" si="6"/>
        <v>0</v>
      </c>
      <c r="AN40" s="57">
        <f t="shared" si="6"/>
        <v>0</v>
      </c>
    </row>
    <row r="41" spans="1:40" s="57" customFormat="1" ht="13.5" customHeight="1" x14ac:dyDescent="0.3">
      <c r="A41" s="58"/>
      <c r="B41" s="59" t="s">
        <v>120</v>
      </c>
      <c r="C41" s="58"/>
      <c r="D41" s="57">
        <f t="shared" ref="D41:AN41" si="7">D40+(D39*$C$8)+(D37*$C$16*$C$9)</f>
        <v>805000</v>
      </c>
      <c r="E41" s="57">
        <f t="shared" si="7"/>
        <v>837200</v>
      </c>
      <c r="F41" s="57">
        <f t="shared" si="7"/>
        <v>644000</v>
      </c>
      <c r="G41" s="57">
        <f t="shared" si="7"/>
        <v>515200</v>
      </c>
      <c r="H41" s="57">
        <f t="shared" si="7"/>
        <v>1143100</v>
      </c>
      <c r="I41" s="57">
        <f t="shared" si="7"/>
        <v>1553650</v>
      </c>
      <c r="J41" s="57">
        <f t="shared" si="7"/>
        <v>1964200</v>
      </c>
      <c r="K41" s="57">
        <f t="shared" si="7"/>
        <v>2310350</v>
      </c>
      <c r="L41" s="57">
        <f t="shared" si="7"/>
        <v>2720900</v>
      </c>
      <c r="M41" s="57">
        <f t="shared" si="7"/>
        <v>3131450</v>
      </c>
      <c r="N41" s="57">
        <f t="shared" si="7"/>
        <v>3542000</v>
      </c>
      <c r="O41" s="57">
        <f t="shared" si="7"/>
        <v>3477600</v>
      </c>
      <c r="P41" s="57">
        <f t="shared" si="7"/>
        <v>3888150</v>
      </c>
      <c r="Q41" s="57">
        <f t="shared" si="7"/>
        <v>3888150</v>
      </c>
      <c r="R41" s="57">
        <f t="shared" si="7"/>
        <v>3477600</v>
      </c>
      <c r="S41" s="57">
        <f t="shared" si="7"/>
        <v>3477600</v>
      </c>
      <c r="T41" s="57">
        <f t="shared" si="7"/>
        <v>3067050</v>
      </c>
      <c r="U41" s="57">
        <f t="shared" si="7"/>
        <v>2592100</v>
      </c>
      <c r="V41" s="57">
        <f t="shared" si="7"/>
        <v>2181550</v>
      </c>
      <c r="W41" s="57">
        <f t="shared" si="7"/>
        <v>1360450</v>
      </c>
      <c r="X41" s="57">
        <f t="shared" si="7"/>
        <v>539350</v>
      </c>
      <c r="Y41" s="57">
        <f t="shared" si="7"/>
        <v>539350</v>
      </c>
      <c r="Z41" s="57">
        <f t="shared" si="7"/>
        <v>128800</v>
      </c>
      <c r="AA41" s="57">
        <f t="shared" si="7"/>
        <v>128800</v>
      </c>
      <c r="AB41" s="57">
        <f t="shared" si="7"/>
        <v>128800</v>
      </c>
      <c r="AC41" s="57">
        <f t="shared" si="7"/>
        <v>64400</v>
      </c>
      <c r="AD41" s="57">
        <f t="shared" si="7"/>
        <v>64400</v>
      </c>
      <c r="AE41" s="57">
        <f t="shared" si="7"/>
        <v>64400</v>
      </c>
      <c r="AF41" s="57">
        <f t="shared" si="7"/>
        <v>64400</v>
      </c>
      <c r="AG41" s="57">
        <f t="shared" si="7"/>
        <v>0</v>
      </c>
      <c r="AH41" s="57">
        <f t="shared" si="7"/>
        <v>0</v>
      </c>
      <c r="AI41" s="57">
        <f t="shared" si="7"/>
        <v>0</v>
      </c>
      <c r="AJ41" s="57">
        <f t="shared" si="7"/>
        <v>0</v>
      </c>
      <c r="AK41" s="57">
        <f t="shared" si="7"/>
        <v>0</v>
      </c>
      <c r="AL41" s="57">
        <f t="shared" si="7"/>
        <v>0</v>
      </c>
      <c r="AM41" s="57">
        <f t="shared" si="7"/>
        <v>0</v>
      </c>
      <c r="AN41" s="57">
        <f t="shared" si="7"/>
        <v>0</v>
      </c>
    </row>
    <row r="42" spans="1:40" s="57" customFormat="1" ht="13.5" customHeight="1" x14ac:dyDescent="0.3">
      <c r="A42" s="58"/>
      <c r="B42" s="59" t="s">
        <v>121</v>
      </c>
      <c r="C42" s="58"/>
      <c r="D42" s="57">
        <f>D41</f>
        <v>805000</v>
      </c>
      <c r="E42" s="57">
        <f t="shared" ref="E42:AN42" si="8">E41+D42</f>
        <v>1642200</v>
      </c>
      <c r="F42" s="57">
        <f t="shared" si="8"/>
        <v>2286200</v>
      </c>
      <c r="G42" s="57">
        <f t="shared" si="8"/>
        <v>2801400</v>
      </c>
      <c r="H42" s="57">
        <f t="shared" si="8"/>
        <v>3944500</v>
      </c>
      <c r="I42" s="57">
        <f t="shared" si="8"/>
        <v>5498150</v>
      </c>
      <c r="J42" s="57">
        <f t="shared" si="8"/>
        <v>7462350</v>
      </c>
      <c r="K42" s="57">
        <f t="shared" si="8"/>
        <v>9772700</v>
      </c>
      <c r="L42" s="57">
        <f t="shared" si="8"/>
        <v>12493600</v>
      </c>
      <c r="M42" s="57">
        <f t="shared" si="8"/>
        <v>15625050</v>
      </c>
      <c r="N42" s="57">
        <f t="shared" si="8"/>
        <v>19167050</v>
      </c>
      <c r="O42" s="57">
        <f t="shared" si="8"/>
        <v>22644650</v>
      </c>
      <c r="P42" s="57">
        <f t="shared" si="8"/>
        <v>26532800</v>
      </c>
      <c r="Q42" s="57">
        <f t="shared" si="8"/>
        <v>30420950</v>
      </c>
      <c r="R42" s="57">
        <f t="shared" si="8"/>
        <v>33898550</v>
      </c>
      <c r="S42" s="57">
        <f t="shared" si="8"/>
        <v>37376150</v>
      </c>
      <c r="T42" s="57">
        <f t="shared" si="8"/>
        <v>40443200</v>
      </c>
      <c r="U42" s="57">
        <f t="shared" si="8"/>
        <v>43035300</v>
      </c>
      <c r="V42" s="57">
        <f t="shared" si="8"/>
        <v>45216850</v>
      </c>
      <c r="W42" s="57">
        <f t="shared" si="8"/>
        <v>46577300</v>
      </c>
      <c r="X42" s="57">
        <f t="shared" si="8"/>
        <v>47116650</v>
      </c>
      <c r="Y42" s="57">
        <f t="shared" si="8"/>
        <v>47656000</v>
      </c>
      <c r="Z42" s="57">
        <f t="shared" si="8"/>
        <v>47784800</v>
      </c>
      <c r="AA42" s="57">
        <f t="shared" si="8"/>
        <v>47913600</v>
      </c>
      <c r="AB42" s="57">
        <f t="shared" si="8"/>
        <v>48042400</v>
      </c>
      <c r="AC42" s="57">
        <f t="shared" si="8"/>
        <v>48106800</v>
      </c>
      <c r="AD42" s="57">
        <f t="shared" si="8"/>
        <v>48171200</v>
      </c>
      <c r="AE42" s="57">
        <f t="shared" si="8"/>
        <v>48235600</v>
      </c>
      <c r="AF42" s="57">
        <f t="shared" si="8"/>
        <v>48300000</v>
      </c>
      <c r="AG42" s="57">
        <f t="shared" si="8"/>
        <v>48300000</v>
      </c>
      <c r="AH42" s="57">
        <f t="shared" si="8"/>
        <v>48300000</v>
      </c>
      <c r="AI42" s="57">
        <f t="shared" si="8"/>
        <v>48300000</v>
      </c>
      <c r="AJ42" s="57">
        <f t="shared" si="8"/>
        <v>48300000</v>
      </c>
      <c r="AK42" s="57">
        <f t="shared" si="8"/>
        <v>48300000</v>
      </c>
      <c r="AL42" s="57">
        <f t="shared" si="8"/>
        <v>48300000</v>
      </c>
      <c r="AM42" s="57">
        <f t="shared" si="8"/>
        <v>48300000</v>
      </c>
      <c r="AN42" s="57">
        <f t="shared" si="8"/>
        <v>48300000</v>
      </c>
    </row>
    <row r="43" spans="1:40" ht="13.5" customHeight="1" x14ac:dyDescent="0.3"/>
    <row r="44" spans="1:40" s="51" customFormat="1" ht="13.5" customHeight="1" x14ac:dyDescent="0.3">
      <c r="B44" s="60" t="s">
        <v>122</v>
      </c>
      <c r="C44" s="49"/>
      <c r="D44" s="59">
        <f t="shared" ref="D44:AN44" si="9">D42/$E$11</f>
        <v>1.6666666666666666E-2</v>
      </c>
      <c r="E44" s="59">
        <f t="shared" si="9"/>
        <v>3.4000000000000002E-2</v>
      </c>
      <c r="F44" s="59">
        <f t="shared" si="9"/>
        <v>4.7333333333333331E-2</v>
      </c>
      <c r="G44" s="59">
        <f t="shared" si="9"/>
        <v>5.8000000000000003E-2</v>
      </c>
      <c r="H44" s="59">
        <f t="shared" si="9"/>
        <v>8.1666666666666665E-2</v>
      </c>
      <c r="I44" s="59">
        <f t="shared" si="9"/>
        <v>0.11383333333333333</v>
      </c>
      <c r="J44" s="59">
        <f t="shared" si="9"/>
        <v>0.1545</v>
      </c>
      <c r="K44" s="59">
        <f t="shared" si="9"/>
        <v>0.20233333333333334</v>
      </c>
      <c r="L44" s="59">
        <f t="shared" si="9"/>
        <v>0.25866666666666666</v>
      </c>
      <c r="M44" s="59">
        <f t="shared" si="9"/>
        <v>0.32350000000000001</v>
      </c>
      <c r="N44" s="59">
        <f t="shared" si="9"/>
        <v>0.39683333333333332</v>
      </c>
      <c r="O44" s="59">
        <f t="shared" si="9"/>
        <v>0.46883333333333332</v>
      </c>
      <c r="P44" s="59">
        <f t="shared" si="9"/>
        <v>0.54933333333333334</v>
      </c>
      <c r="Q44" s="59">
        <f t="shared" si="9"/>
        <v>0.62983333333333336</v>
      </c>
      <c r="R44" s="59">
        <f t="shared" si="9"/>
        <v>0.70183333333333331</v>
      </c>
      <c r="S44" s="59">
        <f t="shared" si="9"/>
        <v>0.77383333333333337</v>
      </c>
      <c r="T44" s="59">
        <f t="shared" si="9"/>
        <v>0.83733333333333337</v>
      </c>
      <c r="U44" s="59">
        <f t="shared" si="9"/>
        <v>0.89100000000000001</v>
      </c>
      <c r="V44" s="59">
        <f t="shared" si="9"/>
        <v>0.9361666666666667</v>
      </c>
      <c r="W44" s="59">
        <f t="shared" si="9"/>
        <v>0.96433333333333338</v>
      </c>
      <c r="X44" s="59">
        <f t="shared" si="9"/>
        <v>0.97550000000000003</v>
      </c>
      <c r="Y44" s="59">
        <f t="shared" si="9"/>
        <v>0.98666666666666669</v>
      </c>
      <c r="Z44" s="59">
        <f t="shared" si="9"/>
        <v>0.98933333333333329</v>
      </c>
      <c r="AA44" s="59">
        <f t="shared" si="9"/>
        <v>0.99199999999999999</v>
      </c>
      <c r="AB44" s="59">
        <f t="shared" si="9"/>
        <v>0.9946666666666667</v>
      </c>
      <c r="AC44" s="59">
        <f t="shared" si="9"/>
        <v>0.996</v>
      </c>
      <c r="AD44" s="59">
        <f t="shared" si="9"/>
        <v>0.99733333333333329</v>
      </c>
      <c r="AE44" s="59">
        <f t="shared" si="9"/>
        <v>0.9986666666666667</v>
      </c>
      <c r="AF44" s="59">
        <f t="shared" si="9"/>
        <v>1</v>
      </c>
      <c r="AG44" s="59">
        <f t="shared" si="9"/>
        <v>1</v>
      </c>
      <c r="AH44" s="59">
        <f t="shared" si="9"/>
        <v>1</v>
      </c>
      <c r="AI44" s="59">
        <f t="shared" si="9"/>
        <v>1</v>
      </c>
      <c r="AJ44" s="59">
        <f t="shared" si="9"/>
        <v>1</v>
      </c>
      <c r="AK44" s="59">
        <f t="shared" si="9"/>
        <v>1</v>
      </c>
      <c r="AL44" s="59">
        <f t="shared" si="9"/>
        <v>1</v>
      </c>
      <c r="AM44" s="59">
        <f t="shared" si="9"/>
        <v>1</v>
      </c>
      <c r="AN44" s="59">
        <f t="shared" si="9"/>
        <v>1</v>
      </c>
    </row>
    <row r="45" spans="1:40" s="51" customFormat="1" ht="13.5" customHeight="1" x14ac:dyDescent="0.3">
      <c r="B45" s="52" t="s">
        <v>123</v>
      </c>
      <c r="C45" s="53"/>
      <c r="D45" s="52">
        <f>D44</f>
        <v>1.6666666666666666E-2</v>
      </c>
      <c r="E45" s="52">
        <f t="shared" ref="E45:AN45" si="10">E44-D44</f>
        <v>1.7333333333333336E-2</v>
      </c>
      <c r="F45" s="52">
        <f t="shared" si="10"/>
        <v>1.3333333333333329E-2</v>
      </c>
      <c r="G45" s="52">
        <f t="shared" si="10"/>
        <v>1.0666666666666672E-2</v>
      </c>
      <c r="H45" s="52">
        <f t="shared" si="10"/>
        <v>2.3666666666666662E-2</v>
      </c>
      <c r="I45" s="52">
        <f t="shared" si="10"/>
        <v>3.2166666666666663E-2</v>
      </c>
      <c r="J45" s="52">
        <f t="shared" si="10"/>
        <v>4.066666666666667E-2</v>
      </c>
      <c r="K45" s="52">
        <f t="shared" si="10"/>
        <v>4.7833333333333339E-2</v>
      </c>
      <c r="L45" s="52">
        <f t="shared" si="10"/>
        <v>5.6333333333333319E-2</v>
      </c>
      <c r="M45" s="52">
        <f t="shared" si="10"/>
        <v>6.4833333333333354E-2</v>
      </c>
      <c r="N45" s="52">
        <f t="shared" si="10"/>
        <v>7.3333333333333306E-2</v>
      </c>
      <c r="O45" s="52">
        <f t="shared" si="10"/>
        <v>7.2000000000000008E-2</v>
      </c>
      <c r="P45" s="52">
        <f t="shared" si="10"/>
        <v>8.0500000000000016E-2</v>
      </c>
      <c r="Q45" s="52">
        <f t="shared" si="10"/>
        <v>8.0500000000000016E-2</v>
      </c>
      <c r="R45" s="52">
        <f t="shared" si="10"/>
        <v>7.1999999999999953E-2</v>
      </c>
      <c r="S45" s="52">
        <f t="shared" si="10"/>
        <v>7.2000000000000064E-2</v>
      </c>
      <c r="T45" s="52">
        <f t="shared" si="10"/>
        <v>6.3500000000000001E-2</v>
      </c>
      <c r="U45" s="52">
        <f t="shared" si="10"/>
        <v>5.366666666666664E-2</v>
      </c>
      <c r="V45" s="52">
        <f t="shared" si="10"/>
        <v>4.5166666666666688E-2</v>
      </c>
      <c r="W45" s="52">
        <f t="shared" si="10"/>
        <v>2.8166666666666673E-2</v>
      </c>
      <c r="X45" s="52">
        <f t="shared" si="10"/>
        <v>1.1166666666666658E-2</v>
      </c>
      <c r="Y45" s="52">
        <f t="shared" si="10"/>
        <v>1.1166666666666658E-2</v>
      </c>
      <c r="Z45" s="52">
        <f t="shared" si="10"/>
        <v>2.666666666666595E-3</v>
      </c>
      <c r="AA45" s="52">
        <f t="shared" si="10"/>
        <v>2.666666666666706E-3</v>
      </c>
      <c r="AB45" s="52">
        <f t="shared" si="10"/>
        <v>2.666666666666706E-3</v>
      </c>
      <c r="AC45" s="52">
        <f t="shared" si="10"/>
        <v>1.3333333333332975E-3</v>
      </c>
      <c r="AD45" s="52">
        <f t="shared" si="10"/>
        <v>1.3333333333332975E-3</v>
      </c>
      <c r="AE45" s="52">
        <f t="shared" si="10"/>
        <v>1.3333333333334085E-3</v>
      </c>
      <c r="AF45" s="52">
        <f t="shared" si="10"/>
        <v>1.3333333333332975E-3</v>
      </c>
      <c r="AG45" s="52">
        <f t="shared" si="10"/>
        <v>0</v>
      </c>
      <c r="AH45" s="52">
        <f t="shared" si="10"/>
        <v>0</v>
      </c>
      <c r="AI45" s="52">
        <f t="shared" si="10"/>
        <v>0</v>
      </c>
      <c r="AJ45" s="52">
        <f t="shared" si="10"/>
        <v>0</v>
      </c>
      <c r="AK45" s="52">
        <f t="shared" si="10"/>
        <v>0</v>
      </c>
      <c r="AL45" s="52">
        <f t="shared" si="10"/>
        <v>0</v>
      </c>
      <c r="AM45" s="52">
        <f t="shared" si="10"/>
        <v>0</v>
      </c>
      <c r="AN45" s="52">
        <f t="shared" si="10"/>
        <v>0</v>
      </c>
    </row>
    <row r="46" spans="1:40" s="57" customFormat="1" ht="13.5" customHeight="1" x14ac:dyDescent="0.3">
      <c r="B46" s="57" t="s">
        <v>124</v>
      </c>
      <c r="D46" s="57">
        <f t="shared" ref="D46:AN46" si="11">D44*$C$11*D32</f>
        <v>0</v>
      </c>
      <c r="E46" s="57">
        <f t="shared" si="11"/>
        <v>341577.60000000003</v>
      </c>
      <c r="F46" s="57">
        <f t="shared" si="11"/>
        <v>841321.60000000009</v>
      </c>
      <c r="G46" s="57">
        <f t="shared" si="11"/>
        <v>1389494.4</v>
      </c>
      <c r="H46" s="57">
        <f t="shared" si="11"/>
        <v>2272032</v>
      </c>
      <c r="I46" s="57">
        <f t="shared" si="11"/>
        <v>3606786.4</v>
      </c>
      <c r="J46" s="57">
        <f t="shared" si="11"/>
        <v>5492289.5999999996</v>
      </c>
      <c r="K46" s="57">
        <f t="shared" si="11"/>
        <v>7818159.9999999991</v>
      </c>
      <c r="L46" s="57">
        <f t="shared" si="11"/>
        <v>10794470.399999999</v>
      </c>
      <c r="M46" s="57">
        <f t="shared" si="11"/>
        <v>14500046.399999999</v>
      </c>
      <c r="N46" s="57">
        <f t="shared" si="11"/>
        <v>19013713.600000001</v>
      </c>
      <c r="O46" s="57">
        <f t="shared" si="11"/>
        <v>23550436</v>
      </c>
      <c r="P46" s="57">
        <f t="shared" si="11"/>
        <v>28867686.400000002</v>
      </c>
      <c r="Q46" s="57">
        <f t="shared" si="11"/>
        <v>34558199.200000003</v>
      </c>
      <c r="R46" s="57">
        <f t="shared" si="11"/>
        <v>40135883.200000003</v>
      </c>
      <c r="S46" s="57">
        <f t="shared" si="11"/>
        <v>46047416.800000004</v>
      </c>
      <c r="T46" s="57">
        <f t="shared" si="11"/>
        <v>51767296.000000007</v>
      </c>
      <c r="U46" s="57">
        <f t="shared" si="11"/>
        <v>56462313.600000009</v>
      </c>
      <c r="V46" s="57">
        <f t="shared" si="11"/>
        <v>60771446.400000013</v>
      </c>
      <c r="W46" s="57">
        <f t="shared" si="11"/>
        <v>64090364.800000012</v>
      </c>
      <c r="X46" s="57">
        <f t="shared" si="11"/>
        <v>66340243.200000018</v>
      </c>
      <c r="Y46" s="57">
        <f t="shared" si="11"/>
        <v>68624640.000000015</v>
      </c>
      <c r="Z46" s="57">
        <f t="shared" si="11"/>
        <v>70339225.600000024</v>
      </c>
      <c r="AA46" s="57">
        <f t="shared" si="11"/>
        <v>72062054.400000021</v>
      </c>
      <c r="AB46" s="57">
        <f t="shared" si="11"/>
        <v>73793126.400000021</v>
      </c>
      <c r="AC46" s="57">
        <f t="shared" si="11"/>
        <v>74661753.600000024</v>
      </c>
      <c r="AD46" s="57">
        <f t="shared" si="11"/>
        <v>75532441.600000024</v>
      </c>
      <c r="AE46" s="57">
        <f t="shared" si="11"/>
        <v>76405190.400000021</v>
      </c>
      <c r="AF46" s="57">
        <f t="shared" si="11"/>
        <v>77280000.000000015</v>
      </c>
      <c r="AG46" s="57">
        <f t="shared" si="11"/>
        <v>77280000.000000015</v>
      </c>
      <c r="AH46" s="57">
        <f t="shared" si="11"/>
        <v>77280000.000000015</v>
      </c>
      <c r="AI46" s="57">
        <f t="shared" si="11"/>
        <v>77280000.000000015</v>
      </c>
      <c r="AJ46" s="57">
        <f t="shared" si="11"/>
        <v>77280000.000000015</v>
      </c>
      <c r="AK46" s="57">
        <f t="shared" si="11"/>
        <v>77280000.000000015</v>
      </c>
      <c r="AL46" s="57">
        <f t="shared" si="11"/>
        <v>77280000.000000015</v>
      </c>
      <c r="AM46" s="57">
        <f t="shared" si="11"/>
        <v>77280000.000000015</v>
      </c>
      <c r="AN46" s="57">
        <f t="shared" si="11"/>
        <v>77280000.000000015</v>
      </c>
    </row>
    <row r="47" spans="1:40" s="57" customFormat="1" ht="13.5" customHeight="1" x14ac:dyDescent="0.3">
      <c r="B47" s="57" t="s">
        <v>125</v>
      </c>
      <c r="D47" s="57">
        <f>D46</f>
        <v>0</v>
      </c>
      <c r="E47" s="57">
        <f t="shared" ref="E47:AN47" si="12">E46-D46</f>
        <v>341577.60000000003</v>
      </c>
      <c r="F47" s="57">
        <f t="shared" si="12"/>
        <v>499744.00000000006</v>
      </c>
      <c r="G47" s="57">
        <f t="shared" si="12"/>
        <v>548172.79999999981</v>
      </c>
      <c r="H47" s="57">
        <f t="shared" si="12"/>
        <v>882537.60000000009</v>
      </c>
      <c r="I47" s="57">
        <f t="shared" si="12"/>
        <v>1334754.3999999999</v>
      </c>
      <c r="J47" s="57">
        <f t="shared" si="12"/>
        <v>1885503.1999999997</v>
      </c>
      <c r="K47" s="57">
        <f t="shared" si="12"/>
        <v>2325870.3999999994</v>
      </c>
      <c r="L47" s="57">
        <f t="shared" si="12"/>
        <v>2976310.3999999994</v>
      </c>
      <c r="M47" s="57">
        <f t="shared" si="12"/>
        <v>3705576</v>
      </c>
      <c r="N47" s="57">
        <f t="shared" si="12"/>
        <v>4513667.200000003</v>
      </c>
      <c r="O47" s="57">
        <f t="shared" si="12"/>
        <v>4536722.3999999985</v>
      </c>
      <c r="P47" s="57">
        <f t="shared" si="12"/>
        <v>5317250.4000000022</v>
      </c>
      <c r="Q47" s="57">
        <f t="shared" si="12"/>
        <v>5690512.8000000007</v>
      </c>
      <c r="R47" s="57">
        <f t="shared" si="12"/>
        <v>5577684</v>
      </c>
      <c r="S47" s="57">
        <f t="shared" si="12"/>
        <v>5911533.6000000015</v>
      </c>
      <c r="T47" s="57">
        <f t="shared" si="12"/>
        <v>5719879.200000003</v>
      </c>
      <c r="U47" s="57">
        <f t="shared" si="12"/>
        <v>4695017.6000000015</v>
      </c>
      <c r="V47" s="57">
        <f t="shared" si="12"/>
        <v>4309132.8000000045</v>
      </c>
      <c r="W47" s="57">
        <f t="shared" si="12"/>
        <v>3318918.3999999985</v>
      </c>
      <c r="X47" s="57">
        <f t="shared" si="12"/>
        <v>2249878.400000006</v>
      </c>
      <c r="Y47" s="57">
        <f t="shared" si="12"/>
        <v>2284396.799999997</v>
      </c>
      <c r="Z47" s="57">
        <f t="shared" si="12"/>
        <v>1714585.6000000089</v>
      </c>
      <c r="AA47" s="57">
        <f t="shared" si="12"/>
        <v>1722828.799999997</v>
      </c>
      <c r="AB47" s="57">
        <f t="shared" si="12"/>
        <v>1731072</v>
      </c>
      <c r="AC47" s="57">
        <f t="shared" si="12"/>
        <v>868627.20000000298</v>
      </c>
      <c r="AD47" s="57">
        <f t="shared" si="12"/>
        <v>870688</v>
      </c>
      <c r="AE47" s="57">
        <f t="shared" si="12"/>
        <v>872748.79999999702</v>
      </c>
      <c r="AF47" s="57">
        <f t="shared" si="12"/>
        <v>874809.59999999404</v>
      </c>
      <c r="AG47" s="57">
        <f t="shared" si="12"/>
        <v>0</v>
      </c>
      <c r="AH47" s="57">
        <f t="shared" si="12"/>
        <v>0</v>
      </c>
      <c r="AI47" s="57">
        <f t="shared" si="12"/>
        <v>0</v>
      </c>
      <c r="AJ47" s="57">
        <f t="shared" si="12"/>
        <v>0</v>
      </c>
      <c r="AK47" s="57">
        <f t="shared" si="12"/>
        <v>0</v>
      </c>
      <c r="AL47" s="57">
        <f t="shared" si="12"/>
        <v>0</v>
      </c>
      <c r="AM47" s="57">
        <f t="shared" si="12"/>
        <v>0</v>
      </c>
      <c r="AN47" s="57">
        <f t="shared" si="12"/>
        <v>0</v>
      </c>
    </row>
    <row r="48" spans="1:40" ht="13.5" customHeight="1" x14ac:dyDescent="0.3">
      <c r="B48" s="28"/>
      <c r="C48" s="61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</row>
    <row r="49" spans="1:40" s="63" customFormat="1" ht="13.5" customHeight="1" x14ac:dyDescent="0.3">
      <c r="A49" s="25" t="s">
        <v>110</v>
      </c>
      <c r="B49" s="62" t="s">
        <v>126</v>
      </c>
      <c r="C49" s="62"/>
    </row>
    <row r="51" spans="1:40" s="57" customFormat="1" ht="13.5" customHeight="1" x14ac:dyDescent="0.3">
      <c r="B51" s="57" t="s">
        <v>127</v>
      </c>
      <c r="D51" s="57">
        <f t="shared" ref="D51:AN51" si="13">D47</f>
        <v>0</v>
      </c>
      <c r="E51" s="57">
        <f t="shared" si="13"/>
        <v>341577.60000000003</v>
      </c>
      <c r="F51" s="57">
        <f t="shared" si="13"/>
        <v>499744.00000000006</v>
      </c>
      <c r="G51" s="57">
        <f t="shared" si="13"/>
        <v>548172.79999999981</v>
      </c>
      <c r="H51" s="57">
        <f t="shared" si="13"/>
        <v>882537.60000000009</v>
      </c>
      <c r="I51" s="57">
        <f t="shared" si="13"/>
        <v>1334754.3999999999</v>
      </c>
      <c r="J51" s="57">
        <f t="shared" si="13"/>
        <v>1885503.1999999997</v>
      </c>
      <c r="K51" s="57">
        <f t="shared" si="13"/>
        <v>2325870.3999999994</v>
      </c>
      <c r="L51" s="57">
        <f t="shared" si="13"/>
        <v>2976310.3999999994</v>
      </c>
      <c r="M51" s="57">
        <f t="shared" si="13"/>
        <v>3705576</v>
      </c>
      <c r="N51" s="57">
        <f t="shared" si="13"/>
        <v>4513667.200000003</v>
      </c>
      <c r="O51" s="57">
        <f t="shared" si="13"/>
        <v>4536722.3999999985</v>
      </c>
      <c r="P51" s="57">
        <f t="shared" si="13"/>
        <v>5317250.4000000022</v>
      </c>
      <c r="Q51" s="57">
        <f t="shared" si="13"/>
        <v>5690512.8000000007</v>
      </c>
      <c r="R51" s="57">
        <f t="shared" si="13"/>
        <v>5577684</v>
      </c>
      <c r="S51" s="57">
        <f t="shared" si="13"/>
        <v>5911533.6000000015</v>
      </c>
      <c r="T51" s="57">
        <f t="shared" si="13"/>
        <v>5719879.200000003</v>
      </c>
      <c r="U51" s="57">
        <f t="shared" si="13"/>
        <v>4695017.6000000015</v>
      </c>
      <c r="V51" s="57">
        <f t="shared" si="13"/>
        <v>4309132.8000000045</v>
      </c>
      <c r="W51" s="57">
        <f t="shared" si="13"/>
        <v>3318918.3999999985</v>
      </c>
      <c r="X51" s="57">
        <f t="shared" si="13"/>
        <v>2249878.400000006</v>
      </c>
      <c r="Y51" s="57">
        <f t="shared" si="13"/>
        <v>2284396.799999997</v>
      </c>
      <c r="Z51" s="57">
        <f t="shared" si="13"/>
        <v>1714585.6000000089</v>
      </c>
      <c r="AA51" s="57">
        <f t="shared" si="13"/>
        <v>1722828.799999997</v>
      </c>
      <c r="AB51" s="57">
        <f t="shared" si="13"/>
        <v>1731072</v>
      </c>
      <c r="AC51" s="57">
        <f t="shared" si="13"/>
        <v>868627.20000000298</v>
      </c>
      <c r="AD51" s="57">
        <f t="shared" si="13"/>
        <v>870688</v>
      </c>
      <c r="AE51" s="57">
        <f t="shared" si="13"/>
        <v>872748.79999999702</v>
      </c>
      <c r="AF51" s="57">
        <f t="shared" si="13"/>
        <v>874809.59999999404</v>
      </c>
      <c r="AG51" s="57">
        <f t="shared" si="13"/>
        <v>0</v>
      </c>
      <c r="AH51" s="57">
        <f t="shared" si="13"/>
        <v>0</v>
      </c>
      <c r="AI51" s="57">
        <f t="shared" si="13"/>
        <v>0</v>
      </c>
      <c r="AJ51" s="57">
        <f t="shared" si="13"/>
        <v>0</v>
      </c>
      <c r="AK51" s="57">
        <f t="shared" si="13"/>
        <v>0</v>
      </c>
      <c r="AL51" s="57">
        <f t="shared" si="13"/>
        <v>0</v>
      </c>
      <c r="AM51" s="57">
        <f t="shared" si="13"/>
        <v>0</v>
      </c>
      <c r="AN51" s="57">
        <f t="shared" si="13"/>
        <v>0</v>
      </c>
    </row>
    <row r="52" spans="1:40" s="57" customFormat="1" ht="13.5" customHeight="1" x14ac:dyDescent="0.3"/>
    <row r="53" spans="1:40" s="57" customFormat="1" ht="13.5" customHeight="1" x14ac:dyDescent="0.3"/>
    <row r="54" spans="1:40" s="57" customFormat="1" ht="13.5" customHeight="1" x14ac:dyDescent="0.3">
      <c r="B54" s="57" t="s">
        <v>128</v>
      </c>
      <c r="D54" s="57">
        <f t="shared" ref="D54:AN54" si="14">D45*$C$13*$C$8</f>
        <v>805000</v>
      </c>
      <c r="E54" s="57">
        <f t="shared" si="14"/>
        <v>837200.00000000012</v>
      </c>
      <c r="F54" s="57">
        <f t="shared" si="14"/>
        <v>643999.99999999977</v>
      </c>
      <c r="G54" s="57">
        <f t="shared" si="14"/>
        <v>515200.00000000023</v>
      </c>
      <c r="H54" s="57">
        <f t="shared" si="14"/>
        <v>1143099.9999999998</v>
      </c>
      <c r="I54" s="57">
        <f t="shared" si="14"/>
        <v>1553649.9999999998</v>
      </c>
      <c r="J54" s="57">
        <f t="shared" si="14"/>
        <v>1964200.0000000002</v>
      </c>
      <c r="K54" s="57">
        <f t="shared" si="14"/>
        <v>2310350.0000000005</v>
      </c>
      <c r="L54" s="57">
        <f t="shared" si="14"/>
        <v>2720899.9999999991</v>
      </c>
      <c r="M54" s="57">
        <f t="shared" si="14"/>
        <v>3131450.0000000009</v>
      </c>
      <c r="N54" s="57">
        <f t="shared" si="14"/>
        <v>3541999.9999999986</v>
      </c>
      <c r="O54" s="57">
        <f t="shared" si="14"/>
        <v>3477600</v>
      </c>
      <c r="P54" s="57">
        <f t="shared" si="14"/>
        <v>3888150.0000000009</v>
      </c>
      <c r="Q54" s="57">
        <f t="shared" si="14"/>
        <v>3888150.0000000009</v>
      </c>
      <c r="R54" s="57">
        <f t="shared" si="14"/>
        <v>3477599.9999999972</v>
      </c>
      <c r="S54" s="57">
        <f t="shared" si="14"/>
        <v>3477600.0000000028</v>
      </c>
      <c r="T54" s="57">
        <f t="shared" si="14"/>
        <v>3067050</v>
      </c>
      <c r="U54" s="57">
        <f t="shared" si="14"/>
        <v>2592099.9999999991</v>
      </c>
      <c r="V54" s="57">
        <f t="shared" si="14"/>
        <v>2181550.0000000009</v>
      </c>
      <c r="W54" s="57">
        <f t="shared" si="14"/>
        <v>1360450.0000000002</v>
      </c>
      <c r="X54" s="57">
        <f t="shared" si="14"/>
        <v>539349.99999999965</v>
      </c>
      <c r="Y54" s="57">
        <f t="shared" si="14"/>
        <v>539349.99999999965</v>
      </c>
      <c r="Z54" s="57">
        <f t="shared" si="14"/>
        <v>128799.99999999654</v>
      </c>
      <c r="AA54" s="57">
        <f t="shared" si="14"/>
        <v>128800.00000000189</v>
      </c>
      <c r="AB54" s="57">
        <f t="shared" si="14"/>
        <v>128800.00000000189</v>
      </c>
      <c r="AC54" s="57">
        <f t="shared" si="14"/>
        <v>64399.999999998268</v>
      </c>
      <c r="AD54" s="57">
        <f t="shared" si="14"/>
        <v>64399.999999998268</v>
      </c>
      <c r="AE54" s="57">
        <f t="shared" si="14"/>
        <v>64400.000000003631</v>
      </c>
      <c r="AF54" s="57">
        <f t="shared" si="14"/>
        <v>64399.999999998268</v>
      </c>
      <c r="AG54" s="57">
        <f t="shared" si="14"/>
        <v>0</v>
      </c>
      <c r="AH54" s="57">
        <f t="shared" si="14"/>
        <v>0</v>
      </c>
      <c r="AI54" s="57">
        <f t="shared" si="14"/>
        <v>0</v>
      </c>
      <c r="AJ54" s="57">
        <f t="shared" si="14"/>
        <v>0</v>
      </c>
      <c r="AK54" s="57">
        <f t="shared" si="14"/>
        <v>0</v>
      </c>
      <c r="AL54" s="57">
        <f t="shared" si="14"/>
        <v>0</v>
      </c>
      <c r="AM54" s="57">
        <f t="shared" si="14"/>
        <v>0</v>
      </c>
      <c r="AN54" s="57">
        <f t="shared" si="14"/>
        <v>0</v>
      </c>
    </row>
    <row r="55" spans="1:40" ht="13.5" customHeight="1" x14ac:dyDescent="0.3">
      <c r="B55" s="25" t="s">
        <v>129</v>
      </c>
      <c r="C55" s="64"/>
    </row>
    <row r="56" spans="1:40" s="51" customFormat="1" ht="13.5" customHeight="1" x14ac:dyDescent="0.3">
      <c r="B56" s="51" t="s">
        <v>130</v>
      </c>
      <c r="C56" s="65"/>
    </row>
    <row r="58" spans="1:40" s="57" customFormat="1" ht="13.5" customHeight="1" x14ac:dyDescent="0.3">
      <c r="B58" s="57" t="s">
        <v>131</v>
      </c>
      <c r="D58" s="57">
        <f t="shared" ref="D58:AN58" si="15">D51-D54</f>
        <v>-805000</v>
      </c>
      <c r="E58" s="57">
        <f t="shared" si="15"/>
        <v>-495622.40000000008</v>
      </c>
      <c r="F58" s="57">
        <f t="shared" si="15"/>
        <v>-144255.99999999971</v>
      </c>
      <c r="G58" s="57">
        <f t="shared" si="15"/>
        <v>32972.799999999581</v>
      </c>
      <c r="H58" s="57">
        <f t="shared" si="15"/>
        <v>-260562.39999999967</v>
      </c>
      <c r="I58" s="57">
        <f t="shared" si="15"/>
        <v>-218895.59999999986</v>
      </c>
      <c r="J58" s="57">
        <f t="shared" si="15"/>
        <v>-78696.800000000512</v>
      </c>
      <c r="K58" s="57">
        <f t="shared" si="15"/>
        <v>15520.399999998976</v>
      </c>
      <c r="L58" s="57">
        <f t="shared" si="15"/>
        <v>255410.40000000037</v>
      </c>
      <c r="M58" s="57">
        <f t="shared" si="15"/>
        <v>574125.99999999907</v>
      </c>
      <c r="N58" s="57">
        <f t="shared" si="15"/>
        <v>971667.20000000438</v>
      </c>
      <c r="O58" s="57">
        <f t="shared" si="15"/>
        <v>1059122.3999999985</v>
      </c>
      <c r="P58" s="57">
        <f t="shared" si="15"/>
        <v>1429100.4000000013</v>
      </c>
      <c r="Q58" s="57">
        <f t="shared" si="15"/>
        <v>1802362.7999999998</v>
      </c>
      <c r="R58" s="57">
        <f t="shared" si="15"/>
        <v>2100084.0000000028</v>
      </c>
      <c r="S58" s="57">
        <f t="shared" si="15"/>
        <v>2433933.5999999987</v>
      </c>
      <c r="T58" s="57">
        <f t="shared" si="15"/>
        <v>2652829.200000003</v>
      </c>
      <c r="U58" s="57">
        <f t="shared" si="15"/>
        <v>2102917.6000000024</v>
      </c>
      <c r="V58" s="57">
        <f t="shared" si="15"/>
        <v>2127582.8000000035</v>
      </c>
      <c r="W58" s="57">
        <f t="shared" si="15"/>
        <v>1958468.3999999983</v>
      </c>
      <c r="X58" s="57">
        <f t="shared" si="15"/>
        <v>1710528.4000000064</v>
      </c>
      <c r="Y58" s="57">
        <f t="shared" si="15"/>
        <v>1745046.7999999975</v>
      </c>
      <c r="Z58" s="57">
        <f t="shared" si="15"/>
        <v>1585785.6000000124</v>
      </c>
      <c r="AA58" s="57">
        <f t="shared" si="15"/>
        <v>1594028.7999999952</v>
      </c>
      <c r="AB58" s="57">
        <f t="shared" si="15"/>
        <v>1602271.9999999981</v>
      </c>
      <c r="AC58" s="57">
        <f t="shared" si="15"/>
        <v>804227.20000000473</v>
      </c>
      <c r="AD58" s="57">
        <f t="shared" si="15"/>
        <v>806288.00000000175</v>
      </c>
      <c r="AE58" s="57">
        <f t="shared" si="15"/>
        <v>808348.79999999341</v>
      </c>
      <c r="AF58" s="57">
        <f t="shared" si="15"/>
        <v>810409.59999999579</v>
      </c>
      <c r="AG58" s="57">
        <f t="shared" si="15"/>
        <v>0</v>
      </c>
      <c r="AH58" s="57">
        <f t="shared" si="15"/>
        <v>0</v>
      </c>
      <c r="AI58" s="57">
        <f t="shared" si="15"/>
        <v>0</v>
      </c>
      <c r="AJ58" s="57">
        <f t="shared" si="15"/>
        <v>0</v>
      </c>
      <c r="AK58" s="57">
        <f t="shared" si="15"/>
        <v>0</v>
      </c>
      <c r="AL58" s="57">
        <f t="shared" si="15"/>
        <v>0</v>
      </c>
      <c r="AM58" s="57">
        <f t="shared" si="15"/>
        <v>0</v>
      </c>
      <c r="AN58" s="57">
        <f t="shared" si="15"/>
        <v>0</v>
      </c>
    </row>
    <row r="59" spans="1:40" s="51" customFormat="1" ht="13.5" customHeight="1" x14ac:dyDescent="0.3">
      <c r="B59" s="51" t="s">
        <v>132</v>
      </c>
      <c r="C59" s="65"/>
      <c r="E59" s="51">
        <f t="shared" ref="E59:AK59" si="16">IFERROR(E58/E51,0)</f>
        <v>-1.4509803921568629</v>
      </c>
      <c r="F59" s="51">
        <f t="shared" si="16"/>
        <v>-0.28865979381443235</v>
      </c>
      <c r="G59" s="51">
        <f t="shared" si="16"/>
        <v>6.0150375939848878E-2</v>
      </c>
      <c r="H59" s="51">
        <f t="shared" si="16"/>
        <v>-0.29524226503210699</v>
      </c>
      <c r="I59" s="51">
        <f t="shared" si="16"/>
        <v>-0.16399691209109321</v>
      </c>
      <c r="J59" s="51">
        <f t="shared" si="16"/>
        <v>-4.1737823621832371E-2</v>
      </c>
      <c r="K59" s="51">
        <f t="shared" si="16"/>
        <v>6.6729427400593682E-3</v>
      </c>
      <c r="L59" s="51">
        <f t="shared" si="16"/>
        <v>8.5814436558767665E-2</v>
      </c>
      <c r="M59" s="51">
        <f t="shared" si="16"/>
        <v>0.15493569690649958</v>
      </c>
      <c r="N59" s="51">
        <f t="shared" si="16"/>
        <v>0.21527222919758102</v>
      </c>
      <c r="O59" s="51">
        <f t="shared" si="16"/>
        <v>0.2334554126565026</v>
      </c>
      <c r="P59" s="51">
        <f t="shared" si="16"/>
        <v>0.26876680473802789</v>
      </c>
      <c r="Q59" s="51">
        <f t="shared" si="16"/>
        <v>0.31673117403408696</v>
      </c>
      <c r="R59" s="51">
        <f t="shared" si="16"/>
        <v>0.37651541392448962</v>
      </c>
      <c r="S59" s="51">
        <f t="shared" si="16"/>
        <v>0.41172625661807927</v>
      </c>
      <c r="T59" s="51">
        <f t="shared" si="16"/>
        <v>0.46379112342092849</v>
      </c>
      <c r="U59" s="51">
        <f t="shared" si="16"/>
        <v>0.44790409305387946</v>
      </c>
      <c r="V59" s="51">
        <f t="shared" si="16"/>
        <v>0.49373804399808735</v>
      </c>
      <c r="W59" s="51">
        <f t="shared" si="16"/>
        <v>0.59009236262030396</v>
      </c>
      <c r="X59" s="51">
        <f t="shared" si="16"/>
        <v>0.76027593313487607</v>
      </c>
      <c r="Y59" s="51">
        <f t="shared" si="16"/>
        <v>0.76389828597203413</v>
      </c>
      <c r="Z59" s="51">
        <f t="shared" si="16"/>
        <v>0.92487980769231015</v>
      </c>
      <c r="AA59" s="51">
        <f t="shared" si="16"/>
        <v>0.92523923444975953</v>
      </c>
      <c r="AB59" s="51">
        <f t="shared" si="16"/>
        <v>0.92559523809523703</v>
      </c>
      <c r="AC59" s="51">
        <f t="shared" si="16"/>
        <v>0.9258600237247947</v>
      </c>
      <c r="AD59" s="51">
        <f t="shared" si="16"/>
        <v>0.92603550295858184</v>
      </c>
      <c r="AE59" s="51">
        <f t="shared" si="16"/>
        <v>0.92621015348287639</v>
      </c>
      <c r="AF59" s="51">
        <f t="shared" si="16"/>
        <v>0.92638398115430065</v>
      </c>
      <c r="AG59" s="51">
        <f t="shared" si="16"/>
        <v>0</v>
      </c>
      <c r="AH59" s="51">
        <f t="shared" si="16"/>
        <v>0</v>
      </c>
      <c r="AI59" s="51">
        <f t="shared" si="16"/>
        <v>0</v>
      </c>
      <c r="AJ59" s="51">
        <f t="shared" si="16"/>
        <v>0</v>
      </c>
      <c r="AK59" s="51">
        <f t="shared" si="16"/>
        <v>0</v>
      </c>
    </row>
    <row r="60" spans="1:40" ht="13.5" customHeight="1" x14ac:dyDescent="0.3">
      <c r="C60" s="64"/>
    </row>
    <row r="61" spans="1:40" s="57" customFormat="1" ht="13.5" customHeight="1" x14ac:dyDescent="0.3">
      <c r="B61" s="57" t="s">
        <v>133</v>
      </c>
      <c r="D61" s="57">
        <f t="shared" ref="D61:AD61" si="17">$C$20*$C$8/27</f>
        <v>89444.444444444438</v>
      </c>
      <c r="E61" s="57">
        <f t="shared" si="17"/>
        <v>89444.444444444438</v>
      </c>
      <c r="F61" s="57">
        <f t="shared" si="17"/>
        <v>89444.444444444438</v>
      </c>
      <c r="G61" s="57">
        <f t="shared" si="17"/>
        <v>89444.444444444438</v>
      </c>
      <c r="H61" s="57">
        <f t="shared" si="17"/>
        <v>89444.444444444438</v>
      </c>
      <c r="I61" s="57">
        <f t="shared" si="17"/>
        <v>89444.444444444438</v>
      </c>
      <c r="J61" s="57">
        <f t="shared" si="17"/>
        <v>89444.444444444438</v>
      </c>
      <c r="K61" s="57">
        <f t="shared" si="17"/>
        <v>89444.444444444438</v>
      </c>
      <c r="L61" s="57">
        <f t="shared" si="17"/>
        <v>89444.444444444438</v>
      </c>
      <c r="M61" s="57">
        <f t="shared" si="17"/>
        <v>89444.444444444438</v>
      </c>
      <c r="N61" s="57">
        <f t="shared" si="17"/>
        <v>89444.444444444438</v>
      </c>
      <c r="O61" s="57">
        <f t="shared" si="17"/>
        <v>89444.444444444438</v>
      </c>
      <c r="P61" s="57">
        <f t="shared" si="17"/>
        <v>89444.444444444438</v>
      </c>
      <c r="Q61" s="57">
        <f t="shared" si="17"/>
        <v>89444.444444444438</v>
      </c>
      <c r="R61" s="57">
        <f t="shared" si="17"/>
        <v>89444.444444444438</v>
      </c>
      <c r="S61" s="57">
        <f t="shared" si="17"/>
        <v>89444.444444444438</v>
      </c>
      <c r="T61" s="57">
        <f t="shared" si="17"/>
        <v>89444.444444444438</v>
      </c>
      <c r="U61" s="57">
        <f t="shared" si="17"/>
        <v>89444.444444444438</v>
      </c>
      <c r="V61" s="57">
        <f t="shared" si="17"/>
        <v>89444.444444444438</v>
      </c>
      <c r="W61" s="57">
        <f t="shared" si="17"/>
        <v>89444.444444444438</v>
      </c>
      <c r="X61" s="57">
        <f t="shared" si="17"/>
        <v>89444.444444444438</v>
      </c>
      <c r="Y61" s="57">
        <f t="shared" si="17"/>
        <v>89444.444444444438</v>
      </c>
      <c r="Z61" s="57">
        <f t="shared" si="17"/>
        <v>89444.444444444438</v>
      </c>
      <c r="AA61" s="57">
        <f t="shared" si="17"/>
        <v>89444.444444444438</v>
      </c>
      <c r="AB61" s="57">
        <f t="shared" si="17"/>
        <v>89444.444444444438</v>
      </c>
      <c r="AC61" s="57">
        <f t="shared" si="17"/>
        <v>89444.444444444438</v>
      </c>
      <c r="AD61" s="57">
        <f t="shared" si="17"/>
        <v>89444.444444444438</v>
      </c>
      <c r="AE61" s="57">
        <v>0</v>
      </c>
      <c r="AF61" s="57">
        <v>0</v>
      </c>
      <c r="AG61" s="57">
        <v>0</v>
      </c>
      <c r="AH61" s="57">
        <v>0</v>
      </c>
      <c r="AI61" s="57">
        <v>0</v>
      </c>
      <c r="AJ61" s="57">
        <v>0</v>
      </c>
      <c r="AK61" s="57">
        <v>0</v>
      </c>
      <c r="AL61" s="57">
        <v>0</v>
      </c>
      <c r="AM61" s="57">
        <v>0</v>
      </c>
      <c r="AN61" s="57">
        <v>0</v>
      </c>
    </row>
    <row r="62" spans="1:40" s="57" customFormat="1" ht="13.5" hidden="1" customHeight="1" x14ac:dyDescent="0.3">
      <c r="B62" s="57" t="s">
        <v>134</v>
      </c>
      <c r="D62" s="57">
        <f>$C$23*$C$8*0.075</f>
        <v>0</v>
      </c>
      <c r="E62" s="57">
        <f>$C$23*$C$8*0.075</f>
        <v>0</v>
      </c>
      <c r="F62" s="57">
        <f>$C$23*$C$8*0.075</f>
        <v>0</v>
      </c>
      <c r="G62" s="57">
        <f>$C$23*$C$8*0.075</f>
        <v>0</v>
      </c>
      <c r="H62" s="57">
        <f t="shared" ref="H62:S62" si="18">$C$23*$C$8*0.025</f>
        <v>0</v>
      </c>
      <c r="I62" s="57">
        <f t="shared" si="18"/>
        <v>0</v>
      </c>
      <c r="J62" s="57">
        <f t="shared" si="18"/>
        <v>0</v>
      </c>
      <c r="K62" s="57">
        <f t="shared" si="18"/>
        <v>0</v>
      </c>
      <c r="L62" s="57">
        <f t="shared" si="18"/>
        <v>0</v>
      </c>
      <c r="M62" s="57">
        <f t="shared" si="18"/>
        <v>0</v>
      </c>
      <c r="N62" s="57">
        <f t="shared" si="18"/>
        <v>0</v>
      </c>
      <c r="O62" s="57">
        <f t="shared" si="18"/>
        <v>0</v>
      </c>
      <c r="P62" s="57">
        <f t="shared" si="18"/>
        <v>0</v>
      </c>
      <c r="Q62" s="57">
        <f t="shared" si="18"/>
        <v>0</v>
      </c>
      <c r="R62" s="57">
        <f t="shared" si="18"/>
        <v>0</v>
      </c>
      <c r="S62" s="57">
        <f t="shared" si="18"/>
        <v>0</v>
      </c>
      <c r="T62" s="57">
        <f t="shared" ref="T62:Y62" si="19">$C$23*$C$8*0.0666666666666667</f>
        <v>0</v>
      </c>
      <c r="U62" s="57">
        <f t="shared" si="19"/>
        <v>0</v>
      </c>
      <c r="V62" s="57">
        <f t="shared" si="19"/>
        <v>0</v>
      </c>
      <c r="W62" s="57">
        <f t="shared" si="19"/>
        <v>0</v>
      </c>
      <c r="X62" s="57">
        <f t="shared" si="19"/>
        <v>0</v>
      </c>
      <c r="Y62" s="57">
        <f t="shared" si="19"/>
        <v>0</v>
      </c>
      <c r="Z62" s="57">
        <v>0</v>
      </c>
      <c r="AA62" s="57">
        <v>0</v>
      </c>
      <c r="AB62" s="57">
        <v>0</v>
      </c>
      <c r="AC62" s="57">
        <v>0</v>
      </c>
      <c r="AD62" s="57">
        <v>0</v>
      </c>
      <c r="AE62" s="57">
        <v>0</v>
      </c>
      <c r="AF62" s="57">
        <v>0</v>
      </c>
      <c r="AG62" s="57">
        <v>0</v>
      </c>
      <c r="AH62" s="57">
        <v>0</v>
      </c>
      <c r="AI62" s="57">
        <v>0</v>
      </c>
      <c r="AJ62" s="57">
        <v>0</v>
      </c>
      <c r="AK62" s="57">
        <v>0</v>
      </c>
      <c r="AL62" s="57">
        <v>0</v>
      </c>
      <c r="AM62" s="57">
        <v>0</v>
      </c>
      <c r="AN62" s="57">
        <v>0</v>
      </c>
    </row>
    <row r="63" spans="1:40" s="57" customFormat="1" ht="13.5" customHeight="1" x14ac:dyDescent="0.3">
      <c r="B63" s="57" t="s">
        <v>135</v>
      </c>
      <c r="D63" s="57">
        <f>$C$24*$C$8*0.175</f>
        <v>140875</v>
      </c>
      <c r="E63" s="57">
        <f>$C$24*$C$8*0.175</f>
        <v>140875</v>
      </c>
      <c r="F63" s="57">
        <f>$C$24*$C$8*0.175</f>
        <v>140875</v>
      </c>
      <c r="G63" s="57">
        <f>$C$24*$C$8*0.175</f>
        <v>140875</v>
      </c>
      <c r="H63" s="57">
        <f t="shared" ref="H63:Y63" si="20">$C$24*$C$8*0.0166666666666667</f>
        <v>13416.666666666695</v>
      </c>
      <c r="I63" s="57">
        <f t="shared" si="20"/>
        <v>13416.666666666695</v>
      </c>
      <c r="J63" s="57">
        <f t="shared" si="20"/>
        <v>13416.666666666695</v>
      </c>
      <c r="K63" s="57">
        <f t="shared" si="20"/>
        <v>13416.666666666695</v>
      </c>
      <c r="L63" s="57">
        <f t="shared" si="20"/>
        <v>13416.666666666695</v>
      </c>
      <c r="M63" s="57">
        <f t="shared" si="20"/>
        <v>13416.666666666695</v>
      </c>
      <c r="N63" s="57">
        <f t="shared" si="20"/>
        <v>13416.666666666695</v>
      </c>
      <c r="O63" s="57">
        <f t="shared" si="20"/>
        <v>13416.666666666695</v>
      </c>
      <c r="P63" s="57">
        <f t="shared" si="20"/>
        <v>13416.666666666695</v>
      </c>
      <c r="Q63" s="57">
        <f t="shared" si="20"/>
        <v>13416.666666666695</v>
      </c>
      <c r="R63" s="57">
        <f t="shared" si="20"/>
        <v>13416.666666666695</v>
      </c>
      <c r="S63" s="57">
        <f t="shared" si="20"/>
        <v>13416.666666666695</v>
      </c>
      <c r="T63" s="57">
        <f t="shared" si="20"/>
        <v>13416.666666666695</v>
      </c>
      <c r="U63" s="57">
        <f t="shared" si="20"/>
        <v>13416.666666666695</v>
      </c>
      <c r="V63" s="57">
        <f t="shared" si="20"/>
        <v>13416.666666666695</v>
      </c>
      <c r="W63" s="57">
        <f t="shared" si="20"/>
        <v>13416.666666666695</v>
      </c>
      <c r="X63" s="57">
        <f t="shared" si="20"/>
        <v>13416.666666666695</v>
      </c>
      <c r="Y63" s="57">
        <f t="shared" si="20"/>
        <v>13416.666666666695</v>
      </c>
      <c r="Z63" s="57">
        <v>0</v>
      </c>
      <c r="AA63" s="57">
        <v>0</v>
      </c>
      <c r="AB63" s="57">
        <v>0</v>
      </c>
      <c r="AC63" s="57">
        <v>0</v>
      </c>
      <c r="AD63" s="57">
        <v>0</v>
      </c>
      <c r="AE63" s="57">
        <v>0</v>
      </c>
      <c r="AF63" s="57">
        <v>0</v>
      </c>
      <c r="AG63" s="57">
        <v>0</v>
      </c>
      <c r="AH63" s="57">
        <v>0</v>
      </c>
      <c r="AI63" s="57">
        <v>0</v>
      </c>
      <c r="AJ63" s="57">
        <v>0</v>
      </c>
      <c r="AK63" s="57">
        <v>0</v>
      </c>
      <c r="AL63" s="57">
        <v>0</v>
      </c>
      <c r="AM63" s="57">
        <v>0</v>
      </c>
      <c r="AN63" s="57">
        <v>0</v>
      </c>
    </row>
    <row r="64" spans="1:40" ht="13.5" customHeight="1" x14ac:dyDescent="0.3">
      <c r="C64" s="64"/>
    </row>
    <row r="65" spans="1:40" s="38" customFormat="1" ht="13.5" customHeight="1" x14ac:dyDescent="0.3">
      <c r="B65" s="38" t="s">
        <v>136</v>
      </c>
      <c r="C65" s="66"/>
      <c r="D65" s="38">
        <f t="shared" ref="D65:AN65" si="21">D37*$C$8*$C$21</f>
        <v>0</v>
      </c>
      <c r="E65" s="38">
        <f t="shared" si="21"/>
        <v>0</v>
      </c>
      <c r="F65" s="38">
        <f t="shared" si="21"/>
        <v>0</v>
      </c>
      <c r="G65" s="38">
        <f t="shared" si="21"/>
        <v>0</v>
      </c>
      <c r="H65" s="38">
        <f t="shared" si="21"/>
        <v>0</v>
      </c>
      <c r="I65" s="38">
        <f t="shared" si="21"/>
        <v>0</v>
      </c>
      <c r="J65" s="38">
        <f t="shared" si="21"/>
        <v>0</v>
      </c>
      <c r="K65" s="38">
        <f t="shared" si="21"/>
        <v>0</v>
      </c>
      <c r="L65" s="38">
        <f t="shared" si="21"/>
        <v>0</v>
      </c>
      <c r="M65" s="38">
        <f t="shared" si="21"/>
        <v>0</v>
      </c>
      <c r="N65" s="38">
        <f t="shared" si="21"/>
        <v>0</v>
      </c>
      <c r="O65" s="38">
        <f t="shared" si="21"/>
        <v>0</v>
      </c>
      <c r="P65" s="38">
        <f t="shared" si="21"/>
        <v>0</v>
      </c>
      <c r="Q65" s="38">
        <f t="shared" si="21"/>
        <v>0</v>
      </c>
      <c r="R65" s="38">
        <f t="shared" si="21"/>
        <v>0</v>
      </c>
      <c r="S65" s="38">
        <f t="shared" si="21"/>
        <v>0</v>
      </c>
      <c r="T65" s="38">
        <f t="shared" si="21"/>
        <v>0</v>
      </c>
      <c r="U65" s="38">
        <f t="shared" si="21"/>
        <v>0</v>
      </c>
      <c r="V65" s="38">
        <f t="shared" si="21"/>
        <v>0</v>
      </c>
      <c r="W65" s="38">
        <f t="shared" si="21"/>
        <v>0</v>
      </c>
      <c r="X65" s="38">
        <f t="shared" si="21"/>
        <v>0</v>
      </c>
      <c r="Y65" s="38">
        <f t="shared" si="21"/>
        <v>0</v>
      </c>
      <c r="Z65" s="38">
        <f t="shared" si="21"/>
        <v>0</v>
      </c>
      <c r="AA65" s="38">
        <f t="shared" si="21"/>
        <v>0</v>
      </c>
      <c r="AB65" s="38">
        <f t="shared" si="21"/>
        <v>0</v>
      </c>
      <c r="AC65" s="38">
        <f t="shared" si="21"/>
        <v>0</v>
      </c>
      <c r="AD65" s="38">
        <f t="shared" si="21"/>
        <v>0</v>
      </c>
      <c r="AE65" s="38">
        <f t="shared" si="21"/>
        <v>0</v>
      </c>
      <c r="AF65" s="38">
        <f t="shared" si="21"/>
        <v>0</v>
      </c>
      <c r="AG65" s="38">
        <f t="shared" si="21"/>
        <v>0</v>
      </c>
      <c r="AH65" s="38">
        <f t="shared" si="21"/>
        <v>0</v>
      </c>
      <c r="AI65" s="38">
        <f t="shared" si="21"/>
        <v>0</v>
      </c>
      <c r="AJ65" s="38">
        <f t="shared" si="21"/>
        <v>0</v>
      </c>
      <c r="AK65" s="38">
        <f t="shared" si="21"/>
        <v>0</v>
      </c>
      <c r="AL65" s="38">
        <f t="shared" si="21"/>
        <v>0</v>
      </c>
      <c r="AM65" s="38">
        <f t="shared" si="21"/>
        <v>0</v>
      </c>
      <c r="AN65" s="38">
        <f t="shared" si="21"/>
        <v>0</v>
      </c>
    </row>
    <row r="66" spans="1:40" s="51" customFormat="1" ht="13.5" customHeight="1" x14ac:dyDescent="0.3">
      <c r="C66" s="65"/>
    </row>
    <row r="68" spans="1:40" s="67" customFormat="1" ht="13.5" customHeight="1" x14ac:dyDescent="0.3">
      <c r="A68" s="67" t="s">
        <v>110</v>
      </c>
      <c r="B68" s="67" t="s">
        <v>137</v>
      </c>
      <c r="D68" s="67">
        <f t="shared" ref="D68:AN68" si="22">D58-D61-D62-D63-D65</f>
        <v>-1035319.4444444445</v>
      </c>
      <c r="E68" s="67">
        <f t="shared" si="22"/>
        <v>-725941.84444444452</v>
      </c>
      <c r="F68" s="67">
        <f t="shared" si="22"/>
        <v>-374575.44444444415</v>
      </c>
      <c r="G68" s="67">
        <f t="shared" si="22"/>
        <v>-197346.64444444486</v>
      </c>
      <c r="H68" s="67">
        <f t="shared" si="22"/>
        <v>-363423.5111111108</v>
      </c>
      <c r="I68" s="67">
        <f t="shared" si="22"/>
        <v>-321756.71111111098</v>
      </c>
      <c r="J68" s="67">
        <f t="shared" si="22"/>
        <v>-181557.91111111164</v>
      </c>
      <c r="K68" s="67">
        <f t="shared" si="22"/>
        <v>-87340.711111112163</v>
      </c>
      <c r="L68" s="67">
        <f t="shared" si="22"/>
        <v>152549.28888888925</v>
      </c>
      <c r="M68" s="67">
        <f t="shared" si="22"/>
        <v>471264.88888888794</v>
      </c>
      <c r="N68" s="67">
        <f t="shared" si="22"/>
        <v>868806.08888889314</v>
      </c>
      <c r="O68" s="67">
        <f t="shared" si="22"/>
        <v>956261.28888888727</v>
      </c>
      <c r="P68" s="67">
        <f t="shared" si="22"/>
        <v>1326239.2888888901</v>
      </c>
      <c r="Q68" s="67">
        <f t="shared" si="22"/>
        <v>1699501.6888888886</v>
      </c>
      <c r="R68" s="67">
        <f t="shared" si="22"/>
        <v>1997222.8888888916</v>
      </c>
      <c r="S68" s="67">
        <f t="shared" si="22"/>
        <v>2331072.4888888877</v>
      </c>
      <c r="T68" s="67">
        <f t="shared" si="22"/>
        <v>2549968.088888892</v>
      </c>
      <c r="U68" s="67">
        <f t="shared" si="22"/>
        <v>2000056.4888888912</v>
      </c>
      <c r="V68" s="67">
        <f t="shared" si="22"/>
        <v>2024721.6888888923</v>
      </c>
      <c r="W68" s="67">
        <f t="shared" si="22"/>
        <v>1855607.288888887</v>
      </c>
      <c r="X68" s="67">
        <f t="shared" si="22"/>
        <v>1607667.2888888952</v>
      </c>
      <c r="Y68" s="67">
        <f t="shared" si="22"/>
        <v>1642185.6888888862</v>
      </c>
      <c r="Z68" s="67">
        <f t="shared" si="22"/>
        <v>1496341.1555555679</v>
      </c>
      <c r="AA68" s="67">
        <f t="shared" si="22"/>
        <v>1504584.3555555507</v>
      </c>
      <c r="AB68" s="67">
        <f t="shared" si="22"/>
        <v>1512827.5555555536</v>
      </c>
      <c r="AC68" s="67">
        <f t="shared" si="22"/>
        <v>714782.75555556035</v>
      </c>
      <c r="AD68" s="67">
        <f t="shared" si="22"/>
        <v>716843.55555555737</v>
      </c>
      <c r="AE68" s="67">
        <f t="shared" si="22"/>
        <v>808348.79999999341</v>
      </c>
      <c r="AF68" s="67">
        <f t="shared" si="22"/>
        <v>810409.59999999579</v>
      </c>
      <c r="AG68" s="67">
        <f t="shared" si="22"/>
        <v>0</v>
      </c>
      <c r="AH68" s="67">
        <f t="shared" si="22"/>
        <v>0</v>
      </c>
      <c r="AI68" s="67">
        <f t="shared" si="22"/>
        <v>0</v>
      </c>
      <c r="AJ68" s="67">
        <f t="shared" si="22"/>
        <v>0</v>
      </c>
      <c r="AK68" s="67">
        <f t="shared" si="22"/>
        <v>0</v>
      </c>
      <c r="AL68" s="67">
        <f t="shared" si="22"/>
        <v>0</v>
      </c>
      <c r="AM68" s="67">
        <f t="shared" si="22"/>
        <v>0</v>
      </c>
      <c r="AN68" s="67">
        <f t="shared" si="22"/>
        <v>0</v>
      </c>
    </row>
    <row r="69" spans="1:40" s="51" customFormat="1" ht="13.5" customHeight="1" x14ac:dyDescent="0.3">
      <c r="C69" s="65"/>
    </row>
    <row r="70" spans="1:40" ht="13.5" customHeight="1" x14ac:dyDescent="0.3"/>
    <row r="71" spans="1:40" s="57" customFormat="1" ht="13.5" customHeight="1" x14ac:dyDescent="0.3">
      <c r="B71" s="57" t="s">
        <v>138</v>
      </c>
      <c r="D71" s="57">
        <f t="shared" ref="D71:AN71" si="23">$C$22*D51</f>
        <v>0</v>
      </c>
      <c r="E71" s="57">
        <f t="shared" si="23"/>
        <v>13663.104000000001</v>
      </c>
      <c r="F71" s="57">
        <f t="shared" si="23"/>
        <v>19989.760000000002</v>
      </c>
      <c r="G71" s="57">
        <f t="shared" si="23"/>
        <v>21926.911999999993</v>
      </c>
      <c r="H71" s="57">
        <f t="shared" si="23"/>
        <v>35301.504000000008</v>
      </c>
      <c r="I71" s="57">
        <f t="shared" si="23"/>
        <v>53390.175999999999</v>
      </c>
      <c r="J71" s="57">
        <f t="shared" si="23"/>
        <v>75420.127999999997</v>
      </c>
      <c r="K71" s="57">
        <f t="shared" si="23"/>
        <v>93034.815999999977</v>
      </c>
      <c r="L71" s="57">
        <f t="shared" si="23"/>
        <v>119052.41599999998</v>
      </c>
      <c r="M71" s="57">
        <f t="shared" si="23"/>
        <v>148223.04000000001</v>
      </c>
      <c r="N71" s="57">
        <f t="shared" si="23"/>
        <v>180546.68800000011</v>
      </c>
      <c r="O71" s="57">
        <f t="shared" si="23"/>
        <v>181468.89599999995</v>
      </c>
      <c r="P71" s="57">
        <f t="shared" si="23"/>
        <v>212690.01600000009</v>
      </c>
      <c r="Q71" s="57">
        <f t="shared" si="23"/>
        <v>227620.51200000005</v>
      </c>
      <c r="R71" s="57">
        <f t="shared" si="23"/>
        <v>223107.36000000002</v>
      </c>
      <c r="S71" s="57">
        <f t="shared" si="23"/>
        <v>236461.34400000007</v>
      </c>
      <c r="T71" s="57">
        <f t="shared" si="23"/>
        <v>228795.16800000012</v>
      </c>
      <c r="U71" s="57">
        <f t="shared" si="23"/>
        <v>187800.70400000006</v>
      </c>
      <c r="V71" s="57">
        <f t="shared" si="23"/>
        <v>172365.31200000018</v>
      </c>
      <c r="W71" s="57">
        <f t="shared" si="23"/>
        <v>132756.73599999995</v>
      </c>
      <c r="X71" s="57">
        <f t="shared" si="23"/>
        <v>89995.136000000246</v>
      </c>
      <c r="Y71" s="57">
        <f t="shared" si="23"/>
        <v>91375.871999999887</v>
      </c>
      <c r="Z71" s="57">
        <f t="shared" si="23"/>
        <v>68583.424000000363</v>
      </c>
      <c r="AA71" s="57">
        <f t="shared" si="23"/>
        <v>68913.151999999885</v>
      </c>
      <c r="AB71" s="57">
        <f t="shared" si="23"/>
        <v>69242.880000000005</v>
      </c>
      <c r="AC71" s="57">
        <f t="shared" si="23"/>
        <v>34745.08800000012</v>
      </c>
      <c r="AD71" s="57">
        <f t="shared" si="23"/>
        <v>34827.520000000004</v>
      </c>
      <c r="AE71" s="57">
        <f t="shared" si="23"/>
        <v>34909.951999999881</v>
      </c>
      <c r="AF71" s="57">
        <f t="shared" si="23"/>
        <v>34992.383999999765</v>
      </c>
      <c r="AG71" s="57">
        <f t="shared" si="23"/>
        <v>0</v>
      </c>
      <c r="AH71" s="57">
        <f t="shared" si="23"/>
        <v>0</v>
      </c>
      <c r="AI71" s="57">
        <f t="shared" si="23"/>
        <v>0</v>
      </c>
      <c r="AJ71" s="57">
        <f t="shared" si="23"/>
        <v>0</v>
      </c>
      <c r="AK71" s="57">
        <f t="shared" si="23"/>
        <v>0</v>
      </c>
      <c r="AL71" s="57">
        <f t="shared" si="23"/>
        <v>0</v>
      </c>
      <c r="AM71" s="57">
        <f t="shared" si="23"/>
        <v>0</v>
      </c>
      <c r="AN71" s="57">
        <f t="shared" si="23"/>
        <v>0</v>
      </c>
    </row>
    <row r="72" spans="1:40" ht="13.5" customHeight="1" x14ac:dyDescent="0.3">
      <c r="C72" s="64"/>
    </row>
    <row r="73" spans="1:40" s="22" customFormat="1" ht="13.5" customHeight="1" x14ac:dyDescent="0.3">
      <c r="B73" s="68" t="s">
        <v>139</v>
      </c>
      <c r="C73" s="68"/>
      <c r="D73" s="46">
        <v>0</v>
      </c>
      <c r="E73" s="46">
        <v>1</v>
      </c>
      <c r="F73" s="46">
        <v>2</v>
      </c>
      <c r="G73" s="46">
        <v>3</v>
      </c>
      <c r="H73" s="46">
        <v>4</v>
      </c>
      <c r="I73" s="46">
        <v>5</v>
      </c>
      <c r="J73" s="46">
        <v>6</v>
      </c>
      <c r="K73" s="46">
        <v>7</v>
      </c>
      <c r="L73" s="46">
        <v>8</v>
      </c>
      <c r="M73" s="46">
        <v>9</v>
      </c>
      <c r="N73" s="46">
        <v>10</v>
      </c>
      <c r="O73" s="46">
        <v>11</v>
      </c>
      <c r="P73" s="46">
        <v>12</v>
      </c>
      <c r="Q73" s="46">
        <v>13</v>
      </c>
      <c r="R73" s="46">
        <v>14</v>
      </c>
      <c r="S73" s="46">
        <v>15</v>
      </c>
      <c r="T73" s="46">
        <v>16</v>
      </c>
      <c r="U73" s="46">
        <v>17</v>
      </c>
      <c r="V73" s="46">
        <v>18</v>
      </c>
      <c r="W73" s="46">
        <v>19</v>
      </c>
      <c r="X73" s="46">
        <v>20</v>
      </c>
      <c r="Y73" s="46">
        <v>21</v>
      </c>
      <c r="Z73" s="46">
        <v>22</v>
      </c>
      <c r="AA73" s="46">
        <v>23</v>
      </c>
      <c r="AB73" s="46">
        <v>24</v>
      </c>
      <c r="AC73" s="46">
        <v>25</v>
      </c>
      <c r="AD73" s="46">
        <v>26</v>
      </c>
      <c r="AE73" s="46">
        <v>27</v>
      </c>
      <c r="AF73" s="46">
        <v>28</v>
      </c>
      <c r="AG73" s="46">
        <f t="shared" ref="AG73:AN73" si="24">AF73+1</f>
        <v>29</v>
      </c>
      <c r="AH73" s="46">
        <f t="shared" si="24"/>
        <v>30</v>
      </c>
      <c r="AI73" s="46">
        <f t="shared" si="24"/>
        <v>31</v>
      </c>
      <c r="AJ73" s="46">
        <f t="shared" si="24"/>
        <v>32</v>
      </c>
      <c r="AK73" s="46">
        <f t="shared" si="24"/>
        <v>33</v>
      </c>
      <c r="AL73" s="46">
        <f t="shared" si="24"/>
        <v>34</v>
      </c>
      <c r="AM73" s="46">
        <f t="shared" si="24"/>
        <v>35</v>
      </c>
      <c r="AN73" s="46">
        <f t="shared" si="24"/>
        <v>36</v>
      </c>
    </row>
    <row r="74" spans="1:40" ht="13.5" customHeight="1" x14ac:dyDescent="0.3">
      <c r="B74" s="69" t="s">
        <v>140</v>
      </c>
      <c r="C74" s="69"/>
      <c r="D74" s="57">
        <f t="shared" ref="D74:AN74" si="25">D47</f>
        <v>0</v>
      </c>
      <c r="E74" s="57">
        <f t="shared" si="25"/>
        <v>341577.60000000003</v>
      </c>
      <c r="F74" s="57">
        <f t="shared" si="25"/>
        <v>499744.00000000006</v>
      </c>
      <c r="G74" s="57">
        <f t="shared" si="25"/>
        <v>548172.79999999981</v>
      </c>
      <c r="H74" s="57">
        <f t="shared" si="25"/>
        <v>882537.60000000009</v>
      </c>
      <c r="I74" s="57">
        <f t="shared" si="25"/>
        <v>1334754.3999999999</v>
      </c>
      <c r="J74" s="57">
        <f t="shared" si="25"/>
        <v>1885503.1999999997</v>
      </c>
      <c r="K74" s="57">
        <f t="shared" si="25"/>
        <v>2325870.3999999994</v>
      </c>
      <c r="L74" s="57">
        <f t="shared" si="25"/>
        <v>2976310.3999999994</v>
      </c>
      <c r="M74" s="57">
        <f t="shared" si="25"/>
        <v>3705576</v>
      </c>
      <c r="N74" s="57">
        <f t="shared" si="25"/>
        <v>4513667.200000003</v>
      </c>
      <c r="O74" s="57">
        <f t="shared" si="25"/>
        <v>4536722.3999999985</v>
      </c>
      <c r="P74" s="57">
        <f t="shared" si="25"/>
        <v>5317250.4000000022</v>
      </c>
      <c r="Q74" s="57">
        <f t="shared" si="25"/>
        <v>5690512.8000000007</v>
      </c>
      <c r="R74" s="57">
        <f t="shared" si="25"/>
        <v>5577684</v>
      </c>
      <c r="S74" s="57">
        <f t="shared" si="25"/>
        <v>5911533.6000000015</v>
      </c>
      <c r="T74" s="57">
        <f t="shared" si="25"/>
        <v>5719879.200000003</v>
      </c>
      <c r="U74" s="57">
        <f t="shared" si="25"/>
        <v>4695017.6000000015</v>
      </c>
      <c r="V74" s="57">
        <f t="shared" si="25"/>
        <v>4309132.8000000045</v>
      </c>
      <c r="W74" s="57">
        <f t="shared" si="25"/>
        <v>3318918.3999999985</v>
      </c>
      <c r="X74" s="57">
        <f t="shared" si="25"/>
        <v>2249878.400000006</v>
      </c>
      <c r="Y74" s="57">
        <f t="shared" si="25"/>
        <v>2284396.799999997</v>
      </c>
      <c r="Z74" s="57">
        <f t="shared" si="25"/>
        <v>1714585.6000000089</v>
      </c>
      <c r="AA74" s="57">
        <f t="shared" si="25"/>
        <v>1722828.799999997</v>
      </c>
      <c r="AB74" s="57">
        <f t="shared" si="25"/>
        <v>1731072</v>
      </c>
      <c r="AC74" s="57">
        <f t="shared" si="25"/>
        <v>868627.20000000298</v>
      </c>
      <c r="AD74" s="57">
        <f t="shared" si="25"/>
        <v>870688</v>
      </c>
      <c r="AE74" s="57">
        <f t="shared" si="25"/>
        <v>872748.79999999702</v>
      </c>
      <c r="AF74" s="57">
        <f t="shared" si="25"/>
        <v>874809.59999999404</v>
      </c>
      <c r="AG74" s="57">
        <f t="shared" si="25"/>
        <v>0</v>
      </c>
      <c r="AH74" s="57">
        <f t="shared" si="25"/>
        <v>0</v>
      </c>
      <c r="AI74" s="57">
        <f t="shared" si="25"/>
        <v>0</v>
      </c>
      <c r="AJ74" s="57">
        <f t="shared" si="25"/>
        <v>0</v>
      </c>
      <c r="AK74" s="57">
        <f t="shared" si="25"/>
        <v>0</v>
      </c>
      <c r="AL74" s="57">
        <f t="shared" si="25"/>
        <v>0</v>
      </c>
      <c r="AM74" s="57">
        <f t="shared" si="25"/>
        <v>0</v>
      </c>
      <c r="AN74" s="57">
        <f t="shared" si="25"/>
        <v>0</v>
      </c>
    </row>
    <row r="75" spans="1:40" s="57" customFormat="1" ht="14.25" customHeight="1" x14ac:dyDescent="0.3">
      <c r="B75" s="57" t="s">
        <v>133</v>
      </c>
      <c r="D75" s="57">
        <f t="shared" ref="D75:AD75" si="26">-$C$20*$C$8/27</f>
        <v>-89444.444444444438</v>
      </c>
      <c r="E75" s="57">
        <f t="shared" si="26"/>
        <v>-89444.444444444438</v>
      </c>
      <c r="F75" s="57">
        <f t="shared" si="26"/>
        <v>-89444.444444444438</v>
      </c>
      <c r="G75" s="57">
        <f t="shared" si="26"/>
        <v>-89444.444444444438</v>
      </c>
      <c r="H75" s="57">
        <f t="shared" si="26"/>
        <v>-89444.444444444438</v>
      </c>
      <c r="I75" s="57">
        <f t="shared" si="26"/>
        <v>-89444.444444444438</v>
      </c>
      <c r="J75" s="57">
        <f t="shared" si="26"/>
        <v>-89444.444444444438</v>
      </c>
      <c r="K75" s="57">
        <f t="shared" si="26"/>
        <v>-89444.444444444438</v>
      </c>
      <c r="L75" s="57">
        <f t="shared" si="26"/>
        <v>-89444.444444444438</v>
      </c>
      <c r="M75" s="57">
        <f t="shared" si="26"/>
        <v>-89444.444444444438</v>
      </c>
      <c r="N75" s="57">
        <f t="shared" si="26"/>
        <v>-89444.444444444438</v>
      </c>
      <c r="O75" s="57">
        <f t="shared" si="26"/>
        <v>-89444.444444444438</v>
      </c>
      <c r="P75" s="57">
        <f t="shared" si="26"/>
        <v>-89444.444444444438</v>
      </c>
      <c r="Q75" s="57">
        <f t="shared" si="26"/>
        <v>-89444.444444444438</v>
      </c>
      <c r="R75" s="57">
        <f t="shared" si="26"/>
        <v>-89444.444444444438</v>
      </c>
      <c r="S75" s="57">
        <f t="shared" si="26"/>
        <v>-89444.444444444438</v>
      </c>
      <c r="T75" s="57">
        <f t="shared" si="26"/>
        <v>-89444.444444444438</v>
      </c>
      <c r="U75" s="57">
        <f t="shared" si="26"/>
        <v>-89444.444444444438</v>
      </c>
      <c r="V75" s="57">
        <f t="shared" si="26"/>
        <v>-89444.444444444438</v>
      </c>
      <c r="W75" s="57">
        <f t="shared" si="26"/>
        <v>-89444.444444444438</v>
      </c>
      <c r="X75" s="57">
        <f t="shared" si="26"/>
        <v>-89444.444444444438</v>
      </c>
      <c r="Y75" s="57">
        <f t="shared" si="26"/>
        <v>-89444.444444444438</v>
      </c>
      <c r="Z75" s="57">
        <f t="shared" si="26"/>
        <v>-89444.444444444438</v>
      </c>
      <c r="AA75" s="57">
        <f t="shared" si="26"/>
        <v>-89444.444444444438</v>
      </c>
      <c r="AB75" s="57">
        <f t="shared" si="26"/>
        <v>-89444.444444444438</v>
      </c>
      <c r="AC75" s="57">
        <f t="shared" si="26"/>
        <v>-89444.444444444438</v>
      </c>
      <c r="AD75" s="57">
        <f t="shared" si="26"/>
        <v>-89444.444444444438</v>
      </c>
      <c r="AE75" s="57">
        <v>0</v>
      </c>
      <c r="AF75" s="57">
        <v>0</v>
      </c>
      <c r="AG75" s="57">
        <v>0</v>
      </c>
      <c r="AH75" s="57">
        <v>0</v>
      </c>
      <c r="AI75" s="57">
        <v>0</v>
      </c>
      <c r="AJ75" s="57">
        <v>0</v>
      </c>
      <c r="AK75" s="57">
        <v>0</v>
      </c>
      <c r="AL75" s="57">
        <v>0</v>
      </c>
      <c r="AM75" s="57">
        <v>0</v>
      </c>
      <c r="AN75" s="57">
        <v>0</v>
      </c>
    </row>
    <row r="76" spans="1:40" ht="13.5" customHeight="1" x14ac:dyDescent="0.3">
      <c r="B76" s="69" t="s">
        <v>141</v>
      </c>
      <c r="C76" s="69"/>
      <c r="D76" s="57">
        <f>-$C$14*$C$8</f>
        <v>-805000</v>
      </c>
      <c r="E76" s="57">
        <v>0</v>
      </c>
      <c r="F76" s="57">
        <v>0</v>
      </c>
      <c r="G76" s="57">
        <v>0</v>
      </c>
      <c r="H76" s="57">
        <v>0</v>
      </c>
      <c r="I76" s="57">
        <v>0</v>
      </c>
      <c r="J76" s="57">
        <v>0</v>
      </c>
      <c r="K76" s="57">
        <v>0</v>
      </c>
      <c r="L76" s="57">
        <v>0</v>
      </c>
      <c r="M76" s="57">
        <v>0</v>
      </c>
      <c r="N76" s="57">
        <v>0</v>
      </c>
      <c r="O76" s="57">
        <v>0</v>
      </c>
      <c r="P76" s="57">
        <v>0</v>
      </c>
      <c r="Q76" s="57">
        <v>0</v>
      </c>
      <c r="R76" s="57">
        <v>0</v>
      </c>
      <c r="S76" s="57">
        <v>0</v>
      </c>
      <c r="T76" s="57">
        <v>0</v>
      </c>
      <c r="U76" s="57">
        <v>0</v>
      </c>
      <c r="V76" s="57">
        <v>0</v>
      </c>
      <c r="W76" s="57">
        <v>0</v>
      </c>
      <c r="X76" s="57">
        <v>0</v>
      </c>
      <c r="Y76" s="57">
        <v>0</v>
      </c>
      <c r="Z76" s="57">
        <v>0</v>
      </c>
      <c r="AA76" s="57">
        <v>0</v>
      </c>
      <c r="AB76" s="57">
        <v>0</v>
      </c>
      <c r="AC76" s="57">
        <v>0</v>
      </c>
      <c r="AD76" s="57">
        <v>0</v>
      </c>
      <c r="AE76" s="57">
        <v>0</v>
      </c>
      <c r="AF76" s="57">
        <v>0</v>
      </c>
      <c r="AG76" s="57">
        <v>0</v>
      </c>
      <c r="AH76" s="57">
        <v>0</v>
      </c>
      <c r="AI76" s="57">
        <v>0</v>
      </c>
      <c r="AJ76" s="57">
        <v>0</v>
      </c>
      <c r="AK76" s="57">
        <v>0</v>
      </c>
      <c r="AL76" s="57">
        <v>0</v>
      </c>
      <c r="AM76" s="57">
        <v>0</v>
      </c>
      <c r="AN76" s="57">
        <v>0</v>
      </c>
    </row>
    <row r="77" spans="1:40" ht="13.5" customHeight="1" x14ac:dyDescent="0.3">
      <c r="B77" s="69" t="s">
        <v>142</v>
      </c>
      <c r="C77" s="69"/>
      <c r="D77" s="57">
        <f t="shared" ref="D77:AN77" si="27">-D39*$C$8</f>
        <v>0</v>
      </c>
      <c r="E77" s="57">
        <f t="shared" si="27"/>
        <v>0</v>
      </c>
      <c r="F77" s="57">
        <f t="shared" si="27"/>
        <v>0</v>
      </c>
      <c r="G77" s="57">
        <f t="shared" si="27"/>
        <v>0</v>
      </c>
      <c r="H77" s="57">
        <f t="shared" si="27"/>
        <v>0</v>
      </c>
      <c r="I77" s="57">
        <f t="shared" si="27"/>
        <v>0</v>
      </c>
      <c r="J77" s="57">
        <f t="shared" si="27"/>
        <v>0</v>
      </c>
      <c r="K77" s="57">
        <f t="shared" si="27"/>
        <v>0</v>
      </c>
      <c r="L77" s="57">
        <f t="shared" si="27"/>
        <v>0</v>
      </c>
      <c r="M77" s="57">
        <f t="shared" si="27"/>
        <v>0</v>
      </c>
      <c r="N77" s="57">
        <f t="shared" si="27"/>
        <v>0</v>
      </c>
      <c r="O77" s="57">
        <f t="shared" si="27"/>
        <v>0</v>
      </c>
      <c r="P77" s="28">
        <f t="shared" si="27"/>
        <v>0</v>
      </c>
      <c r="Q77" s="25">
        <f t="shared" si="27"/>
        <v>0</v>
      </c>
      <c r="R77" s="25">
        <f t="shared" si="27"/>
        <v>0</v>
      </c>
      <c r="S77" s="25">
        <f t="shared" si="27"/>
        <v>0</v>
      </c>
      <c r="T77" s="25">
        <f t="shared" si="27"/>
        <v>0</v>
      </c>
      <c r="U77" s="25">
        <f t="shared" si="27"/>
        <v>0</v>
      </c>
      <c r="V77" s="25">
        <f t="shared" si="27"/>
        <v>0</v>
      </c>
      <c r="W77" s="25">
        <f t="shared" si="27"/>
        <v>0</v>
      </c>
      <c r="X77" s="25">
        <f t="shared" si="27"/>
        <v>0</v>
      </c>
      <c r="Y77" s="25">
        <f t="shared" si="27"/>
        <v>0</v>
      </c>
      <c r="Z77" s="25">
        <f t="shared" si="27"/>
        <v>0</v>
      </c>
      <c r="AA77" s="25">
        <f t="shared" si="27"/>
        <v>0</v>
      </c>
      <c r="AB77" s="25">
        <f t="shared" si="27"/>
        <v>0</v>
      </c>
      <c r="AC77" s="25">
        <f t="shared" si="27"/>
        <v>0</v>
      </c>
      <c r="AD77" s="25">
        <f t="shared" si="27"/>
        <v>0</v>
      </c>
      <c r="AE77" s="25">
        <f t="shared" si="27"/>
        <v>0</v>
      </c>
      <c r="AF77" s="25">
        <f t="shared" si="27"/>
        <v>0</v>
      </c>
      <c r="AG77" s="25">
        <f t="shared" si="27"/>
        <v>0</v>
      </c>
      <c r="AH77" s="25">
        <f t="shared" si="27"/>
        <v>0</v>
      </c>
      <c r="AI77" s="25">
        <f t="shared" si="27"/>
        <v>0</v>
      </c>
      <c r="AJ77" s="25">
        <f t="shared" si="27"/>
        <v>0</v>
      </c>
      <c r="AK77" s="25">
        <f t="shared" si="27"/>
        <v>0</v>
      </c>
      <c r="AL77" s="25">
        <f t="shared" si="27"/>
        <v>0</v>
      </c>
      <c r="AM77" s="25">
        <f t="shared" si="27"/>
        <v>0</v>
      </c>
      <c r="AN77" s="25">
        <f t="shared" si="27"/>
        <v>0</v>
      </c>
    </row>
    <row r="78" spans="1:40" ht="13.5" customHeight="1" x14ac:dyDescent="0.3">
      <c r="B78" s="69" t="s">
        <v>143</v>
      </c>
      <c r="C78" s="69"/>
      <c r="D78" s="57">
        <f t="shared" ref="D78:AN78" si="28">-D37*$C$16*$C$9</f>
        <v>0</v>
      </c>
      <c r="E78" s="57">
        <f t="shared" si="28"/>
        <v>0</v>
      </c>
      <c r="F78" s="57">
        <f t="shared" si="28"/>
        <v>0</v>
      </c>
      <c r="G78" s="57">
        <f t="shared" si="28"/>
        <v>0</v>
      </c>
      <c r="H78" s="57">
        <f t="shared" si="28"/>
        <v>-821100</v>
      </c>
      <c r="I78" s="57">
        <f t="shared" si="28"/>
        <v>-1231650</v>
      </c>
      <c r="J78" s="57">
        <f t="shared" si="28"/>
        <v>-1642200</v>
      </c>
      <c r="K78" s="57">
        <f t="shared" si="28"/>
        <v>-2052750</v>
      </c>
      <c r="L78" s="57">
        <f t="shared" si="28"/>
        <v>-2463300</v>
      </c>
      <c r="M78" s="57">
        <f t="shared" si="28"/>
        <v>-2873850</v>
      </c>
      <c r="N78" s="57">
        <f t="shared" si="28"/>
        <v>-3284400</v>
      </c>
      <c r="O78" s="57">
        <f t="shared" si="28"/>
        <v>-3284400</v>
      </c>
      <c r="P78" s="57">
        <f t="shared" si="28"/>
        <v>-3694950</v>
      </c>
      <c r="Q78" s="57">
        <f t="shared" si="28"/>
        <v>-3694950</v>
      </c>
      <c r="R78" s="57">
        <f t="shared" si="28"/>
        <v>-3284400</v>
      </c>
      <c r="S78" s="57">
        <f t="shared" si="28"/>
        <v>-3284400</v>
      </c>
      <c r="T78" s="57">
        <f t="shared" si="28"/>
        <v>-2873850</v>
      </c>
      <c r="U78" s="57">
        <f t="shared" si="28"/>
        <v>-2463300</v>
      </c>
      <c r="V78" s="57">
        <f t="shared" si="28"/>
        <v>-2052750</v>
      </c>
      <c r="W78" s="57">
        <f t="shared" si="28"/>
        <v>-1231650</v>
      </c>
      <c r="X78" s="57">
        <f t="shared" si="28"/>
        <v>-410550</v>
      </c>
      <c r="Y78" s="57">
        <f t="shared" si="28"/>
        <v>-410550</v>
      </c>
      <c r="Z78" s="57">
        <f t="shared" si="28"/>
        <v>0</v>
      </c>
      <c r="AA78" s="57">
        <f t="shared" si="28"/>
        <v>0</v>
      </c>
      <c r="AB78" s="57">
        <f t="shared" si="28"/>
        <v>0</v>
      </c>
      <c r="AC78" s="57">
        <f t="shared" si="28"/>
        <v>0</v>
      </c>
      <c r="AD78" s="57">
        <f t="shared" si="28"/>
        <v>0</v>
      </c>
      <c r="AE78" s="57">
        <f t="shared" si="28"/>
        <v>0</v>
      </c>
      <c r="AF78" s="57">
        <f t="shared" si="28"/>
        <v>0</v>
      </c>
      <c r="AG78" s="57">
        <f t="shared" si="28"/>
        <v>0</v>
      </c>
      <c r="AH78" s="57">
        <f t="shared" si="28"/>
        <v>0</v>
      </c>
      <c r="AI78" s="57">
        <f t="shared" si="28"/>
        <v>0</v>
      </c>
      <c r="AJ78" s="57">
        <f t="shared" si="28"/>
        <v>0</v>
      </c>
      <c r="AK78" s="57">
        <f t="shared" si="28"/>
        <v>0</v>
      </c>
      <c r="AL78" s="57">
        <f t="shared" si="28"/>
        <v>0</v>
      </c>
      <c r="AM78" s="57">
        <f t="shared" si="28"/>
        <v>0</v>
      </c>
      <c r="AN78" s="57">
        <f t="shared" si="28"/>
        <v>0</v>
      </c>
    </row>
    <row r="79" spans="1:40" ht="13.5" customHeight="1" x14ac:dyDescent="0.3">
      <c r="B79" s="69" t="s">
        <v>144</v>
      </c>
      <c r="C79" s="69"/>
      <c r="D79" s="57">
        <f t="shared" ref="D79:AN79" si="29">-D37*$C$8*$C$17</f>
        <v>0</v>
      </c>
      <c r="E79" s="57">
        <f t="shared" si="29"/>
        <v>0</v>
      </c>
      <c r="F79" s="57">
        <f t="shared" si="29"/>
        <v>0</v>
      </c>
      <c r="G79" s="57">
        <f t="shared" si="29"/>
        <v>0</v>
      </c>
      <c r="H79" s="57">
        <f t="shared" si="29"/>
        <v>-128800</v>
      </c>
      <c r="I79" s="57">
        <f t="shared" si="29"/>
        <v>-193200</v>
      </c>
      <c r="J79" s="57">
        <f t="shared" si="29"/>
        <v>-257600</v>
      </c>
      <c r="K79" s="57">
        <f t="shared" si="29"/>
        <v>-322000</v>
      </c>
      <c r="L79" s="57">
        <f t="shared" si="29"/>
        <v>-386400</v>
      </c>
      <c r="M79" s="57">
        <f t="shared" si="29"/>
        <v>-450800.00000000006</v>
      </c>
      <c r="N79" s="57">
        <f t="shared" si="29"/>
        <v>-515200</v>
      </c>
      <c r="O79" s="57">
        <f t="shared" si="29"/>
        <v>-515200</v>
      </c>
      <c r="P79" s="25">
        <f t="shared" si="29"/>
        <v>-579600</v>
      </c>
      <c r="Q79" s="25">
        <f t="shared" si="29"/>
        <v>-579600</v>
      </c>
      <c r="R79" s="25">
        <f t="shared" si="29"/>
        <v>-515200</v>
      </c>
      <c r="S79" s="25">
        <f t="shared" si="29"/>
        <v>-515200</v>
      </c>
      <c r="T79" s="25">
        <f t="shared" si="29"/>
        <v>-450800.00000000006</v>
      </c>
      <c r="U79" s="25">
        <f t="shared" si="29"/>
        <v>-386400</v>
      </c>
      <c r="V79" s="25">
        <f t="shared" si="29"/>
        <v>-322000</v>
      </c>
      <c r="W79" s="25">
        <f t="shared" si="29"/>
        <v>-193200</v>
      </c>
      <c r="X79" s="25">
        <f t="shared" si="29"/>
        <v>-64400</v>
      </c>
      <c r="Y79" s="25">
        <f t="shared" si="29"/>
        <v>-64400</v>
      </c>
      <c r="Z79" s="25">
        <f t="shared" si="29"/>
        <v>0</v>
      </c>
      <c r="AA79" s="25">
        <f t="shared" si="29"/>
        <v>0</v>
      </c>
      <c r="AB79" s="25">
        <f t="shared" si="29"/>
        <v>0</v>
      </c>
      <c r="AC79" s="25">
        <f t="shared" si="29"/>
        <v>0</v>
      </c>
      <c r="AD79" s="25">
        <f t="shared" si="29"/>
        <v>0</v>
      </c>
      <c r="AE79" s="25">
        <f t="shared" si="29"/>
        <v>0</v>
      </c>
      <c r="AF79" s="25">
        <f t="shared" si="29"/>
        <v>0</v>
      </c>
      <c r="AG79" s="25">
        <f t="shared" si="29"/>
        <v>0</v>
      </c>
      <c r="AH79" s="25">
        <f t="shared" si="29"/>
        <v>0</v>
      </c>
      <c r="AI79" s="25">
        <f t="shared" si="29"/>
        <v>0</v>
      </c>
      <c r="AJ79" s="25">
        <f t="shared" si="29"/>
        <v>0</v>
      </c>
      <c r="AK79" s="25">
        <f t="shared" si="29"/>
        <v>0</v>
      </c>
      <c r="AL79" s="25">
        <f t="shared" si="29"/>
        <v>0</v>
      </c>
      <c r="AM79" s="25">
        <f t="shared" si="29"/>
        <v>0</v>
      </c>
      <c r="AN79" s="25">
        <f t="shared" si="29"/>
        <v>0</v>
      </c>
    </row>
    <row r="80" spans="1:40" ht="13.5" hidden="1" customHeight="1" x14ac:dyDescent="0.3">
      <c r="B80" s="69" t="s">
        <v>134</v>
      </c>
      <c r="C80" s="69"/>
      <c r="D80" s="57">
        <f>-$C$23*$C$8*0.075</f>
        <v>0</v>
      </c>
      <c r="E80" s="57">
        <f>-$C$23*$C$8*0.075</f>
        <v>0</v>
      </c>
      <c r="F80" s="57">
        <f>-$C$23*$C$8*0.075</f>
        <v>0</v>
      </c>
      <c r="G80" s="57">
        <f>-$C$23*$C$8*0.075</f>
        <v>0</v>
      </c>
      <c r="H80" s="57">
        <f t="shared" ref="H80:S80" si="30">-$C$23*$C$8*0.025</f>
        <v>0</v>
      </c>
      <c r="I80" s="57">
        <f t="shared" si="30"/>
        <v>0</v>
      </c>
      <c r="J80" s="57">
        <f t="shared" si="30"/>
        <v>0</v>
      </c>
      <c r="K80" s="57">
        <f t="shared" si="30"/>
        <v>0</v>
      </c>
      <c r="L80" s="57">
        <f t="shared" si="30"/>
        <v>0</v>
      </c>
      <c r="M80" s="57">
        <f t="shared" si="30"/>
        <v>0</v>
      </c>
      <c r="N80" s="57">
        <f t="shared" si="30"/>
        <v>0</v>
      </c>
      <c r="O80" s="57">
        <f t="shared" si="30"/>
        <v>0</v>
      </c>
      <c r="P80" s="57">
        <f t="shared" si="30"/>
        <v>0</v>
      </c>
      <c r="Q80" s="57">
        <f t="shared" si="30"/>
        <v>0</v>
      </c>
      <c r="R80" s="57">
        <f t="shared" si="30"/>
        <v>0</v>
      </c>
      <c r="S80" s="57">
        <f t="shared" si="30"/>
        <v>0</v>
      </c>
      <c r="T80" s="57">
        <f t="shared" ref="T80:Y80" si="31">-$C$23*$C$8*0.0666666666666667</f>
        <v>0</v>
      </c>
      <c r="U80" s="57">
        <f t="shared" si="31"/>
        <v>0</v>
      </c>
      <c r="V80" s="57">
        <f t="shared" si="31"/>
        <v>0</v>
      </c>
      <c r="W80" s="57">
        <f t="shared" si="31"/>
        <v>0</v>
      </c>
      <c r="X80" s="57">
        <f t="shared" si="31"/>
        <v>0</v>
      </c>
      <c r="Y80" s="57">
        <f t="shared" si="31"/>
        <v>0</v>
      </c>
      <c r="Z80" s="57">
        <v>0</v>
      </c>
      <c r="AA80" s="57">
        <v>0</v>
      </c>
      <c r="AB80" s="57">
        <v>0</v>
      </c>
      <c r="AC80" s="57">
        <v>0</v>
      </c>
      <c r="AD80" s="57">
        <v>0</v>
      </c>
      <c r="AE80" s="57">
        <v>0</v>
      </c>
      <c r="AF80" s="57">
        <v>0</v>
      </c>
      <c r="AG80" s="57">
        <v>0</v>
      </c>
      <c r="AH80" s="57">
        <v>0</v>
      </c>
      <c r="AI80" s="57">
        <v>0</v>
      </c>
      <c r="AJ80" s="57">
        <v>0</v>
      </c>
      <c r="AK80" s="57">
        <v>0</v>
      </c>
      <c r="AL80" s="57">
        <v>0</v>
      </c>
      <c r="AM80" s="57">
        <v>0</v>
      </c>
      <c r="AN80" s="57">
        <v>0</v>
      </c>
    </row>
    <row r="81" spans="1:40" ht="13.5" customHeight="1" x14ac:dyDescent="0.3">
      <c r="B81" s="69" t="s">
        <v>135</v>
      </c>
      <c r="C81" s="69"/>
      <c r="D81" s="57">
        <f>-$C$24*$C$8*0.175</f>
        <v>-140875</v>
      </c>
      <c r="E81" s="57">
        <f>-$C$24*$C$8*0.175</f>
        <v>-140875</v>
      </c>
      <c r="F81" s="57">
        <f>-$C$24*$C$8*0.175</f>
        <v>-140875</v>
      </c>
      <c r="G81" s="57">
        <f>-$C$24*$C$8*0.175</f>
        <v>-140875</v>
      </c>
      <c r="H81" s="57">
        <f t="shared" ref="H81:Y81" si="32">-$C$24*$C$8*0.0166666666666667</f>
        <v>-13416.666666666695</v>
      </c>
      <c r="I81" s="57">
        <f t="shared" si="32"/>
        <v>-13416.666666666695</v>
      </c>
      <c r="J81" s="57">
        <f t="shared" si="32"/>
        <v>-13416.666666666695</v>
      </c>
      <c r="K81" s="57">
        <f t="shared" si="32"/>
        <v>-13416.666666666695</v>
      </c>
      <c r="L81" s="57">
        <f t="shared" si="32"/>
        <v>-13416.666666666695</v>
      </c>
      <c r="M81" s="57">
        <f t="shared" si="32"/>
        <v>-13416.666666666695</v>
      </c>
      <c r="N81" s="57">
        <f t="shared" si="32"/>
        <v>-13416.666666666695</v>
      </c>
      <c r="O81" s="57">
        <f t="shared" si="32"/>
        <v>-13416.666666666695</v>
      </c>
      <c r="P81" s="57">
        <f t="shared" si="32"/>
        <v>-13416.666666666695</v>
      </c>
      <c r="Q81" s="57">
        <f t="shared" si="32"/>
        <v>-13416.666666666695</v>
      </c>
      <c r="R81" s="57">
        <f t="shared" si="32"/>
        <v>-13416.666666666695</v>
      </c>
      <c r="S81" s="57">
        <f t="shared" si="32"/>
        <v>-13416.666666666695</v>
      </c>
      <c r="T81" s="57">
        <f t="shared" si="32"/>
        <v>-13416.666666666695</v>
      </c>
      <c r="U81" s="57">
        <f t="shared" si="32"/>
        <v>-13416.666666666695</v>
      </c>
      <c r="V81" s="57">
        <f t="shared" si="32"/>
        <v>-13416.666666666695</v>
      </c>
      <c r="W81" s="57">
        <f t="shared" si="32"/>
        <v>-13416.666666666695</v>
      </c>
      <c r="X81" s="57">
        <f t="shared" si="32"/>
        <v>-13416.666666666695</v>
      </c>
      <c r="Y81" s="57">
        <f t="shared" si="32"/>
        <v>-13416.666666666695</v>
      </c>
      <c r="Z81" s="57">
        <v>0</v>
      </c>
      <c r="AA81" s="57">
        <v>0</v>
      </c>
      <c r="AB81" s="57">
        <v>0</v>
      </c>
      <c r="AC81" s="57">
        <v>0</v>
      </c>
      <c r="AD81" s="57">
        <v>0</v>
      </c>
      <c r="AE81" s="57">
        <v>0</v>
      </c>
      <c r="AF81" s="57">
        <v>0</v>
      </c>
      <c r="AG81" s="57">
        <v>0</v>
      </c>
      <c r="AH81" s="57">
        <v>0</v>
      </c>
      <c r="AI81" s="57">
        <v>0</v>
      </c>
      <c r="AJ81" s="57">
        <v>0</v>
      </c>
      <c r="AK81" s="57">
        <v>0</v>
      </c>
      <c r="AL81" s="57">
        <v>0</v>
      </c>
      <c r="AM81" s="57">
        <v>0</v>
      </c>
      <c r="AN81" s="57">
        <v>0</v>
      </c>
    </row>
    <row r="82" spans="1:40" s="57" customFormat="1" ht="14.25" customHeight="1" x14ac:dyDescent="0.3">
      <c r="B82" s="57" t="s">
        <v>145</v>
      </c>
      <c r="D82" s="57">
        <f t="shared" ref="D82:AN82" si="33">-D37*$C$8*$C$21</f>
        <v>0</v>
      </c>
      <c r="E82" s="57">
        <f t="shared" si="33"/>
        <v>0</v>
      </c>
      <c r="F82" s="57">
        <f t="shared" si="33"/>
        <v>0</v>
      </c>
      <c r="G82" s="57">
        <f t="shared" si="33"/>
        <v>0</v>
      </c>
      <c r="H82" s="57">
        <f t="shared" si="33"/>
        <v>0</v>
      </c>
      <c r="I82" s="57">
        <f t="shared" si="33"/>
        <v>0</v>
      </c>
      <c r="J82" s="57">
        <f t="shared" si="33"/>
        <v>0</v>
      </c>
      <c r="K82" s="57">
        <f t="shared" si="33"/>
        <v>0</v>
      </c>
      <c r="L82" s="57">
        <f t="shared" si="33"/>
        <v>0</v>
      </c>
      <c r="M82" s="57">
        <f t="shared" si="33"/>
        <v>0</v>
      </c>
      <c r="N82" s="57">
        <f t="shared" si="33"/>
        <v>0</v>
      </c>
      <c r="O82" s="57">
        <f t="shared" si="33"/>
        <v>0</v>
      </c>
      <c r="P82" s="57">
        <f t="shared" si="33"/>
        <v>0</v>
      </c>
      <c r="Q82" s="57">
        <f t="shared" si="33"/>
        <v>0</v>
      </c>
      <c r="R82" s="57">
        <f t="shared" si="33"/>
        <v>0</v>
      </c>
      <c r="S82" s="57">
        <f t="shared" si="33"/>
        <v>0</v>
      </c>
      <c r="T82" s="57">
        <f t="shared" si="33"/>
        <v>0</v>
      </c>
      <c r="U82" s="57">
        <f t="shared" si="33"/>
        <v>0</v>
      </c>
      <c r="V82" s="57">
        <f t="shared" si="33"/>
        <v>0</v>
      </c>
      <c r="W82" s="57">
        <f t="shared" si="33"/>
        <v>0</v>
      </c>
      <c r="X82" s="57">
        <f t="shared" si="33"/>
        <v>0</v>
      </c>
      <c r="Y82" s="57">
        <f t="shared" si="33"/>
        <v>0</v>
      </c>
      <c r="Z82" s="57">
        <f t="shared" si="33"/>
        <v>0</v>
      </c>
      <c r="AA82" s="57">
        <f t="shared" si="33"/>
        <v>0</v>
      </c>
      <c r="AB82" s="57">
        <f t="shared" si="33"/>
        <v>0</v>
      </c>
      <c r="AC82" s="57">
        <f t="shared" si="33"/>
        <v>0</v>
      </c>
      <c r="AD82" s="57">
        <f t="shared" si="33"/>
        <v>0</v>
      </c>
      <c r="AE82" s="57">
        <f t="shared" si="33"/>
        <v>0</v>
      </c>
      <c r="AF82" s="57">
        <f t="shared" si="33"/>
        <v>0</v>
      </c>
      <c r="AG82" s="57">
        <f t="shared" si="33"/>
        <v>0</v>
      </c>
      <c r="AH82" s="57">
        <f t="shared" si="33"/>
        <v>0</v>
      </c>
      <c r="AI82" s="57">
        <f t="shared" si="33"/>
        <v>0</v>
      </c>
      <c r="AJ82" s="57">
        <f t="shared" si="33"/>
        <v>0</v>
      </c>
      <c r="AK82" s="57">
        <f t="shared" si="33"/>
        <v>0</v>
      </c>
      <c r="AL82" s="57">
        <f t="shared" si="33"/>
        <v>0</v>
      </c>
      <c r="AM82" s="57">
        <f t="shared" si="33"/>
        <v>0</v>
      </c>
      <c r="AN82" s="57">
        <f t="shared" si="33"/>
        <v>0</v>
      </c>
    </row>
    <row r="83" spans="1:40" ht="13.5" customHeight="1" x14ac:dyDescent="0.3">
      <c r="B83" s="70" t="s">
        <v>146</v>
      </c>
      <c r="C83" s="70"/>
      <c r="D83" s="71">
        <f t="shared" ref="D83:AN83" si="34">-D47*$C$22</f>
        <v>0</v>
      </c>
      <c r="E83" s="71">
        <f t="shared" si="34"/>
        <v>-13663.104000000001</v>
      </c>
      <c r="F83" s="71">
        <f t="shared" si="34"/>
        <v>-19989.760000000002</v>
      </c>
      <c r="G83" s="71">
        <f t="shared" si="34"/>
        <v>-21926.911999999993</v>
      </c>
      <c r="H83" s="71">
        <f t="shared" si="34"/>
        <v>-35301.504000000008</v>
      </c>
      <c r="I83" s="71">
        <f t="shared" si="34"/>
        <v>-53390.175999999999</v>
      </c>
      <c r="J83" s="71">
        <f t="shared" si="34"/>
        <v>-75420.127999999997</v>
      </c>
      <c r="K83" s="71">
        <f t="shared" si="34"/>
        <v>-93034.815999999977</v>
      </c>
      <c r="L83" s="71">
        <f t="shared" si="34"/>
        <v>-119052.41599999998</v>
      </c>
      <c r="M83" s="71">
        <f t="shared" si="34"/>
        <v>-148223.04000000001</v>
      </c>
      <c r="N83" s="71">
        <f t="shared" si="34"/>
        <v>-180546.68800000011</v>
      </c>
      <c r="O83" s="71">
        <f t="shared" si="34"/>
        <v>-181468.89599999995</v>
      </c>
      <c r="P83" s="71">
        <f t="shared" si="34"/>
        <v>-212690.01600000009</v>
      </c>
      <c r="Q83" s="71">
        <f t="shared" si="34"/>
        <v>-227620.51200000005</v>
      </c>
      <c r="R83" s="71">
        <f t="shared" si="34"/>
        <v>-223107.36000000002</v>
      </c>
      <c r="S83" s="71">
        <f t="shared" si="34"/>
        <v>-236461.34400000007</v>
      </c>
      <c r="T83" s="71">
        <f t="shared" si="34"/>
        <v>-228795.16800000012</v>
      </c>
      <c r="U83" s="71">
        <f t="shared" si="34"/>
        <v>-187800.70400000006</v>
      </c>
      <c r="V83" s="71">
        <f t="shared" si="34"/>
        <v>-172365.31200000018</v>
      </c>
      <c r="W83" s="71">
        <f t="shared" si="34"/>
        <v>-132756.73599999995</v>
      </c>
      <c r="X83" s="71">
        <f t="shared" si="34"/>
        <v>-89995.136000000246</v>
      </c>
      <c r="Y83" s="71">
        <f t="shared" si="34"/>
        <v>-91375.871999999887</v>
      </c>
      <c r="Z83" s="71">
        <f t="shared" si="34"/>
        <v>-68583.424000000363</v>
      </c>
      <c r="AA83" s="71">
        <f t="shared" si="34"/>
        <v>-68913.151999999885</v>
      </c>
      <c r="AB83" s="71">
        <f t="shared" si="34"/>
        <v>-69242.880000000005</v>
      </c>
      <c r="AC83" s="71">
        <f t="shared" si="34"/>
        <v>-34745.08800000012</v>
      </c>
      <c r="AD83" s="71">
        <f t="shared" si="34"/>
        <v>-34827.520000000004</v>
      </c>
      <c r="AE83" s="71">
        <f t="shared" si="34"/>
        <v>-34909.951999999881</v>
      </c>
      <c r="AF83" s="71">
        <f t="shared" si="34"/>
        <v>-34992.383999999765</v>
      </c>
      <c r="AG83" s="71">
        <f t="shared" si="34"/>
        <v>0</v>
      </c>
      <c r="AH83" s="71">
        <f t="shared" si="34"/>
        <v>0</v>
      </c>
      <c r="AI83" s="71">
        <f t="shared" si="34"/>
        <v>0</v>
      </c>
      <c r="AJ83" s="71">
        <f t="shared" si="34"/>
        <v>0</v>
      </c>
      <c r="AK83" s="71">
        <f t="shared" si="34"/>
        <v>0</v>
      </c>
      <c r="AL83" s="71">
        <f t="shared" si="34"/>
        <v>0</v>
      </c>
      <c r="AM83" s="71">
        <f t="shared" si="34"/>
        <v>0</v>
      </c>
      <c r="AN83" s="71">
        <f t="shared" si="34"/>
        <v>0</v>
      </c>
    </row>
    <row r="84" spans="1:40" ht="13.5" customHeight="1" x14ac:dyDescent="0.3">
      <c r="B84" s="69"/>
      <c r="C84" s="69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</row>
    <row r="85" spans="1:40" ht="13.5" customHeight="1" x14ac:dyDescent="0.3">
      <c r="B85" s="72"/>
      <c r="C85" s="72"/>
      <c r="D85" s="73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</row>
    <row r="86" spans="1:40" s="74" customFormat="1" ht="13.5" customHeight="1" x14ac:dyDescent="0.3">
      <c r="B86" s="74" t="s">
        <v>147</v>
      </c>
      <c r="D86" s="74">
        <f t="shared" ref="D86:AN86" si="35">D75+D74+D76+D77+D78+D79+D80+D81+D82+D83-D71</f>
        <v>-1035319.4444444445</v>
      </c>
      <c r="E86" s="74">
        <f t="shared" si="35"/>
        <v>83931.947555555584</v>
      </c>
      <c r="F86" s="74">
        <f t="shared" si="35"/>
        <v>229445.0355555556</v>
      </c>
      <c r="G86" s="74">
        <f t="shared" si="35"/>
        <v>273999.53155555535</v>
      </c>
      <c r="H86" s="74">
        <f t="shared" si="35"/>
        <v>-240826.51911111112</v>
      </c>
      <c r="I86" s="74">
        <f t="shared" si="35"/>
        <v>-299737.06311111129</v>
      </c>
      <c r="J86" s="74">
        <f t="shared" si="35"/>
        <v>-267998.16711111146</v>
      </c>
      <c r="K86" s="74">
        <f t="shared" si="35"/>
        <v>-337810.34311111172</v>
      </c>
      <c r="L86" s="74">
        <f t="shared" si="35"/>
        <v>-214355.54311111174</v>
      </c>
      <c r="M86" s="74">
        <f t="shared" si="35"/>
        <v>-18381.191111111257</v>
      </c>
      <c r="N86" s="74">
        <f t="shared" si="35"/>
        <v>250112.71288889201</v>
      </c>
      <c r="O86" s="74">
        <f t="shared" si="35"/>
        <v>271323.49688888784</v>
      </c>
      <c r="P86" s="74">
        <f t="shared" si="35"/>
        <v>514459.25688889134</v>
      </c>
      <c r="Q86" s="74">
        <f t="shared" si="35"/>
        <v>857860.66488888976</v>
      </c>
      <c r="R86" s="74">
        <f t="shared" si="35"/>
        <v>1229008.168888889</v>
      </c>
      <c r="S86" s="74">
        <f t="shared" si="35"/>
        <v>1536149.8008888906</v>
      </c>
      <c r="T86" s="74">
        <f t="shared" si="35"/>
        <v>1834777.7528888923</v>
      </c>
      <c r="U86" s="74">
        <f t="shared" si="35"/>
        <v>1366855.0808888904</v>
      </c>
      <c r="V86" s="74">
        <f t="shared" si="35"/>
        <v>1486791.0648888934</v>
      </c>
      <c r="W86" s="74">
        <f t="shared" si="35"/>
        <v>1525693.8168888872</v>
      </c>
      <c r="X86" s="74">
        <f t="shared" si="35"/>
        <v>1492077.0168888944</v>
      </c>
      <c r="Y86" s="74">
        <f t="shared" si="35"/>
        <v>1523833.9448888858</v>
      </c>
      <c r="Z86" s="74">
        <f t="shared" si="35"/>
        <v>1487974.3075555637</v>
      </c>
      <c r="AA86" s="74">
        <f t="shared" si="35"/>
        <v>1495558.051555553</v>
      </c>
      <c r="AB86" s="74">
        <f t="shared" si="35"/>
        <v>1503141.7955555557</v>
      </c>
      <c r="AC86" s="74">
        <f t="shared" si="35"/>
        <v>709692.57955555827</v>
      </c>
      <c r="AD86" s="74">
        <f t="shared" si="35"/>
        <v>711588.51555555547</v>
      </c>
      <c r="AE86" s="74">
        <f t="shared" si="35"/>
        <v>802928.89599999716</v>
      </c>
      <c r="AF86" s="74">
        <f t="shared" si="35"/>
        <v>804824.83199999458</v>
      </c>
      <c r="AG86" s="74">
        <f t="shared" si="35"/>
        <v>0</v>
      </c>
      <c r="AH86" s="74">
        <f t="shared" si="35"/>
        <v>0</v>
      </c>
      <c r="AI86" s="74">
        <f t="shared" si="35"/>
        <v>0</v>
      </c>
      <c r="AJ86" s="74">
        <f t="shared" si="35"/>
        <v>0</v>
      </c>
      <c r="AK86" s="74">
        <f t="shared" si="35"/>
        <v>0</v>
      </c>
      <c r="AL86" s="74">
        <f t="shared" si="35"/>
        <v>0</v>
      </c>
      <c r="AM86" s="74">
        <f t="shared" si="35"/>
        <v>0</v>
      </c>
      <c r="AN86" s="74">
        <f t="shared" si="35"/>
        <v>0</v>
      </c>
    </row>
    <row r="87" spans="1:40" s="74" customFormat="1" ht="13.5" customHeight="1" x14ac:dyDescent="0.3">
      <c r="B87" s="74" t="s">
        <v>148</v>
      </c>
      <c r="D87" s="74">
        <f>D86</f>
        <v>-1035319.4444444445</v>
      </c>
      <c r="E87" s="74">
        <f t="shared" ref="E87:AN87" si="36">D87+E86</f>
        <v>-951387.49688888888</v>
      </c>
      <c r="F87" s="74">
        <f t="shared" si="36"/>
        <v>-721942.46133333328</v>
      </c>
      <c r="G87" s="74">
        <f t="shared" si="36"/>
        <v>-447942.92977777793</v>
      </c>
      <c r="H87" s="74">
        <f t="shared" si="36"/>
        <v>-688769.44888888905</v>
      </c>
      <c r="I87" s="74">
        <f t="shared" si="36"/>
        <v>-988506.51200000034</v>
      </c>
      <c r="J87" s="74">
        <f t="shared" si="36"/>
        <v>-1256504.6791111119</v>
      </c>
      <c r="K87" s="74">
        <f t="shared" si="36"/>
        <v>-1594315.0222222237</v>
      </c>
      <c r="L87" s="74">
        <f t="shared" si="36"/>
        <v>-1808670.5653333354</v>
      </c>
      <c r="M87" s="74">
        <f t="shared" si="36"/>
        <v>-1827051.7564444467</v>
      </c>
      <c r="N87" s="74">
        <f t="shared" si="36"/>
        <v>-1576939.0435555547</v>
      </c>
      <c r="O87" s="74">
        <f t="shared" si="36"/>
        <v>-1305615.5466666669</v>
      </c>
      <c r="P87" s="74">
        <f t="shared" si="36"/>
        <v>-791156.28977777553</v>
      </c>
      <c r="Q87" s="74">
        <f t="shared" si="36"/>
        <v>66704.375111114234</v>
      </c>
      <c r="R87" s="74">
        <f t="shared" si="36"/>
        <v>1295712.5440000033</v>
      </c>
      <c r="S87" s="74">
        <f t="shared" si="36"/>
        <v>2831862.3448888939</v>
      </c>
      <c r="T87" s="74">
        <f t="shared" si="36"/>
        <v>4666640.0977777857</v>
      </c>
      <c r="U87" s="74">
        <f t="shared" si="36"/>
        <v>6033495.1786666764</v>
      </c>
      <c r="V87" s="74">
        <f t="shared" si="36"/>
        <v>7520286.24355557</v>
      </c>
      <c r="W87" s="74">
        <f t="shared" si="36"/>
        <v>9045980.0604444575</v>
      </c>
      <c r="X87" s="74">
        <f t="shared" si="36"/>
        <v>10538057.077333352</v>
      </c>
      <c r="Y87" s="74">
        <f t="shared" si="36"/>
        <v>12061891.022222238</v>
      </c>
      <c r="Z87" s="74">
        <f t="shared" si="36"/>
        <v>13549865.329777801</v>
      </c>
      <c r="AA87" s="74">
        <f t="shared" si="36"/>
        <v>15045423.381333355</v>
      </c>
      <c r="AB87" s="74">
        <f t="shared" si="36"/>
        <v>16548565.176888911</v>
      </c>
      <c r="AC87" s="74">
        <f t="shared" si="36"/>
        <v>17258257.756444469</v>
      </c>
      <c r="AD87" s="74">
        <f t="shared" si="36"/>
        <v>17969846.272000026</v>
      </c>
      <c r="AE87" s="74">
        <f t="shared" si="36"/>
        <v>18772775.168000024</v>
      </c>
      <c r="AF87" s="74">
        <f t="shared" si="36"/>
        <v>19577600.000000019</v>
      </c>
      <c r="AG87" s="74">
        <f t="shared" si="36"/>
        <v>19577600.000000019</v>
      </c>
      <c r="AH87" s="74">
        <f t="shared" si="36"/>
        <v>19577600.000000019</v>
      </c>
      <c r="AI87" s="74">
        <f t="shared" si="36"/>
        <v>19577600.000000019</v>
      </c>
      <c r="AJ87" s="74">
        <f t="shared" si="36"/>
        <v>19577600.000000019</v>
      </c>
      <c r="AK87" s="74">
        <f t="shared" si="36"/>
        <v>19577600.000000019</v>
      </c>
      <c r="AL87" s="74">
        <f t="shared" si="36"/>
        <v>19577600.000000019</v>
      </c>
      <c r="AM87" s="74">
        <f t="shared" si="36"/>
        <v>19577600.000000019</v>
      </c>
      <c r="AN87" s="74">
        <f t="shared" si="36"/>
        <v>19577600.000000019</v>
      </c>
    </row>
    <row r="88" spans="1:40" ht="13.5" customHeight="1" x14ac:dyDescent="0.3"/>
    <row r="89" spans="1:40" s="38" customFormat="1" ht="13.5" customHeight="1" x14ac:dyDescent="0.3">
      <c r="A89" s="63"/>
      <c r="B89" s="75" t="s">
        <v>149</v>
      </c>
      <c r="C89" s="76"/>
      <c r="D89" s="77">
        <f>IRR(D86:AN86)</f>
        <v>0.17647004025199786</v>
      </c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</row>
    <row r="90" spans="1:40" ht="13.5" customHeight="1" x14ac:dyDescent="0.3">
      <c r="B90" s="78" t="s">
        <v>150</v>
      </c>
      <c r="C90" s="64"/>
      <c r="D90" s="59">
        <f>(1+D89)^12 -1</f>
        <v>6.0302450610714358</v>
      </c>
    </row>
    <row r="91" spans="1:40" ht="13.5" customHeight="1" x14ac:dyDescent="0.3">
      <c r="B91" s="28"/>
      <c r="C91" s="61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</row>
    <row r="92" spans="1:40" ht="13.5" customHeight="1" x14ac:dyDescent="0.3">
      <c r="B92" s="78" t="s">
        <v>151</v>
      </c>
      <c r="C92" s="64"/>
      <c r="D92" s="79">
        <f>AN87</f>
        <v>19577600.000000019</v>
      </c>
      <c r="E92" s="80"/>
    </row>
    <row r="93" spans="1:40" ht="13.5" customHeight="1" x14ac:dyDescent="0.3">
      <c r="B93" s="28" t="s">
        <v>152</v>
      </c>
      <c r="C93" s="61"/>
      <c r="D93" s="79">
        <f>-MIN(D87:AM87)</f>
        <v>1827051.7564444467</v>
      </c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</row>
    <row r="94" spans="1:40" ht="13.5" customHeight="1" x14ac:dyDescent="0.35">
      <c r="B94" s="81" t="s">
        <v>153</v>
      </c>
      <c r="C94" s="82"/>
      <c r="D94" s="83">
        <f>D93/C8</f>
        <v>2.2696295111111139E-2</v>
      </c>
      <c r="E94" s="31"/>
      <c r="F94" s="31"/>
      <c r="G94" s="84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</row>
    <row r="95" spans="1:40" ht="13.5" customHeight="1" x14ac:dyDescent="0.3">
      <c r="B95" s="28" t="s">
        <v>154</v>
      </c>
      <c r="C95" s="61"/>
      <c r="D95" s="85">
        <f>D92/AN46</f>
        <v>0.25333333333333352</v>
      </c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</row>
    <row r="96" spans="1:40" ht="13.5" customHeight="1" x14ac:dyDescent="0.3">
      <c r="B96" s="28" t="s">
        <v>155</v>
      </c>
      <c r="C96" s="61"/>
      <c r="D96" s="85">
        <v>0.12659999999999999</v>
      </c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</row>
    <row r="97" spans="1:40" ht="14.25" customHeight="1" x14ac:dyDescent="0.35">
      <c r="B97" s="31" t="s">
        <v>156</v>
      </c>
      <c r="D97" s="86">
        <f>(1+D96)^(1/12) - 1</f>
        <v>9.9831901409603852E-3</v>
      </c>
      <c r="E97" s="31"/>
      <c r="F97" s="31"/>
      <c r="G97" s="87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</row>
    <row r="98" spans="1:40" ht="13.5" customHeight="1" x14ac:dyDescent="0.3">
      <c r="A98" s="25" t="s">
        <v>110</v>
      </c>
      <c r="B98" s="88" t="s">
        <v>157</v>
      </c>
      <c r="C98" s="89"/>
      <c r="D98" s="88">
        <f>D86+NPV(D97,E86:AN86)</f>
        <v>15896165.930783302</v>
      </c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</row>
    <row r="99" spans="1:40" ht="13.5" customHeight="1" x14ac:dyDescent="0.3">
      <c r="B99" s="28"/>
      <c r="C99" s="61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</row>
    <row r="100" spans="1:40" ht="13.5" customHeight="1" x14ac:dyDescent="0.35">
      <c r="B100" s="78"/>
      <c r="C100" s="64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</row>
    <row r="101" spans="1:40" ht="13.5" customHeight="1" x14ac:dyDescent="0.3">
      <c r="B101" s="75"/>
      <c r="C101" s="91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</row>
    <row r="102" spans="1:40" ht="13.5" customHeight="1" x14ac:dyDescent="0.3">
      <c r="B102" s="75"/>
      <c r="C102" s="91"/>
      <c r="D102" s="92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</row>
    <row r="103" spans="1:40" ht="13.5" customHeight="1" x14ac:dyDescent="0.3">
      <c r="B103" s="78"/>
      <c r="D103" s="94"/>
    </row>
    <row r="104" spans="1:40" ht="13.5" customHeight="1" x14ac:dyDescent="0.35">
      <c r="B104" s="78"/>
      <c r="C104" s="64"/>
      <c r="D104" s="31"/>
    </row>
    <row r="105" spans="1:40" ht="14.25" customHeight="1" x14ac:dyDescent="0.35">
      <c r="B105" s="31"/>
      <c r="D105" s="31"/>
      <c r="F105" s="25" t="s">
        <v>158</v>
      </c>
    </row>
    <row r="106" spans="1:40" ht="14.25" customHeight="1" x14ac:dyDescent="0.35">
      <c r="B106" s="31"/>
      <c r="D106" s="31"/>
    </row>
    <row r="107" spans="1:40" ht="14.25" customHeight="1" x14ac:dyDescent="0.35">
      <c r="D107" s="31"/>
      <c r="E107" s="25" t="s">
        <v>159</v>
      </c>
      <c r="F107" s="58">
        <f>D89</f>
        <v>0.17647004025199786</v>
      </c>
      <c r="G107" s="58">
        <v>0.17</v>
      </c>
      <c r="H107" s="58">
        <v>0.19</v>
      </c>
      <c r="I107" s="58">
        <v>0.21</v>
      </c>
      <c r="J107" s="58">
        <v>0.23</v>
      </c>
      <c r="K107" s="58">
        <v>0.25</v>
      </c>
    </row>
    <row r="108" spans="1:40" ht="14.25" customHeight="1" x14ac:dyDescent="0.3">
      <c r="E108" s="58">
        <f t="shared" ref="E108:E114" si="37">1-F108</f>
        <v>0.32999999999999996</v>
      </c>
      <c r="F108" s="58">
        <v>0.67</v>
      </c>
      <c r="G108" s="95">
        <v>0.14449203528365701</v>
      </c>
      <c r="H108" s="95">
        <v>0.14449203528365701</v>
      </c>
      <c r="I108" s="95">
        <v>0.14449203528365701</v>
      </c>
      <c r="J108" s="95">
        <v>0.14449203528365701</v>
      </c>
      <c r="K108" s="95">
        <v>0.14449203528365701</v>
      </c>
    </row>
    <row r="109" spans="1:40" ht="14.25" customHeight="1" x14ac:dyDescent="0.3">
      <c r="E109" s="58">
        <f t="shared" si="37"/>
        <v>0.35</v>
      </c>
      <c r="F109" s="58">
        <v>0.65</v>
      </c>
      <c r="G109" s="95">
        <v>0.16413442056680499</v>
      </c>
      <c r="H109" s="95">
        <v>0.16413442056680499</v>
      </c>
      <c r="I109" s="95">
        <v>0.16413442056680499</v>
      </c>
      <c r="J109" s="95">
        <v>0.16413442056680499</v>
      </c>
      <c r="K109" s="95">
        <v>0.16413442056680499</v>
      </c>
    </row>
    <row r="110" spans="1:40" ht="14.25" customHeight="1" x14ac:dyDescent="0.3">
      <c r="E110" s="58">
        <f t="shared" si="37"/>
        <v>0.37</v>
      </c>
      <c r="F110" s="58">
        <v>0.63</v>
      </c>
      <c r="G110" s="95">
        <v>0.18423684211389901</v>
      </c>
      <c r="H110" s="95">
        <v>0.18423684211389901</v>
      </c>
      <c r="I110" s="95">
        <v>0.18423684211389901</v>
      </c>
      <c r="J110" s="95">
        <v>0.18423684211389901</v>
      </c>
      <c r="K110" s="95">
        <v>0.18423684211389901</v>
      </c>
    </row>
    <row r="111" spans="1:40" ht="14.25" customHeight="1" x14ac:dyDescent="0.3">
      <c r="E111" s="58">
        <f t="shared" si="37"/>
        <v>0.39</v>
      </c>
      <c r="F111" s="58">
        <v>0.61</v>
      </c>
      <c r="G111" s="95">
        <v>0.204805462591827</v>
      </c>
      <c r="H111" s="95">
        <v>0.204805462591827</v>
      </c>
      <c r="I111" s="95">
        <v>0.204805462591827</v>
      </c>
      <c r="J111" s="95">
        <v>0.204805462591827</v>
      </c>
      <c r="K111" s="95">
        <v>0.204805462591827</v>
      </c>
    </row>
    <row r="112" spans="1:40" ht="14.25" customHeight="1" x14ac:dyDescent="0.3">
      <c r="E112" s="58">
        <f t="shared" si="37"/>
        <v>0.41000000000000003</v>
      </c>
      <c r="F112" s="58">
        <v>0.59</v>
      </c>
      <c r="G112" s="95">
        <v>0.22585945808942601</v>
      </c>
      <c r="H112" s="95">
        <v>0.22585945808942601</v>
      </c>
      <c r="I112" s="95">
        <v>0.22585945808942601</v>
      </c>
      <c r="J112" s="95">
        <v>0.22585945808942601</v>
      </c>
      <c r="K112" s="95">
        <v>0.22585945808942601</v>
      </c>
    </row>
    <row r="113" spans="5:11" ht="14.25" customHeight="1" x14ac:dyDescent="0.3">
      <c r="E113" s="58">
        <f t="shared" si="37"/>
        <v>0.43000000000000005</v>
      </c>
      <c r="F113" s="58">
        <v>0.56999999999999995</v>
      </c>
      <c r="G113" s="95">
        <v>0.24743218687058899</v>
      </c>
      <c r="H113" s="95">
        <v>0.24743218687058899</v>
      </c>
      <c r="I113" s="95">
        <v>0.24743218687058899</v>
      </c>
      <c r="J113" s="95">
        <v>0.24743218687058899</v>
      </c>
      <c r="K113" s="95">
        <v>0.24743218687058899</v>
      </c>
    </row>
    <row r="114" spans="5:11" ht="14.25" customHeight="1" x14ac:dyDescent="0.3">
      <c r="E114" s="58">
        <f t="shared" si="37"/>
        <v>0.44999999999999996</v>
      </c>
      <c r="F114" s="58">
        <v>0.55000000000000004</v>
      </c>
      <c r="G114" s="95">
        <v>0.26957215106934002</v>
      </c>
      <c r="H114" s="95">
        <v>0.26957215106934002</v>
      </c>
      <c r="I114" s="95">
        <v>0.26957215106934002</v>
      </c>
      <c r="J114" s="95">
        <v>0.26957215106934002</v>
      </c>
      <c r="K114" s="95">
        <v>0.26957215106934002</v>
      </c>
    </row>
    <row r="115" spans="5:11" ht="14.25" customHeight="1" x14ac:dyDescent="0.3"/>
    <row r="116" spans="5:11" ht="14.25" customHeight="1" x14ac:dyDescent="0.3"/>
    <row r="117" spans="5:11" ht="14.25" customHeight="1" x14ac:dyDescent="0.3"/>
    <row r="118" spans="5:11" ht="14.25" customHeight="1" x14ac:dyDescent="0.3"/>
    <row r="119" spans="5:11" ht="14.25" customHeight="1" x14ac:dyDescent="0.3"/>
    <row r="120" spans="5:11" ht="14.25" customHeight="1" x14ac:dyDescent="0.3"/>
    <row r="121" spans="5:11" ht="14.25" customHeight="1" x14ac:dyDescent="0.3"/>
    <row r="122" spans="5:11" ht="14.25" customHeight="1" x14ac:dyDescent="0.3"/>
    <row r="123" spans="5:11" ht="14.25" customHeight="1" x14ac:dyDescent="0.3"/>
    <row r="124" spans="5:11" ht="14.25" customHeight="1" x14ac:dyDescent="0.3"/>
    <row r="125" spans="5:11" ht="14.25" customHeight="1" x14ac:dyDescent="0.3"/>
    <row r="126" spans="5:11" ht="14.25" customHeight="1" x14ac:dyDescent="0.3"/>
    <row r="127" spans="5:11" ht="14.25" customHeight="1" x14ac:dyDescent="0.3"/>
    <row r="128" spans="5:11" ht="13.5" customHeight="1" x14ac:dyDescent="0.3"/>
  </sheetData>
  <conditionalFormatting sqref="G108:K114">
    <cfRule type="colorScale" priority="1">
      <colorScale>
        <cfvo type="min"/>
        <cfvo type="max"/>
        <color rgb="FF0070C0"/>
        <color rgb="FF203864"/>
      </colorScale>
    </cfRule>
  </conditionalFormatting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F8D22-F6D1-4F55-A43D-9351B1566160}">
  <sheetPr>
    <tabColor rgb="FF002060"/>
  </sheetPr>
  <dimension ref="A1:AO128"/>
  <sheetViews>
    <sheetView showGridLines="0" workbookViewId="0">
      <selection activeCell="C6" sqref="C6"/>
    </sheetView>
  </sheetViews>
  <sheetFormatPr defaultColWidth="8.81640625" defaultRowHeight="14" x14ac:dyDescent="0.3"/>
  <cols>
    <col min="1" max="1" width="1.54296875" style="25" customWidth="1"/>
    <col min="2" max="2" width="37.36328125" style="25" customWidth="1"/>
    <col min="3" max="3" width="18.1796875" style="25" customWidth="1"/>
    <col min="4" max="4" width="25.453125" style="25" customWidth="1"/>
    <col min="5" max="5" width="22.7265625" style="25" customWidth="1"/>
    <col min="6" max="6" width="23.08984375" style="25" customWidth="1"/>
    <col min="7" max="7" width="23" style="25" customWidth="1"/>
    <col min="8" max="8" width="22.6328125" style="25" customWidth="1"/>
    <col min="9" max="12" width="20.6328125" style="25" customWidth="1"/>
    <col min="13" max="13" width="22.6328125" style="25" customWidth="1"/>
    <col min="14" max="14" width="21.26953125" style="25" customWidth="1"/>
    <col min="15" max="16" width="20.26953125" style="25" customWidth="1"/>
    <col min="17" max="19" width="18.1796875" style="25" customWidth="1"/>
    <col min="20" max="20" width="17.6328125" style="25" customWidth="1"/>
    <col min="21" max="22" width="18.1796875" style="25" customWidth="1"/>
    <col min="23" max="33" width="20.26953125" style="25" customWidth="1"/>
    <col min="34" max="39" width="18.1796875" style="25" customWidth="1"/>
    <col min="40" max="40" width="18.81640625" style="25" customWidth="1"/>
    <col min="41" max="41" width="14.36328125" style="25" customWidth="1"/>
    <col min="42" max="16384" width="8.81640625" style="25"/>
  </cols>
  <sheetData>
    <row r="1" spans="1:14" s="96" customFormat="1" ht="6.75" customHeight="1" x14ac:dyDescent="0.3">
      <c r="A1" s="96" t="s">
        <v>160</v>
      </c>
    </row>
    <row r="2" spans="1:14" s="96" customFormat="1" ht="36" customHeight="1" x14ac:dyDescent="0.3">
      <c r="A2" s="97"/>
      <c r="C2" s="98"/>
      <c r="D2" s="99"/>
      <c r="E2" s="99"/>
      <c r="F2" s="99"/>
      <c r="H2" s="99"/>
      <c r="I2" s="99"/>
      <c r="J2" s="99"/>
      <c r="K2" s="98"/>
      <c r="L2" s="98"/>
      <c r="M2" s="99"/>
      <c r="N2" s="99"/>
    </row>
    <row r="3" spans="1:14" s="96" customFormat="1" ht="6" customHeight="1" x14ac:dyDescent="0.3">
      <c r="G3" s="99"/>
    </row>
    <row r="6" spans="1:14" s="96" customFormat="1" ht="13.5" customHeight="1" x14ac:dyDescent="0.35">
      <c r="B6" s="100" t="s">
        <v>94</v>
      </c>
      <c r="C6" s="100"/>
      <c r="E6" s="101"/>
    </row>
    <row r="7" spans="1:14" ht="13.5" customHeight="1" x14ac:dyDescent="0.3"/>
    <row r="8" spans="1:14" ht="13.5" customHeight="1" x14ac:dyDescent="0.35">
      <c r="B8" s="28" t="s">
        <v>95</v>
      </c>
      <c r="C8" s="102">
        <f>C9*C10</f>
        <v>140000000</v>
      </c>
      <c r="D8" s="30"/>
      <c r="E8" s="31"/>
      <c r="F8" s="31"/>
      <c r="H8" s="25" t="s">
        <v>96</v>
      </c>
    </row>
    <row r="9" spans="1:14" ht="13.5" customHeight="1" x14ac:dyDescent="0.35">
      <c r="B9" s="28" t="s">
        <v>97</v>
      </c>
      <c r="C9" s="103">
        <v>350</v>
      </c>
      <c r="D9" s="30"/>
      <c r="E9" s="31"/>
      <c r="F9" s="31"/>
      <c r="H9" s="25" t="s">
        <v>98</v>
      </c>
    </row>
    <row r="10" spans="1:14" ht="13.5" customHeight="1" x14ac:dyDescent="0.35">
      <c r="B10" s="28" t="s">
        <v>99</v>
      </c>
      <c r="C10" s="102">
        <v>400000</v>
      </c>
      <c r="D10" s="30"/>
      <c r="E10" s="31"/>
      <c r="F10" s="31"/>
    </row>
    <row r="11" spans="1:14" ht="13.5" customHeight="1" x14ac:dyDescent="0.35">
      <c r="B11" s="25" t="s">
        <v>100</v>
      </c>
      <c r="C11" s="102">
        <f>C8-(C8*C19)</f>
        <v>134400000</v>
      </c>
      <c r="E11" s="33">
        <f>C8*C13</f>
        <v>81200000</v>
      </c>
      <c r="F11" s="31"/>
    </row>
    <row r="12" spans="1:14" ht="13.5" customHeight="1" x14ac:dyDescent="0.35">
      <c r="C12" s="104"/>
      <c r="E12" s="31"/>
      <c r="F12" s="31"/>
      <c r="H12" s="105">
        <f>D89</f>
        <v>0.31895098601822225</v>
      </c>
      <c r="I12" s="58">
        <v>0.68</v>
      </c>
      <c r="J12" s="58">
        <v>0.66</v>
      </c>
      <c r="K12" s="58">
        <v>0.64</v>
      </c>
      <c r="L12" s="58">
        <v>0.62</v>
      </c>
      <c r="M12" s="58">
        <v>0.6</v>
      </c>
      <c r="N12" s="58">
        <v>0.57999999999999996</v>
      </c>
    </row>
    <row r="13" spans="1:14" ht="13.5" customHeight="1" x14ac:dyDescent="0.3">
      <c r="B13" s="28" t="s">
        <v>101</v>
      </c>
      <c r="C13" s="50">
        <f>C14+C16+C17</f>
        <v>0.57999999999999996</v>
      </c>
      <c r="D13" s="30"/>
      <c r="H13" s="58">
        <v>0</v>
      </c>
      <c r="I13" s="106">
        <v>0.118551272081569</v>
      </c>
      <c r="J13" s="106">
        <v>0.133731389762172</v>
      </c>
      <c r="K13" s="106">
        <v>0.148972944565055</v>
      </c>
      <c r="L13" s="106">
        <v>0.164344504236484</v>
      </c>
      <c r="M13" s="106">
        <v>0.17990846969494001</v>
      </c>
      <c r="N13" s="106">
        <v>0.19572400853901201</v>
      </c>
    </row>
    <row r="14" spans="1:14" ht="13.5" customHeight="1" x14ac:dyDescent="0.3">
      <c r="B14" s="28" t="s">
        <v>102</v>
      </c>
      <c r="C14" s="50">
        <v>0.01</v>
      </c>
      <c r="D14" s="30"/>
      <c r="H14" s="58">
        <v>0.02</v>
      </c>
      <c r="I14" s="106">
        <v>0.13334055570437001</v>
      </c>
      <c r="J14" s="106">
        <v>0.15012118752902601</v>
      </c>
      <c r="K14" s="106">
        <v>0.167030020305691</v>
      </c>
      <c r="L14" s="106">
        <v>0.18414334579028599</v>
      </c>
      <c r="M14" s="106">
        <v>0.201531346696014</v>
      </c>
      <c r="N14" s="106">
        <v>0.21926146744251199</v>
      </c>
    </row>
    <row r="15" spans="1:14" ht="13.5" customHeight="1" x14ac:dyDescent="0.3">
      <c r="B15" s="28"/>
      <c r="C15" s="50"/>
      <c r="D15" s="30"/>
      <c r="H15" s="58">
        <v>0.04</v>
      </c>
      <c r="I15" s="106">
        <v>0.15032020127307399</v>
      </c>
      <c r="J15" s="106">
        <v>0.16899537270913301</v>
      </c>
      <c r="K15" s="106">
        <v>0.18788127351862499</v>
      </c>
      <c r="L15" s="106">
        <v>0.20706094896244001</v>
      </c>
      <c r="M15" s="106">
        <v>0.22661149604323999</v>
      </c>
      <c r="N15" s="106">
        <v>0.24660797404559601</v>
      </c>
    </row>
    <row r="16" spans="1:14" ht="13.5" customHeight="1" x14ac:dyDescent="0.3">
      <c r="B16" s="28" t="s">
        <v>161</v>
      </c>
      <c r="C16" s="50">
        <v>0.49</v>
      </c>
      <c r="D16" s="30"/>
      <c r="H16" s="58">
        <v>0.06</v>
      </c>
      <c r="I16" s="106">
        <v>0.170081796405948</v>
      </c>
      <c r="J16" s="106">
        <v>0.19102041506143499</v>
      </c>
      <c r="K16" s="106">
        <v>0.21226334647640999</v>
      </c>
      <c r="L16" s="106">
        <v>0.23389689066439101</v>
      </c>
      <c r="M16" s="106">
        <v>0.25600185450131901</v>
      </c>
      <c r="N16" s="106">
        <v>0.27865820290779297</v>
      </c>
    </row>
    <row r="17" spans="2:41" ht="13.5" customHeight="1" x14ac:dyDescent="0.3">
      <c r="B17" s="28" t="s">
        <v>104</v>
      </c>
      <c r="C17" s="50">
        <v>0.08</v>
      </c>
      <c r="D17" s="30"/>
      <c r="H17" s="58">
        <v>0.08</v>
      </c>
      <c r="I17" s="106">
        <v>0.193422478338278</v>
      </c>
      <c r="J17" s="106">
        <v>0.21707204082726</v>
      </c>
      <c r="K17" s="106">
        <v>0.24111336901744401</v>
      </c>
      <c r="L17" s="106">
        <v>0.26562859845734499</v>
      </c>
      <c r="M17" s="106">
        <v>0.29069623101119202</v>
      </c>
      <c r="N17" s="106">
        <v>0.31639682193691199</v>
      </c>
    </row>
    <row r="18" spans="2:41" ht="13.5" customHeight="1" x14ac:dyDescent="0.3">
      <c r="C18" s="50"/>
      <c r="H18" s="58">
        <v>0.1</v>
      </c>
      <c r="I18" s="106">
        <v>0.22139578888754699</v>
      </c>
      <c r="J18" s="106">
        <v>0.248254264213008</v>
      </c>
      <c r="K18" s="106">
        <v>0.27554482026162802</v>
      </c>
      <c r="L18" s="106">
        <v>0.30333606100083899</v>
      </c>
      <c r="M18" s="106">
        <v>0.33169951658586599</v>
      </c>
      <c r="N18" s="106">
        <v>0.36071597708186598</v>
      </c>
    </row>
    <row r="19" spans="2:41" ht="13.5" customHeight="1" x14ac:dyDescent="0.3">
      <c r="B19" s="25" t="s">
        <v>105</v>
      </c>
      <c r="C19" s="50">
        <v>0.04</v>
      </c>
    </row>
    <row r="20" spans="2:41" ht="13.5" customHeight="1" x14ac:dyDescent="0.3">
      <c r="B20" s="28" t="s">
        <v>106</v>
      </c>
      <c r="C20" s="50">
        <v>0.03</v>
      </c>
      <c r="D20" s="30"/>
    </row>
    <row r="21" spans="2:41" ht="13.5" customHeight="1" x14ac:dyDescent="0.3">
      <c r="B21" s="28" t="s">
        <v>107</v>
      </c>
      <c r="C21" s="50">
        <v>0</v>
      </c>
      <c r="D21" s="30"/>
    </row>
    <row r="22" spans="2:41" ht="13.5" customHeight="1" x14ac:dyDescent="0.3">
      <c r="B22" s="28" t="s">
        <v>108</v>
      </c>
      <c r="C22" s="50">
        <v>0.04</v>
      </c>
      <c r="D22" s="30"/>
    </row>
    <row r="23" spans="2:41" ht="13.5" customHeight="1" x14ac:dyDescent="0.3">
      <c r="B23" s="28" t="s">
        <v>162</v>
      </c>
      <c r="C23" s="37">
        <v>0</v>
      </c>
      <c r="D23" s="30"/>
    </row>
    <row r="24" spans="2:41" s="38" customFormat="1" ht="13.5" customHeight="1" x14ac:dyDescent="0.3">
      <c r="B24" s="28" t="s">
        <v>109</v>
      </c>
      <c r="C24" s="41">
        <v>0.01</v>
      </c>
      <c r="D24" s="30"/>
      <c r="E24" s="39"/>
      <c r="H24" s="39"/>
      <c r="K24" s="39"/>
      <c r="N24" s="39"/>
      <c r="Q24" s="39"/>
      <c r="T24" s="39"/>
      <c r="W24" s="39"/>
      <c r="Z24" s="39"/>
      <c r="AC24" s="39"/>
      <c r="AF24" s="39"/>
      <c r="AI24" s="39"/>
      <c r="AL24" s="39"/>
      <c r="AO24" s="39"/>
    </row>
    <row r="25" spans="2:41" s="50" customFormat="1" ht="13.5" customHeight="1" x14ac:dyDescent="0.3">
      <c r="B25" s="50" t="s">
        <v>163</v>
      </c>
      <c r="F25" s="50">
        <v>0.25</v>
      </c>
      <c r="I25" s="50">
        <f>(1-F25) * 20/75</f>
        <v>0.2</v>
      </c>
      <c r="L25" s="50">
        <f>(1-F25)*16/75</f>
        <v>0.16</v>
      </c>
      <c r="O25" s="50">
        <f>(1-F25)*10/75</f>
        <v>0.1</v>
      </c>
      <c r="R25" s="50">
        <f>(1-F25)*6/75</f>
        <v>0.06</v>
      </c>
      <c r="U25" s="50">
        <f>(1-F25)*6/75</f>
        <v>0.06</v>
      </c>
      <c r="X25" s="50">
        <f>(1-F25)*5/75</f>
        <v>0.05</v>
      </c>
      <c r="AA25" s="50">
        <f>(1-F25)*5/75</f>
        <v>0.05</v>
      </c>
      <c r="AD25" s="50">
        <f>(1-F25)*4/75</f>
        <v>0.04</v>
      </c>
      <c r="AG25" s="50">
        <f>(1-F25)*3/75</f>
        <v>0.03</v>
      </c>
    </row>
    <row r="26" spans="2:41" s="38" customFormat="1" ht="13.5" customHeight="1" x14ac:dyDescent="0.3">
      <c r="B26" s="28"/>
      <c r="C26" s="41"/>
      <c r="D26" s="30"/>
      <c r="E26" s="39"/>
      <c r="H26" s="39"/>
      <c r="K26" s="39"/>
      <c r="N26" s="39"/>
      <c r="Q26" s="39"/>
      <c r="T26" s="39"/>
      <c r="W26" s="39"/>
      <c r="Z26" s="39"/>
      <c r="AC26" s="39"/>
      <c r="AF26" s="39"/>
      <c r="AI26" s="39"/>
      <c r="AL26" s="39"/>
      <c r="AO26" s="39"/>
    </row>
    <row r="27" spans="2:41" s="96" customFormat="1" ht="13.5" customHeight="1" x14ac:dyDescent="0.3">
      <c r="B27" s="107"/>
      <c r="C27" s="108"/>
      <c r="D27" s="109"/>
    </row>
    <row r="28" spans="2:41" s="110" customFormat="1" ht="13.5" customHeight="1" x14ac:dyDescent="0.3">
      <c r="D28" s="110">
        <v>0</v>
      </c>
      <c r="E28" s="110">
        <v>1</v>
      </c>
      <c r="F28" s="110">
        <v>2</v>
      </c>
      <c r="G28" s="110">
        <v>3</v>
      </c>
      <c r="H28" s="110">
        <v>4</v>
      </c>
      <c r="I28" s="110">
        <v>5</v>
      </c>
      <c r="J28" s="110">
        <v>6</v>
      </c>
      <c r="K28" s="110">
        <v>7</v>
      </c>
      <c r="L28" s="110">
        <v>8</v>
      </c>
      <c r="M28" s="110">
        <v>9</v>
      </c>
      <c r="N28" s="110">
        <v>10</v>
      </c>
      <c r="O28" s="110">
        <v>11</v>
      </c>
      <c r="P28" s="110">
        <v>12</v>
      </c>
      <c r="Q28" s="110">
        <v>13</v>
      </c>
      <c r="R28" s="110">
        <v>14</v>
      </c>
      <c r="S28" s="110">
        <v>15</v>
      </c>
      <c r="T28" s="110">
        <v>16</v>
      </c>
      <c r="U28" s="110">
        <v>17</v>
      </c>
      <c r="V28" s="110">
        <v>18</v>
      </c>
      <c r="W28" s="110">
        <v>19</v>
      </c>
      <c r="X28" s="110">
        <v>20</v>
      </c>
      <c r="Y28" s="110">
        <v>21</v>
      </c>
      <c r="Z28" s="110">
        <v>22</v>
      </c>
      <c r="AA28" s="110">
        <v>23</v>
      </c>
      <c r="AB28" s="110">
        <v>24</v>
      </c>
      <c r="AC28" s="110">
        <v>25</v>
      </c>
      <c r="AD28" s="110">
        <v>26</v>
      </c>
      <c r="AE28" s="110">
        <v>27</v>
      </c>
      <c r="AF28" s="110">
        <v>28</v>
      </c>
      <c r="AG28" s="110">
        <f t="shared" ref="AG28:AN28" si="0">AF28+1</f>
        <v>29</v>
      </c>
      <c r="AH28" s="110">
        <f t="shared" si="0"/>
        <v>30</v>
      </c>
      <c r="AI28" s="110">
        <f t="shared" si="0"/>
        <v>31</v>
      </c>
      <c r="AJ28" s="110">
        <f t="shared" si="0"/>
        <v>32</v>
      </c>
      <c r="AK28" s="110">
        <f t="shared" si="0"/>
        <v>33</v>
      </c>
      <c r="AL28" s="110">
        <f t="shared" si="0"/>
        <v>34</v>
      </c>
      <c r="AM28" s="110">
        <f t="shared" si="0"/>
        <v>35</v>
      </c>
      <c r="AN28" s="110">
        <f t="shared" si="0"/>
        <v>36</v>
      </c>
    </row>
    <row r="29" spans="2:41" ht="13.5" customHeight="1" x14ac:dyDescent="0.3">
      <c r="D29" s="30"/>
    </row>
    <row r="30" spans="2:41" s="47" customFormat="1" ht="13.5" customHeight="1" x14ac:dyDescent="0.3">
      <c r="B30" s="48" t="s">
        <v>111</v>
      </c>
      <c r="C30" s="49"/>
      <c r="D30" s="50">
        <v>0</v>
      </c>
      <c r="E30" s="35">
        <v>0.15</v>
      </c>
      <c r="F30" s="35">
        <v>0.12</v>
      </c>
      <c r="G30" s="35">
        <v>0.09</v>
      </c>
      <c r="H30" s="35">
        <v>7.0000000000000007E-2</v>
      </c>
      <c r="I30" s="35">
        <v>0.06</v>
      </c>
      <c r="J30" s="35">
        <v>0.06</v>
      </c>
      <c r="K30" s="35">
        <v>0.05</v>
      </c>
      <c r="L30" s="35">
        <v>0.05</v>
      </c>
      <c r="M30" s="35">
        <v>0.04</v>
      </c>
      <c r="N30" s="35">
        <v>0.04</v>
      </c>
      <c r="O30" s="35">
        <v>0.04</v>
      </c>
      <c r="P30" s="35">
        <v>0.03</v>
      </c>
      <c r="Q30" s="35">
        <v>0.03</v>
      </c>
      <c r="R30" s="35">
        <v>0.03</v>
      </c>
      <c r="S30" s="35">
        <v>0.03</v>
      </c>
      <c r="T30" s="35">
        <v>0.02</v>
      </c>
      <c r="U30" s="35">
        <v>0.02</v>
      </c>
      <c r="V30" s="35">
        <v>0.02</v>
      </c>
      <c r="W30" s="35">
        <v>0.02</v>
      </c>
      <c r="X30" s="35">
        <v>0.02</v>
      </c>
      <c r="Y30" s="35">
        <v>0.01</v>
      </c>
      <c r="Z30" s="35">
        <v>0</v>
      </c>
      <c r="AA30" s="35">
        <v>0</v>
      </c>
      <c r="AB30" s="35">
        <v>0</v>
      </c>
      <c r="AC30" s="35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</row>
    <row r="31" spans="2:41" s="47" customFormat="1" ht="13.5" customHeight="1" x14ac:dyDescent="0.3">
      <c r="B31" s="48"/>
      <c r="C31" s="49"/>
      <c r="D31" s="50"/>
      <c r="E31" s="50"/>
      <c r="F31" s="4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</row>
    <row r="32" spans="2:41" s="51" customFormat="1" ht="13.5" customHeight="1" x14ac:dyDescent="0.3">
      <c r="B32" s="52" t="s">
        <v>112</v>
      </c>
      <c r="C32" s="53"/>
      <c r="D32" s="52">
        <f>D30</f>
        <v>0</v>
      </c>
      <c r="E32" s="52">
        <f t="shared" ref="E32:AN32" si="1">E30+D32</f>
        <v>0.15</v>
      </c>
      <c r="F32" s="52">
        <f t="shared" si="1"/>
        <v>0.27</v>
      </c>
      <c r="G32" s="52">
        <f t="shared" si="1"/>
        <v>0.36</v>
      </c>
      <c r="H32" s="52">
        <f t="shared" si="1"/>
        <v>0.43</v>
      </c>
      <c r="I32" s="52">
        <f t="shared" si="1"/>
        <v>0.49</v>
      </c>
      <c r="J32" s="52">
        <f t="shared" si="1"/>
        <v>0.55000000000000004</v>
      </c>
      <c r="K32" s="52">
        <f t="shared" si="1"/>
        <v>0.60000000000000009</v>
      </c>
      <c r="L32" s="52">
        <f t="shared" si="1"/>
        <v>0.65000000000000013</v>
      </c>
      <c r="M32" s="52">
        <f t="shared" si="1"/>
        <v>0.69000000000000017</v>
      </c>
      <c r="N32" s="52">
        <f t="shared" si="1"/>
        <v>0.7300000000000002</v>
      </c>
      <c r="O32" s="52">
        <f t="shared" si="1"/>
        <v>0.77000000000000024</v>
      </c>
      <c r="P32" s="52">
        <f t="shared" si="1"/>
        <v>0.80000000000000027</v>
      </c>
      <c r="Q32" s="52">
        <f t="shared" si="1"/>
        <v>0.83000000000000029</v>
      </c>
      <c r="R32" s="52">
        <f t="shared" si="1"/>
        <v>0.86000000000000032</v>
      </c>
      <c r="S32" s="52">
        <f t="shared" si="1"/>
        <v>0.89000000000000035</v>
      </c>
      <c r="T32" s="52">
        <f t="shared" si="1"/>
        <v>0.91000000000000036</v>
      </c>
      <c r="U32" s="52">
        <f t="shared" si="1"/>
        <v>0.93000000000000038</v>
      </c>
      <c r="V32" s="52">
        <f t="shared" si="1"/>
        <v>0.9500000000000004</v>
      </c>
      <c r="W32" s="52">
        <f t="shared" si="1"/>
        <v>0.97000000000000042</v>
      </c>
      <c r="X32" s="52">
        <f t="shared" si="1"/>
        <v>0.99000000000000044</v>
      </c>
      <c r="Y32" s="52">
        <f t="shared" si="1"/>
        <v>1.0000000000000004</v>
      </c>
      <c r="Z32" s="52">
        <f t="shared" si="1"/>
        <v>1.0000000000000004</v>
      </c>
      <c r="AA32" s="52">
        <f t="shared" si="1"/>
        <v>1.0000000000000004</v>
      </c>
      <c r="AB32" s="52">
        <f t="shared" si="1"/>
        <v>1.0000000000000004</v>
      </c>
      <c r="AC32" s="52">
        <f t="shared" si="1"/>
        <v>1.0000000000000004</v>
      </c>
      <c r="AD32" s="52">
        <f t="shared" si="1"/>
        <v>1.0000000000000004</v>
      </c>
      <c r="AE32" s="52">
        <f t="shared" si="1"/>
        <v>1.0000000000000004</v>
      </c>
      <c r="AF32" s="52">
        <f t="shared" si="1"/>
        <v>1.0000000000000004</v>
      </c>
      <c r="AG32" s="52">
        <f t="shared" si="1"/>
        <v>1.0000000000000004</v>
      </c>
      <c r="AH32" s="52">
        <f t="shared" si="1"/>
        <v>1.0000000000000004</v>
      </c>
      <c r="AI32" s="52">
        <f t="shared" si="1"/>
        <v>1.0000000000000004</v>
      </c>
      <c r="AJ32" s="52">
        <f t="shared" si="1"/>
        <v>1.0000000000000004</v>
      </c>
      <c r="AK32" s="52">
        <f t="shared" si="1"/>
        <v>1.0000000000000004</v>
      </c>
      <c r="AL32" s="52">
        <f t="shared" si="1"/>
        <v>1.0000000000000004</v>
      </c>
      <c r="AM32" s="52">
        <f t="shared" si="1"/>
        <v>1.0000000000000004</v>
      </c>
      <c r="AN32" s="52">
        <f t="shared" si="1"/>
        <v>1.0000000000000004</v>
      </c>
    </row>
    <row r="33" spans="1:40" s="54" customFormat="1" ht="13.5" customHeight="1" x14ac:dyDescent="0.3">
      <c r="B33" s="55" t="s">
        <v>113</v>
      </c>
      <c r="C33" s="56"/>
      <c r="D33" s="55">
        <f t="shared" ref="D33:AN33" si="2">$C$9*D30</f>
        <v>0</v>
      </c>
      <c r="E33" s="55">
        <f t="shared" si="2"/>
        <v>52.5</v>
      </c>
      <c r="F33" s="55">
        <f t="shared" si="2"/>
        <v>42</v>
      </c>
      <c r="G33" s="55">
        <f t="shared" si="2"/>
        <v>31.5</v>
      </c>
      <c r="H33" s="55">
        <f t="shared" si="2"/>
        <v>24.500000000000004</v>
      </c>
      <c r="I33" s="55">
        <f t="shared" si="2"/>
        <v>21</v>
      </c>
      <c r="J33" s="55">
        <f t="shared" si="2"/>
        <v>21</v>
      </c>
      <c r="K33" s="55">
        <f t="shared" si="2"/>
        <v>17.5</v>
      </c>
      <c r="L33" s="55">
        <f t="shared" si="2"/>
        <v>17.5</v>
      </c>
      <c r="M33" s="55">
        <f t="shared" si="2"/>
        <v>14</v>
      </c>
      <c r="N33" s="55">
        <f t="shared" si="2"/>
        <v>14</v>
      </c>
      <c r="O33" s="55">
        <f t="shared" si="2"/>
        <v>14</v>
      </c>
      <c r="P33" s="55">
        <f t="shared" si="2"/>
        <v>10.5</v>
      </c>
      <c r="Q33" s="55">
        <f t="shared" si="2"/>
        <v>10.5</v>
      </c>
      <c r="R33" s="55">
        <f t="shared" si="2"/>
        <v>10.5</v>
      </c>
      <c r="S33" s="55">
        <f t="shared" si="2"/>
        <v>10.5</v>
      </c>
      <c r="T33" s="55">
        <f t="shared" si="2"/>
        <v>7</v>
      </c>
      <c r="U33" s="55">
        <f t="shared" si="2"/>
        <v>7</v>
      </c>
      <c r="V33" s="55">
        <f t="shared" si="2"/>
        <v>7</v>
      </c>
      <c r="W33" s="55">
        <f t="shared" si="2"/>
        <v>7</v>
      </c>
      <c r="X33" s="55">
        <f t="shared" si="2"/>
        <v>7</v>
      </c>
      <c r="Y33" s="55">
        <f t="shared" si="2"/>
        <v>3.5</v>
      </c>
      <c r="Z33" s="55">
        <f t="shared" si="2"/>
        <v>0</v>
      </c>
      <c r="AA33" s="55">
        <f t="shared" si="2"/>
        <v>0</v>
      </c>
      <c r="AB33" s="55">
        <f t="shared" si="2"/>
        <v>0</v>
      </c>
      <c r="AC33" s="55">
        <f t="shared" si="2"/>
        <v>0</v>
      </c>
      <c r="AD33" s="55">
        <f t="shared" si="2"/>
        <v>0</v>
      </c>
      <c r="AE33" s="55">
        <f t="shared" si="2"/>
        <v>0</v>
      </c>
      <c r="AF33" s="55">
        <f t="shared" si="2"/>
        <v>0</v>
      </c>
      <c r="AG33" s="55">
        <f t="shared" si="2"/>
        <v>0</v>
      </c>
      <c r="AH33" s="55">
        <f t="shared" si="2"/>
        <v>0</v>
      </c>
      <c r="AI33" s="55">
        <f t="shared" si="2"/>
        <v>0</v>
      </c>
      <c r="AJ33" s="55">
        <f t="shared" si="2"/>
        <v>0</v>
      </c>
      <c r="AK33" s="55">
        <f t="shared" si="2"/>
        <v>0</v>
      </c>
      <c r="AL33" s="55">
        <f t="shared" si="2"/>
        <v>0</v>
      </c>
      <c r="AM33" s="55">
        <f t="shared" si="2"/>
        <v>0</v>
      </c>
      <c r="AN33" s="55">
        <f t="shared" si="2"/>
        <v>0</v>
      </c>
    </row>
    <row r="34" spans="1:40" s="54" customFormat="1" ht="13.5" customHeight="1" x14ac:dyDescent="0.3">
      <c r="B34" s="55" t="s">
        <v>114</v>
      </c>
      <c r="C34" s="56"/>
      <c r="D34" s="55">
        <f>D33</f>
        <v>0</v>
      </c>
      <c r="E34" s="55">
        <f t="shared" ref="E34:AN34" si="3">E33+D34</f>
        <v>52.5</v>
      </c>
      <c r="F34" s="55">
        <f t="shared" si="3"/>
        <v>94.5</v>
      </c>
      <c r="G34" s="55">
        <f t="shared" si="3"/>
        <v>126</v>
      </c>
      <c r="H34" s="55">
        <f t="shared" si="3"/>
        <v>150.5</v>
      </c>
      <c r="I34" s="55">
        <f t="shared" si="3"/>
        <v>171.5</v>
      </c>
      <c r="J34" s="55">
        <f t="shared" si="3"/>
        <v>192.5</v>
      </c>
      <c r="K34" s="55">
        <f t="shared" si="3"/>
        <v>210</v>
      </c>
      <c r="L34" s="55">
        <f t="shared" si="3"/>
        <v>227.5</v>
      </c>
      <c r="M34" s="55">
        <f t="shared" si="3"/>
        <v>241.5</v>
      </c>
      <c r="N34" s="55">
        <f t="shared" si="3"/>
        <v>255.5</v>
      </c>
      <c r="O34" s="55">
        <f t="shared" si="3"/>
        <v>269.5</v>
      </c>
      <c r="P34" s="55">
        <f t="shared" si="3"/>
        <v>280</v>
      </c>
      <c r="Q34" s="55">
        <f t="shared" si="3"/>
        <v>290.5</v>
      </c>
      <c r="R34" s="55">
        <f t="shared" si="3"/>
        <v>301</v>
      </c>
      <c r="S34" s="55">
        <f t="shared" si="3"/>
        <v>311.5</v>
      </c>
      <c r="T34" s="55">
        <f t="shared" si="3"/>
        <v>318.5</v>
      </c>
      <c r="U34" s="55">
        <f t="shared" si="3"/>
        <v>325.5</v>
      </c>
      <c r="V34" s="55">
        <f t="shared" si="3"/>
        <v>332.5</v>
      </c>
      <c r="W34" s="55">
        <f t="shared" si="3"/>
        <v>339.5</v>
      </c>
      <c r="X34" s="55">
        <f t="shared" si="3"/>
        <v>346.5</v>
      </c>
      <c r="Y34" s="55">
        <f t="shared" si="3"/>
        <v>350</v>
      </c>
      <c r="Z34" s="55">
        <f t="shared" si="3"/>
        <v>350</v>
      </c>
      <c r="AA34" s="55">
        <f t="shared" si="3"/>
        <v>350</v>
      </c>
      <c r="AB34" s="55">
        <f t="shared" si="3"/>
        <v>350</v>
      </c>
      <c r="AC34" s="55">
        <f t="shared" si="3"/>
        <v>350</v>
      </c>
      <c r="AD34" s="55">
        <f t="shared" si="3"/>
        <v>350</v>
      </c>
      <c r="AE34" s="55">
        <f t="shared" si="3"/>
        <v>350</v>
      </c>
      <c r="AF34" s="55">
        <f t="shared" si="3"/>
        <v>350</v>
      </c>
      <c r="AG34" s="55">
        <f t="shared" si="3"/>
        <v>350</v>
      </c>
      <c r="AH34" s="55">
        <f t="shared" si="3"/>
        <v>350</v>
      </c>
      <c r="AI34" s="55">
        <f t="shared" si="3"/>
        <v>350</v>
      </c>
      <c r="AJ34" s="55">
        <f t="shared" si="3"/>
        <v>350</v>
      </c>
      <c r="AK34" s="55">
        <f t="shared" si="3"/>
        <v>350</v>
      </c>
      <c r="AL34" s="55">
        <f t="shared" si="3"/>
        <v>350</v>
      </c>
      <c r="AM34" s="55">
        <f t="shared" si="3"/>
        <v>350</v>
      </c>
      <c r="AN34" s="55">
        <f t="shared" si="3"/>
        <v>350</v>
      </c>
    </row>
    <row r="35" spans="1:40" s="57" customFormat="1" ht="13.5" customHeight="1" x14ac:dyDescent="0.3">
      <c r="B35" s="57" t="s">
        <v>115</v>
      </c>
      <c r="D35" s="57">
        <f>D32*C8</f>
        <v>0</v>
      </c>
      <c r="E35" s="57">
        <f t="shared" ref="E35:AN35" si="4">E32*$C$8</f>
        <v>21000000</v>
      </c>
      <c r="F35" s="57">
        <f t="shared" si="4"/>
        <v>37800000</v>
      </c>
      <c r="G35" s="57">
        <f t="shared" si="4"/>
        <v>50400000</v>
      </c>
      <c r="H35" s="57">
        <f t="shared" si="4"/>
        <v>60200000</v>
      </c>
      <c r="I35" s="57">
        <f t="shared" si="4"/>
        <v>68600000</v>
      </c>
      <c r="J35" s="57">
        <f t="shared" si="4"/>
        <v>77000000</v>
      </c>
      <c r="K35" s="57">
        <f t="shared" si="4"/>
        <v>84000000.000000015</v>
      </c>
      <c r="L35" s="57">
        <f t="shared" si="4"/>
        <v>91000000.000000015</v>
      </c>
      <c r="M35" s="57">
        <f t="shared" si="4"/>
        <v>96600000.00000003</v>
      </c>
      <c r="N35" s="57">
        <f t="shared" si="4"/>
        <v>102200000.00000003</v>
      </c>
      <c r="O35" s="57">
        <f t="shared" si="4"/>
        <v>107800000.00000003</v>
      </c>
      <c r="P35" s="57">
        <f t="shared" si="4"/>
        <v>112000000.00000004</v>
      </c>
      <c r="Q35" s="57">
        <f t="shared" si="4"/>
        <v>116200000.00000004</v>
      </c>
      <c r="R35" s="57">
        <f t="shared" si="4"/>
        <v>120400000.00000004</v>
      </c>
      <c r="S35" s="57">
        <f t="shared" si="4"/>
        <v>124600000.00000004</v>
      </c>
      <c r="T35" s="57">
        <f t="shared" si="4"/>
        <v>127400000.00000004</v>
      </c>
      <c r="U35" s="57">
        <f t="shared" si="4"/>
        <v>130200000.00000006</v>
      </c>
      <c r="V35" s="57">
        <f t="shared" si="4"/>
        <v>133000000.00000006</v>
      </c>
      <c r="W35" s="57">
        <f t="shared" si="4"/>
        <v>135800000.00000006</v>
      </c>
      <c r="X35" s="57">
        <f t="shared" si="4"/>
        <v>138600000.00000006</v>
      </c>
      <c r="Y35" s="57">
        <f t="shared" si="4"/>
        <v>140000000.00000006</v>
      </c>
      <c r="Z35" s="57">
        <f t="shared" si="4"/>
        <v>140000000.00000006</v>
      </c>
      <c r="AA35" s="57">
        <f t="shared" si="4"/>
        <v>140000000.00000006</v>
      </c>
      <c r="AB35" s="57">
        <f t="shared" si="4"/>
        <v>140000000.00000006</v>
      </c>
      <c r="AC35" s="57">
        <f t="shared" si="4"/>
        <v>140000000.00000006</v>
      </c>
      <c r="AD35" s="57">
        <f t="shared" si="4"/>
        <v>140000000.00000006</v>
      </c>
      <c r="AE35" s="57">
        <f t="shared" si="4"/>
        <v>140000000.00000006</v>
      </c>
      <c r="AF35" s="57">
        <f t="shared" si="4"/>
        <v>140000000.00000006</v>
      </c>
      <c r="AG35" s="57">
        <f t="shared" si="4"/>
        <v>140000000.00000006</v>
      </c>
      <c r="AH35" s="57">
        <f t="shared" si="4"/>
        <v>140000000.00000006</v>
      </c>
      <c r="AI35" s="57">
        <f t="shared" si="4"/>
        <v>140000000.00000006</v>
      </c>
      <c r="AJ35" s="57">
        <f t="shared" si="4"/>
        <v>140000000.00000006</v>
      </c>
      <c r="AK35" s="57">
        <f t="shared" si="4"/>
        <v>140000000.00000006</v>
      </c>
      <c r="AL35" s="57">
        <f t="shared" si="4"/>
        <v>140000000.00000006</v>
      </c>
      <c r="AM35" s="57">
        <f t="shared" si="4"/>
        <v>140000000.00000006</v>
      </c>
      <c r="AN35" s="57">
        <f t="shared" si="4"/>
        <v>140000000.00000006</v>
      </c>
    </row>
    <row r="36" spans="1:40" ht="13.5" customHeight="1" x14ac:dyDescent="0.3"/>
    <row r="37" spans="1:40" s="47" customFormat="1" ht="13.5" customHeight="1" x14ac:dyDescent="0.3">
      <c r="B37" s="48" t="s">
        <v>116</v>
      </c>
      <c r="C37" s="49"/>
      <c r="D37" s="50">
        <v>0</v>
      </c>
      <c r="E37" s="50">
        <v>0</v>
      </c>
      <c r="F37" s="50">
        <v>0</v>
      </c>
      <c r="G37" s="50">
        <v>0</v>
      </c>
      <c r="H37" s="50">
        <v>0.03</v>
      </c>
      <c r="I37" s="50">
        <v>0.04</v>
      </c>
      <c r="J37" s="50">
        <v>0.05</v>
      </c>
      <c r="K37" s="50">
        <v>0.06</v>
      </c>
      <c r="L37" s="50">
        <v>0.06</v>
      </c>
      <c r="M37" s="50">
        <v>7.0000000000000007E-2</v>
      </c>
      <c r="N37" s="50">
        <v>7.0000000000000007E-2</v>
      </c>
      <c r="O37" s="50">
        <v>7.0000000000000007E-2</v>
      </c>
      <c r="P37" s="50">
        <v>7.0000000000000007E-2</v>
      </c>
      <c r="Q37" s="50">
        <v>7.0000000000000007E-2</v>
      </c>
      <c r="R37" s="50">
        <v>7.0000000000000007E-2</v>
      </c>
      <c r="S37" s="50">
        <v>0.06</v>
      </c>
      <c r="T37" s="50">
        <v>0.05</v>
      </c>
      <c r="U37" s="50">
        <v>0.05</v>
      </c>
      <c r="V37" s="50">
        <v>0.04</v>
      </c>
      <c r="W37" s="50">
        <v>0.03</v>
      </c>
      <c r="X37" s="50">
        <v>0.03</v>
      </c>
      <c r="Y37" s="50">
        <v>0.02</v>
      </c>
      <c r="Z37" s="50">
        <v>0.02</v>
      </c>
      <c r="AA37" s="50">
        <v>0.02</v>
      </c>
      <c r="AB37" s="50">
        <v>0.01</v>
      </c>
      <c r="AC37" s="50">
        <v>0.01</v>
      </c>
      <c r="AD37" s="50">
        <v>0</v>
      </c>
      <c r="AE37" s="50">
        <v>0</v>
      </c>
      <c r="AF37" s="50">
        <v>0</v>
      </c>
      <c r="AG37" s="50">
        <v>0</v>
      </c>
      <c r="AH37" s="50">
        <v>0</v>
      </c>
      <c r="AI37" s="50">
        <v>0</v>
      </c>
      <c r="AJ37" s="50">
        <v>0</v>
      </c>
      <c r="AK37" s="50">
        <v>0</v>
      </c>
      <c r="AL37" s="50">
        <v>0</v>
      </c>
      <c r="AM37" s="50">
        <v>0</v>
      </c>
      <c r="AN37" s="50">
        <v>0</v>
      </c>
    </row>
    <row r="38" spans="1:40" s="51" customFormat="1" ht="13.5" customHeight="1" x14ac:dyDescent="0.3">
      <c r="B38" s="52" t="s">
        <v>117</v>
      </c>
      <c r="C38" s="53"/>
      <c r="D38" s="52">
        <f>D37</f>
        <v>0</v>
      </c>
      <c r="E38" s="52">
        <f t="shared" ref="E38:AN38" si="5">E37+D38</f>
        <v>0</v>
      </c>
      <c r="F38" s="52">
        <f t="shared" si="5"/>
        <v>0</v>
      </c>
      <c r="G38" s="52">
        <f t="shared" si="5"/>
        <v>0</v>
      </c>
      <c r="H38" s="52">
        <f t="shared" si="5"/>
        <v>0.03</v>
      </c>
      <c r="I38" s="52">
        <f t="shared" si="5"/>
        <v>7.0000000000000007E-2</v>
      </c>
      <c r="J38" s="52">
        <f t="shared" si="5"/>
        <v>0.12000000000000001</v>
      </c>
      <c r="K38" s="52">
        <f t="shared" si="5"/>
        <v>0.18</v>
      </c>
      <c r="L38" s="52">
        <f t="shared" si="5"/>
        <v>0.24</v>
      </c>
      <c r="M38" s="52">
        <f t="shared" si="5"/>
        <v>0.31</v>
      </c>
      <c r="N38" s="52">
        <f t="shared" si="5"/>
        <v>0.38</v>
      </c>
      <c r="O38" s="52">
        <f t="shared" si="5"/>
        <v>0.45</v>
      </c>
      <c r="P38" s="52">
        <f t="shared" si="5"/>
        <v>0.52</v>
      </c>
      <c r="Q38" s="52">
        <f t="shared" si="5"/>
        <v>0.59000000000000008</v>
      </c>
      <c r="R38" s="52">
        <f t="shared" si="5"/>
        <v>0.66000000000000014</v>
      </c>
      <c r="S38" s="52">
        <f t="shared" si="5"/>
        <v>0.7200000000000002</v>
      </c>
      <c r="T38" s="52">
        <f t="shared" si="5"/>
        <v>0.77000000000000024</v>
      </c>
      <c r="U38" s="52">
        <f t="shared" si="5"/>
        <v>0.82000000000000028</v>
      </c>
      <c r="V38" s="52">
        <f t="shared" si="5"/>
        <v>0.86000000000000032</v>
      </c>
      <c r="W38" s="52">
        <f t="shared" si="5"/>
        <v>0.89000000000000035</v>
      </c>
      <c r="X38" s="52">
        <f t="shared" si="5"/>
        <v>0.92000000000000037</v>
      </c>
      <c r="Y38" s="52">
        <f t="shared" si="5"/>
        <v>0.94000000000000039</v>
      </c>
      <c r="Z38" s="52">
        <f t="shared" si="5"/>
        <v>0.96000000000000041</v>
      </c>
      <c r="AA38" s="52">
        <f t="shared" si="5"/>
        <v>0.98000000000000043</v>
      </c>
      <c r="AB38" s="52">
        <f t="shared" si="5"/>
        <v>0.99000000000000044</v>
      </c>
      <c r="AC38" s="52">
        <f t="shared" si="5"/>
        <v>1.0000000000000004</v>
      </c>
      <c r="AD38" s="52">
        <f t="shared" si="5"/>
        <v>1.0000000000000004</v>
      </c>
      <c r="AE38" s="52">
        <f t="shared" si="5"/>
        <v>1.0000000000000004</v>
      </c>
      <c r="AF38" s="52">
        <f t="shared" si="5"/>
        <v>1.0000000000000004</v>
      </c>
      <c r="AG38" s="52">
        <f t="shared" si="5"/>
        <v>1.0000000000000004</v>
      </c>
      <c r="AH38" s="52">
        <f t="shared" si="5"/>
        <v>1.0000000000000004</v>
      </c>
      <c r="AI38" s="52">
        <f t="shared" si="5"/>
        <v>1.0000000000000004</v>
      </c>
      <c r="AJ38" s="52">
        <f t="shared" si="5"/>
        <v>1.0000000000000004</v>
      </c>
      <c r="AK38" s="52">
        <f t="shared" si="5"/>
        <v>1.0000000000000004</v>
      </c>
      <c r="AL38" s="52">
        <f t="shared" si="5"/>
        <v>1.0000000000000004</v>
      </c>
      <c r="AM38" s="52">
        <f t="shared" si="5"/>
        <v>1.0000000000000004</v>
      </c>
      <c r="AN38" s="52">
        <f t="shared" si="5"/>
        <v>1.0000000000000004</v>
      </c>
    </row>
    <row r="39" spans="1:40" s="58" customFormat="1" ht="13.5" customHeight="1" x14ac:dyDescent="0.25">
      <c r="B39" s="58" t="s">
        <v>118</v>
      </c>
      <c r="D39" s="58">
        <v>0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58">
        <v>0</v>
      </c>
      <c r="Z39" s="58">
        <v>0</v>
      </c>
      <c r="AA39" s="58">
        <v>0</v>
      </c>
      <c r="AB39" s="58">
        <v>0</v>
      </c>
      <c r="AC39" s="58">
        <v>0</v>
      </c>
      <c r="AD39" s="58">
        <v>0</v>
      </c>
      <c r="AE39" s="58">
        <v>0</v>
      </c>
      <c r="AF39" s="58">
        <v>0</v>
      </c>
      <c r="AG39" s="58">
        <v>0</v>
      </c>
      <c r="AH39" s="58">
        <v>0</v>
      </c>
      <c r="AI39" s="58">
        <v>0</v>
      </c>
      <c r="AJ39" s="58">
        <v>0</v>
      </c>
      <c r="AK39" s="58">
        <v>0</v>
      </c>
      <c r="AL39" s="58">
        <v>0</v>
      </c>
      <c r="AM39" s="58">
        <v>0</v>
      </c>
      <c r="AN39" s="58">
        <v>0</v>
      </c>
    </row>
    <row r="40" spans="1:40" s="57" customFormat="1" ht="13.5" customHeight="1" x14ac:dyDescent="0.3">
      <c r="B40" s="57" t="s">
        <v>119</v>
      </c>
      <c r="D40" s="57">
        <f>C14*C8</f>
        <v>1400000</v>
      </c>
      <c r="E40" s="57">
        <f t="shared" ref="E40:AN40" si="6">$C$17*$C$8*E30</f>
        <v>1680000</v>
      </c>
      <c r="F40" s="57">
        <f t="shared" si="6"/>
        <v>1344000</v>
      </c>
      <c r="G40" s="57">
        <f t="shared" si="6"/>
        <v>1008000</v>
      </c>
      <c r="H40" s="57">
        <f t="shared" si="6"/>
        <v>784000.00000000012</v>
      </c>
      <c r="I40" s="57">
        <f t="shared" si="6"/>
        <v>672000</v>
      </c>
      <c r="J40" s="57">
        <f t="shared" si="6"/>
        <v>672000</v>
      </c>
      <c r="K40" s="57">
        <f t="shared" si="6"/>
        <v>560000</v>
      </c>
      <c r="L40" s="57">
        <f t="shared" si="6"/>
        <v>560000</v>
      </c>
      <c r="M40" s="57">
        <f t="shared" si="6"/>
        <v>448000</v>
      </c>
      <c r="N40" s="57">
        <f t="shared" si="6"/>
        <v>448000</v>
      </c>
      <c r="O40" s="57">
        <f t="shared" si="6"/>
        <v>448000</v>
      </c>
      <c r="P40" s="57">
        <f t="shared" si="6"/>
        <v>336000</v>
      </c>
      <c r="Q40" s="57">
        <f t="shared" si="6"/>
        <v>336000</v>
      </c>
      <c r="R40" s="57">
        <f t="shared" si="6"/>
        <v>336000</v>
      </c>
      <c r="S40" s="57">
        <f t="shared" si="6"/>
        <v>336000</v>
      </c>
      <c r="T40" s="57">
        <f t="shared" si="6"/>
        <v>224000</v>
      </c>
      <c r="U40" s="57">
        <f t="shared" si="6"/>
        <v>224000</v>
      </c>
      <c r="V40" s="57">
        <f t="shared" si="6"/>
        <v>224000</v>
      </c>
      <c r="W40" s="57">
        <f t="shared" si="6"/>
        <v>224000</v>
      </c>
      <c r="X40" s="57">
        <f t="shared" si="6"/>
        <v>224000</v>
      </c>
      <c r="Y40" s="57">
        <f t="shared" si="6"/>
        <v>112000</v>
      </c>
      <c r="Z40" s="57">
        <f t="shared" si="6"/>
        <v>0</v>
      </c>
      <c r="AA40" s="57">
        <f t="shared" si="6"/>
        <v>0</v>
      </c>
      <c r="AB40" s="57">
        <f t="shared" si="6"/>
        <v>0</v>
      </c>
      <c r="AC40" s="57">
        <f t="shared" si="6"/>
        <v>0</v>
      </c>
      <c r="AD40" s="57">
        <f t="shared" si="6"/>
        <v>0</v>
      </c>
      <c r="AE40" s="57">
        <f t="shared" si="6"/>
        <v>0</v>
      </c>
      <c r="AF40" s="57">
        <f t="shared" si="6"/>
        <v>0</v>
      </c>
      <c r="AG40" s="57">
        <f t="shared" si="6"/>
        <v>0</v>
      </c>
      <c r="AH40" s="57">
        <f t="shared" si="6"/>
        <v>0</v>
      </c>
      <c r="AI40" s="57">
        <f t="shared" si="6"/>
        <v>0</v>
      </c>
      <c r="AJ40" s="57">
        <f t="shared" si="6"/>
        <v>0</v>
      </c>
      <c r="AK40" s="57">
        <f t="shared" si="6"/>
        <v>0</v>
      </c>
      <c r="AL40" s="57">
        <f t="shared" si="6"/>
        <v>0</v>
      </c>
      <c r="AM40" s="57">
        <f t="shared" si="6"/>
        <v>0</v>
      </c>
      <c r="AN40" s="57">
        <f t="shared" si="6"/>
        <v>0</v>
      </c>
    </row>
    <row r="41" spans="1:40" s="57" customFormat="1" ht="13.5" customHeight="1" x14ac:dyDescent="0.3">
      <c r="A41" s="58"/>
      <c r="B41" s="59" t="s">
        <v>120</v>
      </c>
      <c r="C41" s="58"/>
      <c r="D41" s="57">
        <f t="shared" ref="D41:AN41" si="7">D40+(D39*$C$8)+(D37*$C$16*$C$8)</f>
        <v>1400000</v>
      </c>
      <c r="E41" s="57">
        <f t="shared" si="7"/>
        <v>1680000</v>
      </c>
      <c r="F41" s="57">
        <f t="shared" si="7"/>
        <v>1344000</v>
      </c>
      <c r="G41" s="57">
        <f t="shared" si="7"/>
        <v>1008000</v>
      </c>
      <c r="H41" s="57">
        <f t="shared" si="7"/>
        <v>2842000</v>
      </c>
      <c r="I41" s="57">
        <f t="shared" si="7"/>
        <v>3416000</v>
      </c>
      <c r="J41" s="57">
        <f t="shared" si="7"/>
        <v>4102000</v>
      </c>
      <c r="K41" s="57">
        <f t="shared" si="7"/>
        <v>4676000</v>
      </c>
      <c r="L41" s="57">
        <f t="shared" si="7"/>
        <v>4676000</v>
      </c>
      <c r="M41" s="57">
        <f t="shared" si="7"/>
        <v>5250000.0000000009</v>
      </c>
      <c r="N41" s="57">
        <f t="shared" si="7"/>
        <v>5250000.0000000009</v>
      </c>
      <c r="O41" s="57">
        <f t="shared" si="7"/>
        <v>5250000.0000000009</v>
      </c>
      <c r="P41" s="57">
        <f t="shared" si="7"/>
        <v>5138000.0000000009</v>
      </c>
      <c r="Q41" s="57">
        <f t="shared" si="7"/>
        <v>5138000.0000000009</v>
      </c>
      <c r="R41" s="57">
        <f t="shared" si="7"/>
        <v>5138000.0000000009</v>
      </c>
      <c r="S41" s="57">
        <f t="shared" si="7"/>
        <v>4452000</v>
      </c>
      <c r="T41" s="57">
        <f t="shared" si="7"/>
        <v>3654000</v>
      </c>
      <c r="U41" s="57">
        <f t="shared" si="7"/>
        <v>3654000</v>
      </c>
      <c r="V41" s="57">
        <f t="shared" si="7"/>
        <v>2968000</v>
      </c>
      <c r="W41" s="57">
        <f t="shared" si="7"/>
        <v>2282000</v>
      </c>
      <c r="X41" s="57">
        <f t="shared" si="7"/>
        <v>2282000</v>
      </c>
      <c r="Y41" s="57">
        <f t="shared" si="7"/>
        <v>1484000</v>
      </c>
      <c r="Z41" s="57">
        <f t="shared" si="7"/>
        <v>1372000</v>
      </c>
      <c r="AA41" s="57">
        <f t="shared" si="7"/>
        <v>1372000</v>
      </c>
      <c r="AB41" s="57">
        <f t="shared" si="7"/>
        <v>686000</v>
      </c>
      <c r="AC41" s="57">
        <f t="shared" si="7"/>
        <v>686000</v>
      </c>
      <c r="AD41" s="57">
        <f t="shared" si="7"/>
        <v>0</v>
      </c>
      <c r="AE41" s="57">
        <f t="shared" si="7"/>
        <v>0</v>
      </c>
      <c r="AF41" s="57">
        <f t="shared" si="7"/>
        <v>0</v>
      </c>
      <c r="AG41" s="57">
        <f t="shared" si="7"/>
        <v>0</v>
      </c>
      <c r="AH41" s="57">
        <f t="shared" si="7"/>
        <v>0</v>
      </c>
      <c r="AI41" s="57">
        <f t="shared" si="7"/>
        <v>0</v>
      </c>
      <c r="AJ41" s="57">
        <f t="shared" si="7"/>
        <v>0</v>
      </c>
      <c r="AK41" s="57">
        <f t="shared" si="7"/>
        <v>0</v>
      </c>
      <c r="AL41" s="57">
        <f t="shared" si="7"/>
        <v>0</v>
      </c>
      <c r="AM41" s="57">
        <f t="shared" si="7"/>
        <v>0</v>
      </c>
      <c r="AN41" s="57">
        <f t="shared" si="7"/>
        <v>0</v>
      </c>
    </row>
    <row r="42" spans="1:40" s="57" customFormat="1" ht="13.5" customHeight="1" x14ac:dyDescent="0.3">
      <c r="A42" s="58"/>
      <c r="B42" s="59" t="s">
        <v>121</v>
      </c>
      <c r="C42" s="58"/>
      <c r="D42" s="57">
        <f>D41</f>
        <v>1400000</v>
      </c>
      <c r="E42" s="57">
        <f t="shared" ref="E42:AN42" si="8">E41+D42</f>
        <v>3080000</v>
      </c>
      <c r="F42" s="57">
        <f t="shared" si="8"/>
        <v>4424000</v>
      </c>
      <c r="G42" s="57">
        <f t="shared" si="8"/>
        <v>5432000</v>
      </c>
      <c r="H42" s="57">
        <f t="shared" si="8"/>
        <v>8274000</v>
      </c>
      <c r="I42" s="57">
        <f t="shared" si="8"/>
        <v>11690000</v>
      </c>
      <c r="J42" s="57">
        <f t="shared" si="8"/>
        <v>15792000</v>
      </c>
      <c r="K42" s="57">
        <f t="shared" si="8"/>
        <v>20468000</v>
      </c>
      <c r="L42" s="57">
        <f t="shared" si="8"/>
        <v>25144000</v>
      </c>
      <c r="M42" s="57">
        <f t="shared" si="8"/>
        <v>30394000</v>
      </c>
      <c r="N42" s="57">
        <f t="shared" si="8"/>
        <v>35644000</v>
      </c>
      <c r="O42" s="57">
        <f t="shared" si="8"/>
        <v>40894000</v>
      </c>
      <c r="P42" s="57">
        <f t="shared" si="8"/>
        <v>46032000</v>
      </c>
      <c r="Q42" s="57">
        <f t="shared" si="8"/>
        <v>51170000</v>
      </c>
      <c r="R42" s="57">
        <f t="shared" si="8"/>
        <v>56308000</v>
      </c>
      <c r="S42" s="57">
        <f t="shared" si="8"/>
        <v>60760000</v>
      </c>
      <c r="T42" s="57">
        <f t="shared" si="8"/>
        <v>64414000</v>
      </c>
      <c r="U42" s="57">
        <f t="shared" si="8"/>
        <v>68068000</v>
      </c>
      <c r="V42" s="57">
        <f t="shared" si="8"/>
        <v>71036000</v>
      </c>
      <c r="W42" s="57">
        <f t="shared" si="8"/>
        <v>73318000</v>
      </c>
      <c r="X42" s="57">
        <f t="shared" si="8"/>
        <v>75600000</v>
      </c>
      <c r="Y42" s="57">
        <f t="shared" si="8"/>
        <v>77084000</v>
      </c>
      <c r="Z42" s="57">
        <f t="shared" si="8"/>
        <v>78456000</v>
      </c>
      <c r="AA42" s="57">
        <f t="shared" si="8"/>
        <v>79828000</v>
      </c>
      <c r="AB42" s="57">
        <f t="shared" si="8"/>
        <v>80514000</v>
      </c>
      <c r="AC42" s="57">
        <f t="shared" si="8"/>
        <v>81200000</v>
      </c>
      <c r="AD42" s="57">
        <f t="shared" si="8"/>
        <v>81200000</v>
      </c>
      <c r="AE42" s="57">
        <f t="shared" si="8"/>
        <v>81200000</v>
      </c>
      <c r="AF42" s="57">
        <f t="shared" si="8"/>
        <v>81200000</v>
      </c>
      <c r="AG42" s="57">
        <f t="shared" si="8"/>
        <v>81200000</v>
      </c>
      <c r="AH42" s="57">
        <f t="shared" si="8"/>
        <v>81200000</v>
      </c>
      <c r="AI42" s="57">
        <f t="shared" si="8"/>
        <v>81200000</v>
      </c>
      <c r="AJ42" s="57">
        <f t="shared" si="8"/>
        <v>81200000</v>
      </c>
      <c r="AK42" s="57">
        <f t="shared" si="8"/>
        <v>81200000</v>
      </c>
      <c r="AL42" s="57">
        <f t="shared" si="8"/>
        <v>81200000</v>
      </c>
      <c r="AM42" s="57">
        <f t="shared" si="8"/>
        <v>81200000</v>
      </c>
      <c r="AN42" s="57">
        <f t="shared" si="8"/>
        <v>81200000</v>
      </c>
    </row>
    <row r="43" spans="1:40" ht="13.5" customHeight="1" x14ac:dyDescent="0.3"/>
    <row r="44" spans="1:40" s="51" customFormat="1" ht="13.5" customHeight="1" x14ac:dyDescent="0.3">
      <c r="B44" s="60" t="s">
        <v>122</v>
      </c>
      <c r="C44" s="49"/>
      <c r="D44" s="59">
        <f t="shared" ref="D44:AN44" si="9">D42/$E$11</f>
        <v>1.7241379310344827E-2</v>
      </c>
      <c r="E44" s="59">
        <f t="shared" si="9"/>
        <v>3.793103448275862E-2</v>
      </c>
      <c r="F44" s="59">
        <f t="shared" si="9"/>
        <v>5.4482758620689659E-2</v>
      </c>
      <c r="G44" s="59">
        <f t="shared" si="9"/>
        <v>6.6896551724137929E-2</v>
      </c>
      <c r="H44" s="59">
        <f t="shared" si="9"/>
        <v>0.10189655172413793</v>
      </c>
      <c r="I44" s="59">
        <f t="shared" si="9"/>
        <v>0.14396551724137932</v>
      </c>
      <c r="J44" s="59">
        <f t="shared" si="9"/>
        <v>0.19448275862068964</v>
      </c>
      <c r="K44" s="59">
        <f t="shared" si="9"/>
        <v>0.25206896551724139</v>
      </c>
      <c r="L44" s="59">
        <f t="shared" si="9"/>
        <v>0.30965517241379309</v>
      </c>
      <c r="M44" s="59">
        <f t="shared" si="9"/>
        <v>0.37431034482758618</v>
      </c>
      <c r="N44" s="59">
        <f t="shared" si="9"/>
        <v>0.43896551724137933</v>
      </c>
      <c r="O44" s="59">
        <f t="shared" si="9"/>
        <v>0.50362068965517237</v>
      </c>
      <c r="P44" s="59">
        <f t="shared" si="9"/>
        <v>0.56689655172413789</v>
      </c>
      <c r="Q44" s="59">
        <f t="shared" si="9"/>
        <v>0.6301724137931034</v>
      </c>
      <c r="R44" s="59">
        <f t="shared" si="9"/>
        <v>0.69344827586206892</v>
      </c>
      <c r="S44" s="59">
        <f t="shared" si="9"/>
        <v>0.74827586206896557</v>
      </c>
      <c r="T44" s="59">
        <f t="shared" si="9"/>
        <v>0.7932758620689655</v>
      </c>
      <c r="U44" s="59">
        <f t="shared" si="9"/>
        <v>0.83827586206896554</v>
      </c>
      <c r="V44" s="59">
        <f t="shared" si="9"/>
        <v>0.8748275862068966</v>
      </c>
      <c r="W44" s="59">
        <f t="shared" si="9"/>
        <v>0.90293103448275858</v>
      </c>
      <c r="X44" s="59">
        <f t="shared" si="9"/>
        <v>0.93103448275862066</v>
      </c>
      <c r="Y44" s="59">
        <f t="shared" si="9"/>
        <v>0.94931034482758625</v>
      </c>
      <c r="Z44" s="59">
        <f t="shared" si="9"/>
        <v>0.96620689655172409</v>
      </c>
      <c r="AA44" s="59">
        <f t="shared" si="9"/>
        <v>0.98310344827586205</v>
      </c>
      <c r="AB44" s="59">
        <f t="shared" si="9"/>
        <v>0.99155172413793102</v>
      </c>
      <c r="AC44" s="59">
        <f t="shared" si="9"/>
        <v>1</v>
      </c>
      <c r="AD44" s="59">
        <f t="shared" si="9"/>
        <v>1</v>
      </c>
      <c r="AE44" s="59">
        <f t="shared" si="9"/>
        <v>1</v>
      </c>
      <c r="AF44" s="59">
        <f t="shared" si="9"/>
        <v>1</v>
      </c>
      <c r="AG44" s="59">
        <f t="shared" si="9"/>
        <v>1</v>
      </c>
      <c r="AH44" s="59">
        <f t="shared" si="9"/>
        <v>1</v>
      </c>
      <c r="AI44" s="59">
        <f t="shared" si="9"/>
        <v>1</v>
      </c>
      <c r="AJ44" s="59">
        <f t="shared" si="9"/>
        <v>1</v>
      </c>
      <c r="AK44" s="59">
        <f t="shared" si="9"/>
        <v>1</v>
      </c>
      <c r="AL44" s="59">
        <f t="shared" si="9"/>
        <v>1</v>
      </c>
      <c r="AM44" s="59">
        <f t="shared" si="9"/>
        <v>1</v>
      </c>
      <c r="AN44" s="59">
        <f t="shared" si="9"/>
        <v>1</v>
      </c>
    </row>
    <row r="45" spans="1:40" s="51" customFormat="1" ht="13.5" customHeight="1" x14ac:dyDescent="0.3">
      <c r="B45" s="52" t="s">
        <v>123</v>
      </c>
      <c r="C45" s="53"/>
      <c r="D45" s="52">
        <f>D44</f>
        <v>1.7241379310344827E-2</v>
      </c>
      <c r="E45" s="52">
        <f t="shared" ref="E45:AN45" si="10">E44-D44</f>
        <v>2.0689655172413793E-2</v>
      </c>
      <c r="F45" s="52">
        <f t="shared" si="10"/>
        <v>1.6551724137931038E-2</v>
      </c>
      <c r="G45" s="52">
        <f t="shared" si="10"/>
        <v>1.241379310344827E-2</v>
      </c>
      <c r="H45" s="52">
        <f t="shared" si="10"/>
        <v>3.5000000000000003E-2</v>
      </c>
      <c r="I45" s="52">
        <f t="shared" si="10"/>
        <v>4.2068965517241388E-2</v>
      </c>
      <c r="J45" s="52">
        <f t="shared" si="10"/>
        <v>5.0517241379310324E-2</v>
      </c>
      <c r="K45" s="52">
        <f t="shared" si="10"/>
        <v>5.758620689655175E-2</v>
      </c>
      <c r="L45" s="52">
        <f t="shared" si="10"/>
        <v>5.7586206896551695E-2</v>
      </c>
      <c r="M45" s="52">
        <f t="shared" si="10"/>
        <v>6.4655172413793094E-2</v>
      </c>
      <c r="N45" s="52">
        <f t="shared" si="10"/>
        <v>6.4655172413793149E-2</v>
      </c>
      <c r="O45" s="52">
        <f t="shared" si="10"/>
        <v>6.4655172413793038E-2</v>
      </c>
      <c r="P45" s="52">
        <f t="shared" si="10"/>
        <v>6.3275862068965516E-2</v>
      </c>
      <c r="Q45" s="52">
        <f t="shared" si="10"/>
        <v>6.3275862068965516E-2</v>
      </c>
      <c r="R45" s="52">
        <f t="shared" si="10"/>
        <v>6.3275862068965516E-2</v>
      </c>
      <c r="S45" s="52">
        <f t="shared" si="10"/>
        <v>5.482758620689665E-2</v>
      </c>
      <c r="T45" s="52">
        <f t="shared" si="10"/>
        <v>4.4999999999999929E-2</v>
      </c>
      <c r="U45" s="52">
        <f t="shared" si="10"/>
        <v>4.500000000000004E-2</v>
      </c>
      <c r="V45" s="52">
        <f t="shared" si="10"/>
        <v>3.6551724137931063E-2</v>
      </c>
      <c r="W45" s="52">
        <f t="shared" si="10"/>
        <v>2.8103448275861975E-2</v>
      </c>
      <c r="X45" s="52">
        <f t="shared" si="10"/>
        <v>2.8103448275862086E-2</v>
      </c>
      <c r="Y45" s="52">
        <f t="shared" si="10"/>
        <v>1.8275862068965587E-2</v>
      </c>
      <c r="Z45" s="52">
        <f t="shared" si="10"/>
        <v>1.6896551724137843E-2</v>
      </c>
      <c r="AA45" s="52">
        <f t="shared" si="10"/>
        <v>1.6896551724137954E-2</v>
      </c>
      <c r="AB45" s="52">
        <f t="shared" si="10"/>
        <v>8.4482758620689768E-3</v>
      </c>
      <c r="AC45" s="52">
        <f t="shared" si="10"/>
        <v>8.4482758620689768E-3</v>
      </c>
      <c r="AD45" s="52">
        <f t="shared" si="10"/>
        <v>0</v>
      </c>
      <c r="AE45" s="52">
        <f t="shared" si="10"/>
        <v>0</v>
      </c>
      <c r="AF45" s="52">
        <f t="shared" si="10"/>
        <v>0</v>
      </c>
      <c r="AG45" s="52">
        <f t="shared" si="10"/>
        <v>0</v>
      </c>
      <c r="AH45" s="52">
        <f t="shared" si="10"/>
        <v>0</v>
      </c>
      <c r="AI45" s="52">
        <f t="shared" si="10"/>
        <v>0</v>
      </c>
      <c r="AJ45" s="52">
        <f t="shared" si="10"/>
        <v>0</v>
      </c>
      <c r="AK45" s="52">
        <f t="shared" si="10"/>
        <v>0</v>
      </c>
      <c r="AL45" s="52">
        <f t="shared" si="10"/>
        <v>0</v>
      </c>
      <c r="AM45" s="52">
        <f t="shared" si="10"/>
        <v>0</v>
      </c>
      <c r="AN45" s="52">
        <f t="shared" si="10"/>
        <v>0</v>
      </c>
    </row>
    <row r="46" spans="1:40" s="57" customFormat="1" ht="13.5" customHeight="1" x14ac:dyDescent="0.3">
      <c r="B46" s="57" t="s">
        <v>124</v>
      </c>
      <c r="D46" s="57">
        <f>D44*$C$8*D32</f>
        <v>0</v>
      </c>
      <c r="E46" s="57">
        <f t="shared" ref="E46:AN46" si="11">E44*$C$11*E32</f>
        <v>764689.6551724138</v>
      </c>
      <c r="F46" s="57">
        <f t="shared" si="11"/>
        <v>1977070.3448275866</v>
      </c>
      <c r="G46" s="57">
        <f t="shared" si="11"/>
        <v>3236722.7586206896</v>
      </c>
      <c r="H46" s="57">
        <f t="shared" si="11"/>
        <v>5888805.5172413792</v>
      </c>
      <c r="I46" s="57">
        <f t="shared" si="11"/>
        <v>9480993.1034482773</v>
      </c>
      <c r="J46" s="57">
        <f t="shared" si="11"/>
        <v>14376165.517241379</v>
      </c>
      <c r="K46" s="57">
        <f t="shared" si="11"/>
        <v>20326841.379310351</v>
      </c>
      <c r="L46" s="57">
        <f t="shared" si="11"/>
        <v>27051475.86206897</v>
      </c>
      <c r="M46" s="57">
        <f t="shared" si="11"/>
        <v>34712044.137931041</v>
      </c>
      <c r="N46" s="57">
        <f t="shared" si="11"/>
        <v>43067784.827586219</v>
      </c>
      <c r="O46" s="57">
        <f t="shared" si="11"/>
        <v>52118697.931034498</v>
      </c>
      <c r="P46" s="57">
        <f t="shared" si="11"/>
        <v>60952717.241379328</v>
      </c>
      <c r="Q46" s="57">
        <f t="shared" si="11"/>
        <v>70296993.103448302</v>
      </c>
      <c r="R46" s="57">
        <f t="shared" si="11"/>
        <v>80151525.517241403</v>
      </c>
      <c r="S46" s="57">
        <f t="shared" si="11"/>
        <v>89505765.517241418</v>
      </c>
      <c r="T46" s="57">
        <f t="shared" si="11"/>
        <v>97020811.034482792</v>
      </c>
      <c r="U46" s="57">
        <f t="shared" si="11"/>
        <v>104777776.55172418</v>
      </c>
      <c r="V46" s="57">
        <f t="shared" si="11"/>
        <v>111697986.2068966</v>
      </c>
      <c r="W46" s="57">
        <f t="shared" si="11"/>
        <v>117713313.10344832</v>
      </c>
      <c r="X46" s="57">
        <f t="shared" si="11"/>
        <v>123879724.13793108</v>
      </c>
      <c r="Y46" s="57">
        <f t="shared" si="11"/>
        <v>127587310.34482765</v>
      </c>
      <c r="Z46" s="57">
        <f t="shared" si="11"/>
        <v>129858206.89655177</v>
      </c>
      <c r="AA46" s="57">
        <f t="shared" si="11"/>
        <v>132129103.44827592</v>
      </c>
      <c r="AB46" s="57">
        <f t="shared" si="11"/>
        <v>133264551.72413799</v>
      </c>
      <c r="AC46" s="57">
        <f t="shared" si="11"/>
        <v>134400000.00000006</v>
      </c>
      <c r="AD46" s="57">
        <f t="shared" si="11"/>
        <v>134400000.00000006</v>
      </c>
      <c r="AE46" s="57">
        <f t="shared" si="11"/>
        <v>134400000.00000006</v>
      </c>
      <c r="AF46" s="57">
        <f t="shared" si="11"/>
        <v>134400000.00000006</v>
      </c>
      <c r="AG46" s="57">
        <f t="shared" si="11"/>
        <v>134400000.00000006</v>
      </c>
      <c r="AH46" s="57">
        <f t="shared" si="11"/>
        <v>134400000.00000006</v>
      </c>
      <c r="AI46" s="57">
        <f t="shared" si="11"/>
        <v>134400000.00000006</v>
      </c>
      <c r="AJ46" s="57">
        <f t="shared" si="11"/>
        <v>134400000.00000006</v>
      </c>
      <c r="AK46" s="57">
        <f t="shared" si="11"/>
        <v>134400000.00000006</v>
      </c>
      <c r="AL46" s="57">
        <f t="shared" si="11"/>
        <v>134400000.00000006</v>
      </c>
      <c r="AM46" s="57">
        <f t="shared" si="11"/>
        <v>134400000.00000006</v>
      </c>
      <c r="AN46" s="57">
        <f t="shared" si="11"/>
        <v>134400000.00000006</v>
      </c>
    </row>
    <row r="47" spans="1:40" s="57" customFormat="1" ht="13.5" customHeight="1" x14ac:dyDescent="0.3">
      <c r="B47" s="57" t="s">
        <v>125</v>
      </c>
      <c r="D47" s="57">
        <f>D46</f>
        <v>0</v>
      </c>
      <c r="E47" s="57">
        <f t="shared" ref="E47:AN47" si="12">E46-D46</f>
        <v>764689.6551724138</v>
      </c>
      <c r="F47" s="57">
        <f t="shared" si="12"/>
        <v>1212380.6896551726</v>
      </c>
      <c r="G47" s="57">
        <f t="shared" si="12"/>
        <v>1259652.4137931031</v>
      </c>
      <c r="H47" s="57">
        <f t="shared" si="12"/>
        <v>2652082.7586206896</v>
      </c>
      <c r="I47" s="57">
        <f t="shared" si="12"/>
        <v>3592187.5862068981</v>
      </c>
      <c r="J47" s="57">
        <f t="shared" si="12"/>
        <v>4895172.4137931019</v>
      </c>
      <c r="K47" s="57">
        <f t="shared" si="12"/>
        <v>5950675.8620689716</v>
      </c>
      <c r="L47" s="57">
        <f t="shared" si="12"/>
        <v>6724634.4827586189</v>
      </c>
      <c r="M47" s="57">
        <f t="shared" si="12"/>
        <v>7660568.2758620717</v>
      </c>
      <c r="N47" s="57">
        <f t="shared" si="12"/>
        <v>8355740.6896551773</v>
      </c>
      <c r="O47" s="57">
        <f t="shared" si="12"/>
        <v>9050913.1034482792</v>
      </c>
      <c r="P47" s="57">
        <f t="shared" si="12"/>
        <v>8834019.3103448302</v>
      </c>
      <c r="Q47" s="57">
        <f t="shared" si="12"/>
        <v>9344275.8620689735</v>
      </c>
      <c r="R47" s="57">
        <f t="shared" si="12"/>
        <v>9854532.4137931019</v>
      </c>
      <c r="S47" s="57">
        <f t="shared" si="12"/>
        <v>9354240.0000000149</v>
      </c>
      <c r="T47" s="57">
        <f t="shared" si="12"/>
        <v>7515045.5172413737</v>
      </c>
      <c r="U47" s="57">
        <f t="shared" si="12"/>
        <v>7756965.5172413886</v>
      </c>
      <c r="V47" s="57">
        <f t="shared" si="12"/>
        <v>6920209.6551724225</v>
      </c>
      <c r="W47" s="57">
        <f t="shared" si="12"/>
        <v>6015326.8965517133</v>
      </c>
      <c r="X47" s="57">
        <f t="shared" si="12"/>
        <v>6166411.0344827622</v>
      </c>
      <c r="Y47" s="57">
        <f t="shared" si="12"/>
        <v>3707586.2068965733</v>
      </c>
      <c r="Z47" s="57">
        <f t="shared" si="12"/>
        <v>2270896.551724121</v>
      </c>
      <c r="AA47" s="57">
        <f t="shared" si="12"/>
        <v>2270896.5517241508</v>
      </c>
      <c r="AB47" s="57">
        <f t="shared" si="12"/>
        <v>1135448.2758620679</v>
      </c>
      <c r="AC47" s="57">
        <f t="shared" si="12"/>
        <v>1135448.2758620679</v>
      </c>
      <c r="AD47" s="57">
        <f t="shared" si="12"/>
        <v>0</v>
      </c>
      <c r="AE47" s="57">
        <f t="shared" si="12"/>
        <v>0</v>
      </c>
      <c r="AF47" s="57">
        <f t="shared" si="12"/>
        <v>0</v>
      </c>
      <c r="AG47" s="57">
        <f t="shared" si="12"/>
        <v>0</v>
      </c>
      <c r="AH47" s="57">
        <f t="shared" si="12"/>
        <v>0</v>
      </c>
      <c r="AI47" s="57">
        <f t="shared" si="12"/>
        <v>0</v>
      </c>
      <c r="AJ47" s="57">
        <f t="shared" si="12"/>
        <v>0</v>
      </c>
      <c r="AK47" s="57">
        <f t="shared" si="12"/>
        <v>0</v>
      </c>
      <c r="AL47" s="57">
        <f t="shared" si="12"/>
        <v>0</v>
      </c>
      <c r="AM47" s="57">
        <f t="shared" si="12"/>
        <v>0</v>
      </c>
      <c r="AN47" s="57">
        <f t="shared" si="12"/>
        <v>0</v>
      </c>
    </row>
    <row r="48" spans="1:40" ht="13.5" customHeight="1" x14ac:dyDescent="0.3">
      <c r="B48" s="28"/>
      <c r="C48" s="61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</row>
    <row r="49" spans="1:41" s="96" customFormat="1" ht="13.5" customHeight="1" x14ac:dyDescent="0.3">
      <c r="A49" s="96" t="s">
        <v>110</v>
      </c>
      <c r="B49" s="111" t="s">
        <v>126</v>
      </c>
      <c r="C49" s="112"/>
    </row>
    <row r="51" spans="1:41" s="57" customFormat="1" ht="13.5" customHeight="1" x14ac:dyDescent="0.3">
      <c r="B51" s="57" t="s">
        <v>127</v>
      </c>
      <c r="D51" s="57">
        <f t="shared" ref="D51:AN51" si="13">D47</f>
        <v>0</v>
      </c>
      <c r="E51" s="57">
        <f t="shared" si="13"/>
        <v>764689.6551724138</v>
      </c>
      <c r="F51" s="57">
        <f t="shared" si="13"/>
        <v>1212380.6896551726</v>
      </c>
      <c r="G51" s="57">
        <f t="shared" si="13"/>
        <v>1259652.4137931031</v>
      </c>
      <c r="H51" s="57">
        <f t="shared" si="13"/>
        <v>2652082.7586206896</v>
      </c>
      <c r="I51" s="57">
        <f t="shared" si="13"/>
        <v>3592187.5862068981</v>
      </c>
      <c r="J51" s="57">
        <f t="shared" si="13"/>
        <v>4895172.4137931019</v>
      </c>
      <c r="K51" s="57">
        <f t="shared" si="13"/>
        <v>5950675.8620689716</v>
      </c>
      <c r="L51" s="57">
        <f t="shared" si="13"/>
        <v>6724634.4827586189</v>
      </c>
      <c r="M51" s="57">
        <f t="shared" si="13"/>
        <v>7660568.2758620717</v>
      </c>
      <c r="N51" s="57">
        <f t="shared" si="13"/>
        <v>8355740.6896551773</v>
      </c>
      <c r="O51" s="57">
        <f t="shared" si="13"/>
        <v>9050913.1034482792</v>
      </c>
      <c r="P51" s="57">
        <f t="shared" si="13"/>
        <v>8834019.3103448302</v>
      </c>
      <c r="Q51" s="57">
        <f t="shared" si="13"/>
        <v>9344275.8620689735</v>
      </c>
      <c r="R51" s="57">
        <f t="shared" si="13"/>
        <v>9854532.4137931019</v>
      </c>
      <c r="S51" s="57">
        <f t="shared" si="13"/>
        <v>9354240.0000000149</v>
      </c>
      <c r="T51" s="57">
        <f t="shared" si="13"/>
        <v>7515045.5172413737</v>
      </c>
      <c r="U51" s="57">
        <f t="shared" si="13"/>
        <v>7756965.5172413886</v>
      </c>
      <c r="V51" s="57">
        <f t="shared" si="13"/>
        <v>6920209.6551724225</v>
      </c>
      <c r="W51" s="57">
        <f t="shared" si="13"/>
        <v>6015326.8965517133</v>
      </c>
      <c r="X51" s="57">
        <f t="shared" si="13"/>
        <v>6166411.0344827622</v>
      </c>
      <c r="Y51" s="57">
        <f t="shared" si="13"/>
        <v>3707586.2068965733</v>
      </c>
      <c r="Z51" s="57">
        <f t="shared" si="13"/>
        <v>2270896.551724121</v>
      </c>
      <c r="AA51" s="57">
        <f t="shared" si="13"/>
        <v>2270896.5517241508</v>
      </c>
      <c r="AB51" s="57">
        <f t="shared" si="13"/>
        <v>1135448.2758620679</v>
      </c>
      <c r="AC51" s="57">
        <f t="shared" si="13"/>
        <v>1135448.2758620679</v>
      </c>
      <c r="AD51" s="57">
        <f t="shared" si="13"/>
        <v>0</v>
      </c>
      <c r="AE51" s="57">
        <f t="shared" si="13"/>
        <v>0</v>
      </c>
      <c r="AF51" s="57">
        <f t="shared" si="13"/>
        <v>0</v>
      </c>
      <c r="AG51" s="57">
        <f t="shared" si="13"/>
        <v>0</v>
      </c>
      <c r="AH51" s="57">
        <f t="shared" si="13"/>
        <v>0</v>
      </c>
      <c r="AI51" s="57">
        <f t="shared" si="13"/>
        <v>0</v>
      </c>
      <c r="AJ51" s="57">
        <f t="shared" si="13"/>
        <v>0</v>
      </c>
      <c r="AK51" s="57">
        <f t="shared" si="13"/>
        <v>0</v>
      </c>
      <c r="AL51" s="57">
        <f t="shared" si="13"/>
        <v>0</v>
      </c>
      <c r="AM51" s="57">
        <f t="shared" si="13"/>
        <v>0</v>
      </c>
      <c r="AN51" s="57">
        <f t="shared" si="13"/>
        <v>0</v>
      </c>
      <c r="AO51" s="57">
        <f>SUM(D51:AK51)</f>
        <v>134400000.00000006</v>
      </c>
    </row>
    <row r="52" spans="1:41" s="57" customFormat="1" ht="13.5" customHeight="1" x14ac:dyDescent="0.3"/>
    <row r="53" spans="1:41" s="57" customFormat="1" ht="13.5" customHeight="1" x14ac:dyDescent="0.3"/>
    <row r="54" spans="1:41" s="57" customFormat="1" ht="13.5" customHeight="1" x14ac:dyDescent="0.3">
      <c r="B54" s="57" t="s">
        <v>128</v>
      </c>
      <c r="D54" s="57">
        <f t="shared" ref="D54:AN54" si="14">D45*$C$13*$C$8</f>
        <v>1399999.9999999998</v>
      </c>
      <c r="E54" s="57">
        <f t="shared" si="14"/>
        <v>1679999.9999999998</v>
      </c>
      <c r="F54" s="57">
        <f t="shared" si="14"/>
        <v>1344000.0000000002</v>
      </c>
      <c r="G54" s="57">
        <f t="shared" si="14"/>
        <v>1007999.9999999995</v>
      </c>
      <c r="H54" s="57">
        <f t="shared" si="14"/>
        <v>2842000.0000000005</v>
      </c>
      <c r="I54" s="57">
        <f t="shared" si="14"/>
        <v>3416000.0000000009</v>
      </c>
      <c r="J54" s="57">
        <f t="shared" si="14"/>
        <v>4101999.9999999981</v>
      </c>
      <c r="K54" s="57">
        <f t="shared" si="14"/>
        <v>4676000.0000000019</v>
      </c>
      <c r="L54" s="57">
        <f t="shared" si="14"/>
        <v>4675999.9999999972</v>
      </c>
      <c r="M54" s="57">
        <f t="shared" si="14"/>
        <v>5249999.9999999991</v>
      </c>
      <c r="N54" s="57">
        <f t="shared" si="14"/>
        <v>5250000.0000000037</v>
      </c>
      <c r="O54" s="57">
        <f t="shared" si="14"/>
        <v>5249999.9999999944</v>
      </c>
      <c r="P54" s="57">
        <f t="shared" si="14"/>
        <v>5137999.9999999991</v>
      </c>
      <c r="Q54" s="57">
        <f t="shared" si="14"/>
        <v>5137999.9999999991</v>
      </c>
      <c r="R54" s="57">
        <f t="shared" si="14"/>
        <v>5137999.9999999991</v>
      </c>
      <c r="S54" s="57">
        <f t="shared" si="14"/>
        <v>4452000.0000000084</v>
      </c>
      <c r="T54" s="57">
        <f t="shared" si="14"/>
        <v>3653999.9999999939</v>
      </c>
      <c r="U54" s="57">
        <f t="shared" si="14"/>
        <v>3654000.0000000033</v>
      </c>
      <c r="V54" s="57">
        <f t="shared" si="14"/>
        <v>2968000.0000000019</v>
      </c>
      <c r="W54" s="57">
        <f t="shared" si="14"/>
        <v>2281999.9999999921</v>
      </c>
      <c r="X54" s="57">
        <f t="shared" si="14"/>
        <v>2282000.0000000014</v>
      </c>
      <c r="Y54" s="57">
        <f t="shared" si="14"/>
        <v>1484000.0000000056</v>
      </c>
      <c r="Z54" s="57">
        <f t="shared" si="14"/>
        <v>1371999.9999999928</v>
      </c>
      <c r="AA54" s="57">
        <f t="shared" si="14"/>
        <v>1372000.0000000016</v>
      </c>
      <c r="AB54" s="57">
        <f t="shared" si="14"/>
        <v>686000.00000000081</v>
      </c>
      <c r="AC54" s="57">
        <f t="shared" si="14"/>
        <v>686000.00000000081</v>
      </c>
      <c r="AD54" s="57">
        <f t="shared" si="14"/>
        <v>0</v>
      </c>
      <c r="AE54" s="57">
        <f t="shared" si="14"/>
        <v>0</v>
      </c>
      <c r="AF54" s="57">
        <f t="shared" si="14"/>
        <v>0</v>
      </c>
      <c r="AG54" s="57">
        <f t="shared" si="14"/>
        <v>0</v>
      </c>
      <c r="AH54" s="57">
        <f t="shared" si="14"/>
        <v>0</v>
      </c>
      <c r="AI54" s="57">
        <f t="shared" si="14"/>
        <v>0</v>
      </c>
      <c r="AJ54" s="57">
        <f t="shared" si="14"/>
        <v>0</v>
      </c>
      <c r="AK54" s="57">
        <f t="shared" si="14"/>
        <v>0</v>
      </c>
      <c r="AL54" s="57">
        <f t="shared" si="14"/>
        <v>0</v>
      </c>
      <c r="AM54" s="57">
        <f t="shared" si="14"/>
        <v>0</v>
      </c>
      <c r="AN54" s="57">
        <f t="shared" si="14"/>
        <v>0</v>
      </c>
    </row>
    <row r="55" spans="1:41" ht="13.5" customHeight="1" x14ac:dyDescent="0.3">
      <c r="B55" s="25" t="s">
        <v>129</v>
      </c>
      <c r="C55" s="64"/>
    </row>
    <row r="56" spans="1:41" s="51" customFormat="1" ht="13.5" customHeight="1" x14ac:dyDescent="0.3">
      <c r="B56" s="51" t="s">
        <v>130</v>
      </c>
      <c r="C56" s="65"/>
    </row>
    <row r="58" spans="1:41" s="57" customFormat="1" ht="13.5" customHeight="1" x14ac:dyDescent="0.3">
      <c r="B58" s="57" t="s">
        <v>131</v>
      </c>
      <c r="D58" s="57">
        <f t="shared" ref="D58:AN58" si="15">D51-D54</f>
        <v>-1399999.9999999998</v>
      </c>
      <c r="E58" s="57">
        <f t="shared" si="15"/>
        <v>-915310.34482758597</v>
      </c>
      <c r="F58" s="57">
        <f t="shared" si="15"/>
        <v>-131619.31034482759</v>
      </c>
      <c r="G58" s="57">
        <f t="shared" si="15"/>
        <v>251652.41379310354</v>
      </c>
      <c r="H58" s="57">
        <f t="shared" si="15"/>
        <v>-189917.24137931084</v>
      </c>
      <c r="I58" s="57">
        <f t="shared" si="15"/>
        <v>176187.58620689716</v>
      </c>
      <c r="J58" s="57">
        <f t="shared" si="15"/>
        <v>793172.41379310377</v>
      </c>
      <c r="K58" s="57">
        <f t="shared" si="15"/>
        <v>1274675.8620689698</v>
      </c>
      <c r="L58" s="57">
        <f t="shared" si="15"/>
        <v>2048634.4827586217</v>
      </c>
      <c r="M58" s="57">
        <f t="shared" si="15"/>
        <v>2410568.2758620726</v>
      </c>
      <c r="N58" s="57">
        <f t="shared" si="15"/>
        <v>3105740.6896551736</v>
      </c>
      <c r="O58" s="57">
        <f t="shared" si="15"/>
        <v>3800913.1034482848</v>
      </c>
      <c r="P58" s="57">
        <f t="shared" si="15"/>
        <v>3696019.3103448311</v>
      </c>
      <c r="Q58" s="57">
        <f t="shared" si="15"/>
        <v>4206275.8620689744</v>
      </c>
      <c r="R58" s="57">
        <f t="shared" si="15"/>
        <v>4716532.4137931028</v>
      </c>
      <c r="S58" s="57">
        <f t="shared" si="15"/>
        <v>4902240.0000000065</v>
      </c>
      <c r="T58" s="57">
        <f t="shared" si="15"/>
        <v>3861045.5172413797</v>
      </c>
      <c r="U58" s="57">
        <f t="shared" si="15"/>
        <v>4102965.5172413853</v>
      </c>
      <c r="V58" s="57">
        <f t="shared" si="15"/>
        <v>3952209.6551724207</v>
      </c>
      <c r="W58" s="57">
        <f t="shared" si="15"/>
        <v>3733326.8965517213</v>
      </c>
      <c r="X58" s="57">
        <f t="shared" si="15"/>
        <v>3884411.0344827608</v>
      </c>
      <c r="Y58" s="57">
        <f t="shared" si="15"/>
        <v>2223586.2068965677</v>
      </c>
      <c r="Z58" s="57">
        <f t="shared" si="15"/>
        <v>898896.55172412819</v>
      </c>
      <c r="AA58" s="57">
        <f t="shared" si="15"/>
        <v>898896.55172414915</v>
      </c>
      <c r="AB58" s="57">
        <f t="shared" si="15"/>
        <v>449448.27586206712</v>
      </c>
      <c r="AC58" s="57">
        <f t="shared" si="15"/>
        <v>449448.27586206712</v>
      </c>
      <c r="AD58" s="57">
        <f t="shared" si="15"/>
        <v>0</v>
      </c>
      <c r="AE58" s="57">
        <f t="shared" si="15"/>
        <v>0</v>
      </c>
      <c r="AF58" s="57">
        <f t="shared" si="15"/>
        <v>0</v>
      </c>
      <c r="AG58" s="57">
        <f t="shared" si="15"/>
        <v>0</v>
      </c>
      <c r="AH58" s="57">
        <f t="shared" si="15"/>
        <v>0</v>
      </c>
      <c r="AI58" s="57">
        <f t="shared" si="15"/>
        <v>0</v>
      </c>
      <c r="AJ58" s="57">
        <f t="shared" si="15"/>
        <v>0</v>
      </c>
      <c r="AK58" s="57">
        <f t="shared" si="15"/>
        <v>0</v>
      </c>
      <c r="AL58" s="57">
        <f t="shared" si="15"/>
        <v>0</v>
      </c>
      <c r="AM58" s="57">
        <f t="shared" si="15"/>
        <v>0</v>
      </c>
      <c r="AN58" s="57">
        <f t="shared" si="15"/>
        <v>0</v>
      </c>
    </row>
    <row r="59" spans="1:41" s="51" customFormat="1" ht="13.5" customHeight="1" x14ac:dyDescent="0.3">
      <c r="C59" s="65"/>
    </row>
    <row r="60" spans="1:41" ht="13.5" customHeight="1" x14ac:dyDescent="0.3">
      <c r="C60" s="64"/>
    </row>
    <row r="61" spans="1:41" s="57" customFormat="1" ht="13.5" customHeight="1" x14ac:dyDescent="0.3">
      <c r="B61" s="57" t="s">
        <v>133</v>
      </c>
      <c r="D61" s="57">
        <f t="shared" ref="D61:AC61" si="16">$C$20*$C$8/22</f>
        <v>190909.09090909091</v>
      </c>
      <c r="E61" s="57">
        <f t="shared" si="16"/>
        <v>190909.09090909091</v>
      </c>
      <c r="F61" s="57">
        <f t="shared" si="16"/>
        <v>190909.09090909091</v>
      </c>
      <c r="G61" s="57">
        <f t="shared" si="16"/>
        <v>190909.09090909091</v>
      </c>
      <c r="H61" s="57">
        <f t="shared" si="16"/>
        <v>190909.09090909091</v>
      </c>
      <c r="I61" s="57">
        <f t="shared" si="16"/>
        <v>190909.09090909091</v>
      </c>
      <c r="J61" s="57">
        <f t="shared" si="16"/>
        <v>190909.09090909091</v>
      </c>
      <c r="K61" s="57">
        <f t="shared" si="16"/>
        <v>190909.09090909091</v>
      </c>
      <c r="L61" s="57">
        <f t="shared" si="16"/>
        <v>190909.09090909091</v>
      </c>
      <c r="M61" s="57">
        <f t="shared" si="16"/>
        <v>190909.09090909091</v>
      </c>
      <c r="N61" s="57">
        <f t="shared" si="16"/>
        <v>190909.09090909091</v>
      </c>
      <c r="O61" s="57">
        <f t="shared" si="16"/>
        <v>190909.09090909091</v>
      </c>
      <c r="P61" s="57">
        <f t="shared" si="16"/>
        <v>190909.09090909091</v>
      </c>
      <c r="Q61" s="57">
        <f t="shared" si="16"/>
        <v>190909.09090909091</v>
      </c>
      <c r="R61" s="57">
        <f t="shared" si="16"/>
        <v>190909.09090909091</v>
      </c>
      <c r="S61" s="57">
        <f t="shared" si="16"/>
        <v>190909.09090909091</v>
      </c>
      <c r="T61" s="57">
        <f t="shared" si="16"/>
        <v>190909.09090909091</v>
      </c>
      <c r="U61" s="57">
        <f t="shared" si="16"/>
        <v>190909.09090909091</v>
      </c>
      <c r="V61" s="57">
        <f t="shared" si="16"/>
        <v>190909.09090909091</v>
      </c>
      <c r="W61" s="57">
        <f t="shared" si="16"/>
        <v>190909.09090909091</v>
      </c>
      <c r="X61" s="57">
        <f t="shared" si="16"/>
        <v>190909.09090909091</v>
      </c>
      <c r="Y61" s="57">
        <f t="shared" si="16"/>
        <v>190909.09090909091</v>
      </c>
      <c r="Z61" s="57">
        <f t="shared" si="16"/>
        <v>190909.09090909091</v>
      </c>
      <c r="AA61" s="57">
        <f t="shared" si="16"/>
        <v>190909.09090909091</v>
      </c>
      <c r="AB61" s="57">
        <f t="shared" si="16"/>
        <v>190909.09090909091</v>
      </c>
      <c r="AC61" s="57">
        <f t="shared" si="16"/>
        <v>190909.09090909091</v>
      </c>
      <c r="AD61" s="57">
        <v>0</v>
      </c>
      <c r="AE61" s="57">
        <v>0</v>
      </c>
      <c r="AF61" s="57">
        <v>0</v>
      </c>
      <c r="AG61" s="57">
        <v>0</v>
      </c>
      <c r="AH61" s="57">
        <v>0</v>
      </c>
      <c r="AI61" s="57">
        <v>0</v>
      </c>
      <c r="AJ61" s="57">
        <v>0</v>
      </c>
      <c r="AK61" s="57">
        <v>0</v>
      </c>
    </row>
    <row r="62" spans="1:41" s="57" customFormat="1" ht="13.5" hidden="1" customHeight="1" x14ac:dyDescent="0.3">
      <c r="B62" s="57" t="s">
        <v>134</v>
      </c>
      <c r="D62" s="57">
        <f>$C$23*$C$8*0.075</f>
        <v>0</v>
      </c>
      <c r="E62" s="57">
        <f>$C$23*$C$8*0.075</f>
        <v>0</v>
      </c>
      <c r="F62" s="57">
        <f>$C$23*$C$8*0.075</f>
        <v>0</v>
      </c>
      <c r="G62" s="57">
        <f>$C$23*$C$8*0.075</f>
        <v>0</v>
      </c>
      <c r="H62" s="57">
        <f t="shared" ref="H62:W62" si="17">$C$23*$C$8*0.01875</f>
        <v>0</v>
      </c>
      <c r="I62" s="57">
        <f t="shared" si="17"/>
        <v>0</v>
      </c>
      <c r="J62" s="57">
        <f t="shared" si="17"/>
        <v>0</v>
      </c>
      <c r="K62" s="57">
        <f t="shared" si="17"/>
        <v>0</v>
      </c>
      <c r="L62" s="57">
        <f t="shared" si="17"/>
        <v>0</v>
      </c>
      <c r="M62" s="57">
        <f t="shared" si="17"/>
        <v>0</v>
      </c>
      <c r="N62" s="57">
        <f t="shared" si="17"/>
        <v>0</v>
      </c>
      <c r="O62" s="57">
        <f t="shared" si="17"/>
        <v>0</v>
      </c>
      <c r="P62" s="57">
        <f t="shared" si="17"/>
        <v>0</v>
      </c>
      <c r="Q62" s="57">
        <f t="shared" si="17"/>
        <v>0</v>
      </c>
      <c r="R62" s="57">
        <f t="shared" si="17"/>
        <v>0</v>
      </c>
      <c r="S62" s="57">
        <f t="shared" si="17"/>
        <v>0</v>
      </c>
      <c r="T62" s="57">
        <f t="shared" si="17"/>
        <v>0</v>
      </c>
      <c r="U62" s="57">
        <f t="shared" si="17"/>
        <v>0</v>
      </c>
      <c r="V62" s="57">
        <f t="shared" si="17"/>
        <v>0</v>
      </c>
      <c r="W62" s="57">
        <f t="shared" si="17"/>
        <v>0</v>
      </c>
      <c r="X62" s="57">
        <f t="shared" ref="X62:AC62" si="18">$C$23*$C$8*0.0666666666666667</f>
        <v>0</v>
      </c>
      <c r="Y62" s="57">
        <f t="shared" si="18"/>
        <v>0</v>
      </c>
      <c r="Z62" s="57">
        <f t="shared" si="18"/>
        <v>0</v>
      </c>
      <c r="AA62" s="57">
        <f t="shared" si="18"/>
        <v>0</v>
      </c>
      <c r="AB62" s="57">
        <f t="shared" si="18"/>
        <v>0</v>
      </c>
      <c r="AC62" s="57">
        <f t="shared" si="18"/>
        <v>0</v>
      </c>
      <c r="AD62" s="57">
        <v>0</v>
      </c>
      <c r="AE62" s="57">
        <v>0</v>
      </c>
      <c r="AF62" s="57">
        <v>0</v>
      </c>
      <c r="AG62" s="57">
        <v>0</v>
      </c>
      <c r="AH62" s="57">
        <v>0</v>
      </c>
      <c r="AI62" s="57">
        <v>0</v>
      </c>
      <c r="AJ62" s="57">
        <v>0</v>
      </c>
      <c r="AK62" s="57">
        <v>0</v>
      </c>
      <c r="AL62" s="57">
        <v>0</v>
      </c>
      <c r="AM62" s="57">
        <v>0</v>
      </c>
      <c r="AN62" s="57">
        <v>0</v>
      </c>
    </row>
    <row r="63" spans="1:41" s="51" customFormat="1" ht="13.5" customHeight="1" x14ac:dyDescent="0.3">
      <c r="B63" s="51" t="s">
        <v>135</v>
      </c>
      <c r="C63" s="65"/>
      <c r="D63" s="57">
        <f>$C$24*$C$8*0.175</f>
        <v>244999.99999999997</v>
      </c>
      <c r="E63" s="57">
        <f>$C$24*$C$8*0.175</f>
        <v>244999.99999999997</v>
      </c>
      <c r="F63" s="57">
        <f>$C$24*$C$8*0.175</f>
        <v>244999.99999999997</v>
      </c>
      <c r="G63" s="57">
        <f>$C$24*$C$8*0.175</f>
        <v>244999.99999999997</v>
      </c>
      <c r="H63" s="57">
        <f t="shared" ref="H63:AC63" si="19">$C$24*$C$8*0.0136363636363636</f>
        <v>19090.909090909037</v>
      </c>
      <c r="I63" s="57">
        <f t="shared" si="19"/>
        <v>19090.909090909037</v>
      </c>
      <c r="J63" s="57">
        <f t="shared" si="19"/>
        <v>19090.909090909037</v>
      </c>
      <c r="K63" s="57">
        <f t="shared" si="19"/>
        <v>19090.909090909037</v>
      </c>
      <c r="L63" s="57">
        <f t="shared" si="19"/>
        <v>19090.909090909037</v>
      </c>
      <c r="M63" s="57">
        <f t="shared" si="19"/>
        <v>19090.909090909037</v>
      </c>
      <c r="N63" s="57">
        <f t="shared" si="19"/>
        <v>19090.909090909037</v>
      </c>
      <c r="O63" s="57">
        <f t="shared" si="19"/>
        <v>19090.909090909037</v>
      </c>
      <c r="P63" s="57">
        <f t="shared" si="19"/>
        <v>19090.909090909037</v>
      </c>
      <c r="Q63" s="57">
        <f t="shared" si="19"/>
        <v>19090.909090909037</v>
      </c>
      <c r="R63" s="57">
        <f t="shared" si="19"/>
        <v>19090.909090909037</v>
      </c>
      <c r="S63" s="57">
        <f t="shared" si="19"/>
        <v>19090.909090909037</v>
      </c>
      <c r="T63" s="57">
        <f t="shared" si="19"/>
        <v>19090.909090909037</v>
      </c>
      <c r="U63" s="57">
        <f t="shared" si="19"/>
        <v>19090.909090909037</v>
      </c>
      <c r="V63" s="57">
        <f t="shared" si="19"/>
        <v>19090.909090909037</v>
      </c>
      <c r="W63" s="57">
        <f t="shared" si="19"/>
        <v>19090.909090909037</v>
      </c>
      <c r="X63" s="57">
        <f t="shared" si="19"/>
        <v>19090.909090909037</v>
      </c>
      <c r="Y63" s="57">
        <f t="shared" si="19"/>
        <v>19090.909090909037</v>
      </c>
      <c r="Z63" s="57">
        <f t="shared" si="19"/>
        <v>19090.909090909037</v>
      </c>
      <c r="AA63" s="57">
        <f t="shared" si="19"/>
        <v>19090.909090909037</v>
      </c>
      <c r="AB63" s="57">
        <f t="shared" si="19"/>
        <v>19090.909090909037</v>
      </c>
      <c r="AC63" s="57">
        <f t="shared" si="19"/>
        <v>19090.909090909037</v>
      </c>
      <c r="AD63" s="57">
        <v>0</v>
      </c>
      <c r="AE63" s="57">
        <v>0</v>
      </c>
      <c r="AF63" s="57">
        <v>0</v>
      </c>
      <c r="AG63" s="57">
        <v>0</v>
      </c>
      <c r="AH63" s="57">
        <v>0</v>
      </c>
      <c r="AI63" s="57">
        <v>0</v>
      </c>
      <c r="AJ63" s="57">
        <v>0</v>
      </c>
      <c r="AK63" s="57">
        <v>0</v>
      </c>
      <c r="AL63" s="57">
        <v>0</v>
      </c>
      <c r="AM63" s="57">
        <v>0</v>
      </c>
      <c r="AN63" s="57">
        <v>0</v>
      </c>
    </row>
    <row r="64" spans="1:41" ht="13.5" customHeight="1" x14ac:dyDescent="0.3">
      <c r="C64" s="64"/>
    </row>
    <row r="65" spans="1:40" s="113" customFormat="1" ht="13.5" customHeight="1" x14ac:dyDescent="0.3">
      <c r="A65" s="25"/>
      <c r="C65" s="114"/>
    </row>
    <row r="66" spans="1:40" s="51" customFormat="1" ht="13.5" customHeight="1" x14ac:dyDescent="0.3">
      <c r="C66" s="65"/>
    </row>
    <row r="68" spans="1:40" s="57" customFormat="1" ht="13.5" customHeight="1" x14ac:dyDescent="0.3">
      <c r="A68" s="57" t="s">
        <v>110</v>
      </c>
      <c r="B68" s="57" t="s">
        <v>137</v>
      </c>
      <c r="D68" s="57">
        <f t="shared" ref="D68:AN68" si="20">D58-D61-D62-D63-D65</f>
        <v>-1835909.0909090906</v>
      </c>
      <c r="E68" s="57">
        <f t="shared" si="20"/>
        <v>-1351219.4357366769</v>
      </c>
      <c r="F68" s="57">
        <f t="shared" si="20"/>
        <v>-567528.40125391854</v>
      </c>
      <c r="G68" s="57">
        <f t="shared" si="20"/>
        <v>-184256.67711598735</v>
      </c>
      <c r="H68" s="57">
        <f t="shared" si="20"/>
        <v>-399917.24137931084</v>
      </c>
      <c r="I68" s="57">
        <f t="shared" si="20"/>
        <v>-33812.413793102787</v>
      </c>
      <c r="J68" s="57">
        <f t="shared" si="20"/>
        <v>583172.41379310377</v>
      </c>
      <c r="K68" s="57">
        <f t="shared" si="20"/>
        <v>1064675.86206897</v>
      </c>
      <c r="L68" s="57">
        <f t="shared" si="20"/>
        <v>1838634.4827586219</v>
      </c>
      <c r="M68" s="57">
        <f t="shared" si="20"/>
        <v>2200568.2758620726</v>
      </c>
      <c r="N68" s="57">
        <f t="shared" si="20"/>
        <v>2895740.6896551736</v>
      </c>
      <c r="O68" s="57">
        <f t="shared" si="20"/>
        <v>3590913.1034482848</v>
      </c>
      <c r="P68" s="57">
        <f t="shared" si="20"/>
        <v>3486019.3103448311</v>
      </c>
      <c r="Q68" s="57">
        <f t="shared" si="20"/>
        <v>3996275.8620689744</v>
      </c>
      <c r="R68" s="57">
        <f t="shared" si="20"/>
        <v>4506532.4137931028</v>
      </c>
      <c r="S68" s="57">
        <f t="shared" si="20"/>
        <v>4692240.0000000065</v>
      </c>
      <c r="T68" s="57">
        <f t="shared" si="20"/>
        <v>3651045.5172413797</v>
      </c>
      <c r="U68" s="57">
        <f t="shared" si="20"/>
        <v>3892965.5172413853</v>
      </c>
      <c r="V68" s="57">
        <f t="shared" si="20"/>
        <v>3742209.6551724207</v>
      </c>
      <c r="W68" s="57">
        <f t="shared" si="20"/>
        <v>3523326.8965517213</v>
      </c>
      <c r="X68" s="57">
        <f t="shared" si="20"/>
        <v>3674411.0344827608</v>
      </c>
      <c r="Y68" s="57">
        <f t="shared" si="20"/>
        <v>2013586.206896568</v>
      </c>
      <c r="Z68" s="57">
        <f t="shared" si="20"/>
        <v>688896.55172412819</v>
      </c>
      <c r="AA68" s="57">
        <f t="shared" si="20"/>
        <v>688896.55172414915</v>
      </c>
      <c r="AB68" s="57">
        <f t="shared" si="20"/>
        <v>239448.27586206718</v>
      </c>
      <c r="AC68" s="57">
        <f t="shared" si="20"/>
        <v>239448.27586206718</v>
      </c>
      <c r="AD68" s="57">
        <f t="shared" si="20"/>
        <v>0</v>
      </c>
      <c r="AE68" s="57">
        <f t="shared" si="20"/>
        <v>0</v>
      </c>
      <c r="AF68" s="57">
        <f t="shared" si="20"/>
        <v>0</v>
      </c>
      <c r="AG68" s="57">
        <f t="shared" si="20"/>
        <v>0</v>
      </c>
      <c r="AH68" s="57">
        <f t="shared" si="20"/>
        <v>0</v>
      </c>
      <c r="AI68" s="57">
        <f t="shared" si="20"/>
        <v>0</v>
      </c>
      <c r="AJ68" s="57">
        <f t="shared" si="20"/>
        <v>0</v>
      </c>
      <c r="AK68" s="57">
        <f t="shared" si="20"/>
        <v>0</v>
      </c>
      <c r="AL68" s="57">
        <f t="shared" si="20"/>
        <v>0</v>
      </c>
      <c r="AM68" s="57">
        <f t="shared" si="20"/>
        <v>0</v>
      </c>
      <c r="AN68" s="57">
        <f t="shared" si="20"/>
        <v>0</v>
      </c>
    </row>
    <row r="69" spans="1:40" s="51" customFormat="1" ht="13.5" customHeight="1" x14ac:dyDescent="0.3">
      <c r="C69" s="65"/>
    </row>
    <row r="70" spans="1:40" ht="13.5" customHeight="1" x14ac:dyDescent="0.3"/>
    <row r="71" spans="1:40" s="57" customFormat="1" ht="13.5" customHeight="1" x14ac:dyDescent="0.3">
      <c r="B71" s="57" t="s">
        <v>138</v>
      </c>
      <c r="D71" s="57">
        <f t="shared" ref="D71:AN71" si="21">$C$22*D51</f>
        <v>0</v>
      </c>
      <c r="E71" s="57">
        <f t="shared" si="21"/>
        <v>30587.586206896551</v>
      </c>
      <c r="F71" s="57">
        <f t="shared" si="21"/>
        <v>48495.227586206907</v>
      </c>
      <c r="G71" s="57">
        <f t="shared" si="21"/>
        <v>50386.096551724127</v>
      </c>
      <c r="H71" s="57">
        <f t="shared" si="21"/>
        <v>106083.31034482759</v>
      </c>
      <c r="I71" s="57">
        <f t="shared" si="21"/>
        <v>143687.50344827594</v>
      </c>
      <c r="J71" s="57">
        <f t="shared" si="21"/>
        <v>195806.89655172409</v>
      </c>
      <c r="K71" s="57">
        <f t="shared" si="21"/>
        <v>238027.03448275887</v>
      </c>
      <c r="L71" s="57">
        <f t="shared" si="21"/>
        <v>268985.37931034475</v>
      </c>
      <c r="M71" s="57">
        <f t="shared" si="21"/>
        <v>306422.73103448289</v>
      </c>
      <c r="N71" s="57">
        <f t="shared" si="21"/>
        <v>334229.62758620712</v>
      </c>
      <c r="O71" s="57">
        <f t="shared" si="21"/>
        <v>362036.52413793118</v>
      </c>
      <c r="P71" s="57">
        <f t="shared" si="21"/>
        <v>353360.77241379319</v>
      </c>
      <c r="Q71" s="57">
        <f t="shared" si="21"/>
        <v>373771.03448275896</v>
      </c>
      <c r="R71" s="57">
        <f t="shared" si="21"/>
        <v>394181.29655172408</v>
      </c>
      <c r="S71" s="57">
        <f t="shared" si="21"/>
        <v>374169.60000000062</v>
      </c>
      <c r="T71" s="57">
        <f t="shared" si="21"/>
        <v>300601.82068965497</v>
      </c>
      <c r="U71" s="57">
        <f t="shared" si="21"/>
        <v>310278.62068965554</v>
      </c>
      <c r="V71" s="57">
        <f t="shared" si="21"/>
        <v>276808.38620689692</v>
      </c>
      <c r="W71" s="57">
        <f t="shared" si="21"/>
        <v>240613.07586206854</v>
      </c>
      <c r="X71" s="57">
        <f t="shared" si="21"/>
        <v>246656.4413793105</v>
      </c>
      <c r="Y71" s="57">
        <f t="shared" si="21"/>
        <v>148303.44827586293</v>
      </c>
      <c r="Z71" s="57">
        <f t="shared" si="21"/>
        <v>90835.862068964838</v>
      </c>
      <c r="AA71" s="57">
        <f t="shared" si="21"/>
        <v>90835.862068966031</v>
      </c>
      <c r="AB71" s="57">
        <f t="shared" si="21"/>
        <v>45417.931034482717</v>
      </c>
      <c r="AC71" s="57">
        <f t="shared" si="21"/>
        <v>45417.931034482717</v>
      </c>
      <c r="AD71" s="57">
        <f t="shared" si="21"/>
        <v>0</v>
      </c>
      <c r="AE71" s="57">
        <f t="shared" si="21"/>
        <v>0</v>
      </c>
      <c r="AF71" s="57">
        <f t="shared" si="21"/>
        <v>0</v>
      </c>
      <c r="AG71" s="57">
        <f t="shared" si="21"/>
        <v>0</v>
      </c>
      <c r="AH71" s="57">
        <f t="shared" si="21"/>
        <v>0</v>
      </c>
      <c r="AI71" s="57">
        <f t="shared" si="21"/>
        <v>0</v>
      </c>
      <c r="AJ71" s="57">
        <f t="shared" si="21"/>
        <v>0</v>
      </c>
      <c r="AK71" s="57">
        <f t="shared" si="21"/>
        <v>0</v>
      </c>
      <c r="AL71" s="57">
        <f t="shared" si="21"/>
        <v>0</v>
      </c>
      <c r="AM71" s="57">
        <f t="shared" si="21"/>
        <v>0</v>
      </c>
      <c r="AN71" s="57">
        <f t="shared" si="21"/>
        <v>0</v>
      </c>
    </row>
    <row r="72" spans="1:40" ht="13.5" customHeight="1" x14ac:dyDescent="0.3">
      <c r="C72" s="64"/>
    </row>
    <row r="73" spans="1:40" s="97" customFormat="1" ht="13.5" customHeight="1" x14ac:dyDescent="0.3">
      <c r="B73" s="111" t="s">
        <v>139</v>
      </c>
      <c r="C73" s="111"/>
      <c r="D73" s="110">
        <v>0</v>
      </c>
      <c r="E73" s="110">
        <v>1</v>
      </c>
      <c r="F73" s="110">
        <v>2</v>
      </c>
      <c r="G73" s="110">
        <v>3</v>
      </c>
      <c r="H73" s="110">
        <v>4</v>
      </c>
      <c r="I73" s="110">
        <v>5</v>
      </c>
      <c r="J73" s="110">
        <v>6</v>
      </c>
      <c r="K73" s="110">
        <v>7</v>
      </c>
      <c r="L73" s="110">
        <v>8</v>
      </c>
      <c r="M73" s="110">
        <v>9</v>
      </c>
      <c r="N73" s="110">
        <v>10</v>
      </c>
      <c r="O73" s="110">
        <v>11</v>
      </c>
      <c r="P73" s="110">
        <v>12</v>
      </c>
      <c r="Q73" s="110">
        <v>13</v>
      </c>
      <c r="R73" s="110">
        <v>14</v>
      </c>
      <c r="S73" s="110">
        <v>15</v>
      </c>
      <c r="T73" s="110">
        <v>16</v>
      </c>
      <c r="U73" s="110">
        <v>17</v>
      </c>
      <c r="V73" s="110">
        <v>18</v>
      </c>
      <c r="W73" s="110">
        <v>19</v>
      </c>
      <c r="X73" s="110">
        <v>20</v>
      </c>
      <c r="Y73" s="110">
        <v>21</v>
      </c>
      <c r="Z73" s="110">
        <v>22</v>
      </c>
      <c r="AA73" s="110">
        <v>23</v>
      </c>
      <c r="AB73" s="110">
        <v>24</v>
      </c>
      <c r="AC73" s="110">
        <v>25</v>
      </c>
      <c r="AD73" s="110">
        <v>26</v>
      </c>
      <c r="AE73" s="110">
        <v>27</v>
      </c>
      <c r="AF73" s="110">
        <v>28</v>
      </c>
      <c r="AG73" s="110">
        <f t="shared" ref="AG73:AN73" si="22">AF73+1</f>
        <v>29</v>
      </c>
      <c r="AH73" s="110">
        <f t="shared" si="22"/>
        <v>30</v>
      </c>
      <c r="AI73" s="110">
        <f t="shared" si="22"/>
        <v>31</v>
      </c>
      <c r="AJ73" s="110">
        <f t="shared" si="22"/>
        <v>32</v>
      </c>
      <c r="AK73" s="110">
        <f t="shared" si="22"/>
        <v>33</v>
      </c>
      <c r="AL73" s="110">
        <f t="shared" si="22"/>
        <v>34</v>
      </c>
      <c r="AM73" s="110">
        <f t="shared" si="22"/>
        <v>35</v>
      </c>
      <c r="AN73" s="110">
        <f t="shared" si="22"/>
        <v>36</v>
      </c>
    </row>
    <row r="74" spans="1:40" ht="13.5" customHeight="1" x14ac:dyDescent="0.3">
      <c r="B74" s="69" t="s">
        <v>140</v>
      </c>
      <c r="C74" s="69"/>
      <c r="D74" s="57">
        <f t="shared" ref="D74:AN74" si="23">D47</f>
        <v>0</v>
      </c>
      <c r="E74" s="57">
        <f t="shared" si="23"/>
        <v>764689.6551724138</v>
      </c>
      <c r="F74" s="57">
        <f t="shared" si="23"/>
        <v>1212380.6896551726</v>
      </c>
      <c r="G74" s="57">
        <f t="shared" si="23"/>
        <v>1259652.4137931031</v>
      </c>
      <c r="H74" s="57">
        <f t="shared" si="23"/>
        <v>2652082.7586206896</v>
      </c>
      <c r="I74" s="57">
        <f t="shared" si="23"/>
        <v>3592187.5862068981</v>
      </c>
      <c r="J74" s="57">
        <f t="shared" si="23"/>
        <v>4895172.4137931019</v>
      </c>
      <c r="K74" s="57">
        <f t="shared" si="23"/>
        <v>5950675.8620689716</v>
      </c>
      <c r="L74" s="57">
        <f t="shared" si="23"/>
        <v>6724634.4827586189</v>
      </c>
      <c r="M74" s="57">
        <f t="shared" si="23"/>
        <v>7660568.2758620717</v>
      </c>
      <c r="N74" s="57">
        <f t="shared" si="23"/>
        <v>8355740.6896551773</v>
      </c>
      <c r="O74" s="57">
        <f t="shared" si="23"/>
        <v>9050913.1034482792</v>
      </c>
      <c r="P74" s="57">
        <f t="shared" si="23"/>
        <v>8834019.3103448302</v>
      </c>
      <c r="Q74" s="57">
        <f t="shared" si="23"/>
        <v>9344275.8620689735</v>
      </c>
      <c r="R74" s="57">
        <f t="shared" si="23"/>
        <v>9854532.4137931019</v>
      </c>
      <c r="S74" s="57">
        <f t="shared" si="23"/>
        <v>9354240.0000000149</v>
      </c>
      <c r="T74" s="57">
        <f t="shared" si="23"/>
        <v>7515045.5172413737</v>
      </c>
      <c r="U74" s="57">
        <f t="shared" si="23"/>
        <v>7756965.5172413886</v>
      </c>
      <c r="V74" s="57">
        <f t="shared" si="23"/>
        <v>6920209.6551724225</v>
      </c>
      <c r="W74" s="57">
        <f t="shared" si="23"/>
        <v>6015326.8965517133</v>
      </c>
      <c r="X74" s="57">
        <f t="shared" si="23"/>
        <v>6166411.0344827622</v>
      </c>
      <c r="Y74" s="57">
        <f t="shared" si="23"/>
        <v>3707586.2068965733</v>
      </c>
      <c r="Z74" s="57">
        <f t="shared" si="23"/>
        <v>2270896.551724121</v>
      </c>
      <c r="AA74" s="57">
        <f t="shared" si="23"/>
        <v>2270896.5517241508</v>
      </c>
      <c r="AB74" s="57">
        <f t="shared" si="23"/>
        <v>1135448.2758620679</v>
      </c>
      <c r="AC74" s="57">
        <f t="shared" si="23"/>
        <v>1135448.2758620679</v>
      </c>
      <c r="AD74" s="57">
        <f t="shared" si="23"/>
        <v>0</v>
      </c>
      <c r="AE74" s="57">
        <f t="shared" si="23"/>
        <v>0</v>
      </c>
      <c r="AF74" s="57">
        <f t="shared" si="23"/>
        <v>0</v>
      </c>
      <c r="AG74" s="57">
        <f t="shared" si="23"/>
        <v>0</v>
      </c>
      <c r="AH74" s="57">
        <f t="shared" si="23"/>
        <v>0</v>
      </c>
      <c r="AI74" s="57">
        <f t="shared" si="23"/>
        <v>0</v>
      </c>
      <c r="AJ74" s="57">
        <f t="shared" si="23"/>
        <v>0</v>
      </c>
      <c r="AK74" s="57">
        <f t="shared" si="23"/>
        <v>0</v>
      </c>
      <c r="AL74" s="57">
        <f t="shared" si="23"/>
        <v>0</v>
      </c>
      <c r="AM74" s="57">
        <f t="shared" si="23"/>
        <v>0</v>
      </c>
      <c r="AN74" s="57">
        <f t="shared" si="23"/>
        <v>0</v>
      </c>
    </row>
    <row r="75" spans="1:40" s="57" customFormat="1" ht="14.25" customHeight="1" x14ac:dyDescent="0.3">
      <c r="B75" s="57" t="s">
        <v>133</v>
      </c>
      <c r="D75" s="57">
        <f t="shared" ref="D75:AC75" si="24">-$C$20*$C$8/22</f>
        <v>-190909.09090909091</v>
      </c>
      <c r="E75" s="57">
        <f t="shared" si="24"/>
        <v>-190909.09090909091</v>
      </c>
      <c r="F75" s="57">
        <f t="shared" si="24"/>
        <v>-190909.09090909091</v>
      </c>
      <c r="G75" s="57">
        <f t="shared" si="24"/>
        <v>-190909.09090909091</v>
      </c>
      <c r="H75" s="57">
        <f t="shared" si="24"/>
        <v>-190909.09090909091</v>
      </c>
      <c r="I75" s="57">
        <f t="shared" si="24"/>
        <v>-190909.09090909091</v>
      </c>
      <c r="J75" s="57">
        <f t="shared" si="24"/>
        <v>-190909.09090909091</v>
      </c>
      <c r="K75" s="57">
        <f t="shared" si="24"/>
        <v>-190909.09090909091</v>
      </c>
      <c r="L75" s="57">
        <f t="shared" si="24"/>
        <v>-190909.09090909091</v>
      </c>
      <c r="M75" s="57">
        <f t="shared" si="24"/>
        <v>-190909.09090909091</v>
      </c>
      <c r="N75" s="57">
        <f t="shared" si="24"/>
        <v>-190909.09090909091</v>
      </c>
      <c r="O75" s="57">
        <f t="shared" si="24"/>
        <v>-190909.09090909091</v>
      </c>
      <c r="P75" s="57">
        <f t="shared" si="24"/>
        <v>-190909.09090909091</v>
      </c>
      <c r="Q75" s="57">
        <f t="shared" si="24"/>
        <v>-190909.09090909091</v>
      </c>
      <c r="R75" s="57">
        <f t="shared" si="24"/>
        <v>-190909.09090909091</v>
      </c>
      <c r="S75" s="57">
        <f t="shared" si="24"/>
        <v>-190909.09090909091</v>
      </c>
      <c r="T75" s="57">
        <f t="shared" si="24"/>
        <v>-190909.09090909091</v>
      </c>
      <c r="U75" s="57">
        <f t="shared" si="24"/>
        <v>-190909.09090909091</v>
      </c>
      <c r="V75" s="57">
        <f t="shared" si="24"/>
        <v>-190909.09090909091</v>
      </c>
      <c r="W75" s="57">
        <f t="shared" si="24"/>
        <v>-190909.09090909091</v>
      </c>
      <c r="X75" s="57">
        <f t="shared" si="24"/>
        <v>-190909.09090909091</v>
      </c>
      <c r="Y75" s="57">
        <f t="shared" si="24"/>
        <v>-190909.09090909091</v>
      </c>
      <c r="Z75" s="57">
        <f t="shared" si="24"/>
        <v>-190909.09090909091</v>
      </c>
      <c r="AA75" s="57">
        <f t="shared" si="24"/>
        <v>-190909.09090909091</v>
      </c>
      <c r="AB75" s="57">
        <f t="shared" si="24"/>
        <v>-190909.09090909091</v>
      </c>
      <c r="AC75" s="57">
        <f t="shared" si="24"/>
        <v>-190909.09090909091</v>
      </c>
      <c r="AD75" s="57">
        <v>0</v>
      </c>
      <c r="AE75" s="57">
        <v>0</v>
      </c>
      <c r="AF75" s="57">
        <v>0</v>
      </c>
      <c r="AG75" s="57">
        <v>0</v>
      </c>
      <c r="AH75" s="57">
        <v>0</v>
      </c>
      <c r="AI75" s="57">
        <v>0</v>
      </c>
      <c r="AJ75" s="57">
        <v>0</v>
      </c>
      <c r="AK75" s="57">
        <v>0</v>
      </c>
      <c r="AL75" s="57">
        <v>0</v>
      </c>
      <c r="AM75" s="57">
        <v>0</v>
      </c>
      <c r="AN75" s="57">
        <v>0</v>
      </c>
    </row>
    <row r="76" spans="1:40" ht="13.5" customHeight="1" x14ac:dyDescent="0.3">
      <c r="B76" s="69" t="s">
        <v>141</v>
      </c>
      <c r="C76" s="69"/>
      <c r="D76" s="57">
        <f>-$C$14*$C$8</f>
        <v>-1400000</v>
      </c>
      <c r="E76" s="57">
        <v>0</v>
      </c>
      <c r="F76" s="57">
        <v>0</v>
      </c>
      <c r="G76" s="57">
        <v>0</v>
      </c>
      <c r="H76" s="57">
        <v>0</v>
      </c>
      <c r="I76" s="57">
        <v>0</v>
      </c>
      <c r="J76" s="57">
        <v>0</v>
      </c>
      <c r="K76" s="57">
        <v>0</v>
      </c>
      <c r="L76" s="57">
        <v>0</v>
      </c>
      <c r="M76" s="57">
        <v>0</v>
      </c>
      <c r="N76" s="57">
        <v>0</v>
      </c>
      <c r="O76" s="57">
        <v>0</v>
      </c>
      <c r="P76" s="57">
        <v>0</v>
      </c>
      <c r="Q76" s="57">
        <v>0</v>
      </c>
      <c r="R76" s="57">
        <v>0</v>
      </c>
      <c r="S76" s="57">
        <v>0</v>
      </c>
      <c r="T76" s="57">
        <v>0</v>
      </c>
      <c r="U76" s="57">
        <v>0</v>
      </c>
      <c r="V76" s="57">
        <v>0</v>
      </c>
      <c r="W76" s="57">
        <v>0</v>
      </c>
      <c r="X76" s="57">
        <v>0</v>
      </c>
      <c r="Y76" s="57">
        <v>0</v>
      </c>
      <c r="Z76" s="57">
        <v>0</v>
      </c>
      <c r="AA76" s="57">
        <v>0</v>
      </c>
      <c r="AB76" s="57">
        <v>0</v>
      </c>
      <c r="AC76" s="57">
        <v>0</v>
      </c>
      <c r="AD76" s="57">
        <v>0</v>
      </c>
      <c r="AE76" s="57">
        <v>0</v>
      </c>
      <c r="AF76" s="57">
        <v>0</v>
      </c>
      <c r="AG76" s="57">
        <v>0</v>
      </c>
      <c r="AH76" s="57">
        <v>0</v>
      </c>
      <c r="AI76" s="57">
        <v>0</v>
      </c>
      <c r="AJ76" s="57">
        <v>0</v>
      </c>
      <c r="AK76" s="57">
        <v>0</v>
      </c>
      <c r="AL76" s="57">
        <v>0</v>
      </c>
      <c r="AM76" s="57">
        <v>0</v>
      </c>
      <c r="AN76" s="57">
        <v>0</v>
      </c>
    </row>
    <row r="77" spans="1:40" ht="13.5" hidden="1" customHeight="1" x14ac:dyDescent="0.3">
      <c r="B77" s="69" t="s">
        <v>142</v>
      </c>
      <c r="C77" s="69"/>
      <c r="D77" s="57">
        <f t="shared" ref="D77:AN77" si="25">-D39*$C$8</f>
        <v>0</v>
      </c>
      <c r="E77" s="57">
        <f t="shared" si="25"/>
        <v>0</v>
      </c>
      <c r="F77" s="57">
        <f t="shared" si="25"/>
        <v>0</v>
      </c>
      <c r="G77" s="57">
        <f t="shared" si="25"/>
        <v>0</v>
      </c>
      <c r="H77" s="57">
        <f t="shared" si="25"/>
        <v>0</v>
      </c>
      <c r="I77" s="57">
        <f t="shared" si="25"/>
        <v>0</v>
      </c>
      <c r="J77" s="57">
        <f t="shared" si="25"/>
        <v>0</v>
      </c>
      <c r="K77" s="57">
        <f t="shared" si="25"/>
        <v>0</v>
      </c>
      <c r="L77" s="57">
        <f t="shared" si="25"/>
        <v>0</v>
      </c>
      <c r="M77" s="57">
        <f t="shared" si="25"/>
        <v>0</v>
      </c>
      <c r="N77" s="57">
        <f t="shared" si="25"/>
        <v>0</v>
      </c>
      <c r="O77" s="57">
        <f t="shared" si="25"/>
        <v>0</v>
      </c>
      <c r="P77" s="28">
        <f t="shared" si="25"/>
        <v>0</v>
      </c>
      <c r="Q77" s="25">
        <f t="shared" si="25"/>
        <v>0</v>
      </c>
      <c r="R77" s="25">
        <f t="shared" si="25"/>
        <v>0</v>
      </c>
      <c r="S77" s="25">
        <f t="shared" si="25"/>
        <v>0</v>
      </c>
      <c r="T77" s="25">
        <f t="shared" si="25"/>
        <v>0</v>
      </c>
      <c r="U77" s="25">
        <f t="shared" si="25"/>
        <v>0</v>
      </c>
      <c r="V77" s="25">
        <f t="shared" si="25"/>
        <v>0</v>
      </c>
      <c r="W77" s="25">
        <f t="shared" si="25"/>
        <v>0</v>
      </c>
      <c r="X77" s="25">
        <f t="shared" si="25"/>
        <v>0</v>
      </c>
      <c r="Y77" s="25">
        <f t="shared" si="25"/>
        <v>0</v>
      </c>
      <c r="Z77" s="25">
        <f t="shared" si="25"/>
        <v>0</v>
      </c>
      <c r="AA77" s="25">
        <f t="shared" si="25"/>
        <v>0</v>
      </c>
      <c r="AB77" s="25">
        <f t="shared" si="25"/>
        <v>0</v>
      </c>
      <c r="AC77" s="25">
        <f t="shared" si="25"/>
        <v>0</v>
      </c>
      <c r="AD77" s="25">
        <f t="shared" si="25"/>
        <v>0</v>
      </c>
      <c r="AE77" s="25">
        <f t="shared" si="25"/>
        <v>0</v>
      </c>
      <c r="AF77" s="25">
        <f t="shared" si="25"/>
        <v>0</v>
      </c>
      <c r="AG77" s="25">
        <f t="shared" si="25"/>
        <v>0</v>
      </c>
      <c r="AH77" s="25">
        <f t="shared" si="25"/>
        <v>0</v>
      </c>
      <c r="AI77" s="25">
        <f t="shared" si="25"/>
        <v>0</v>
      </c>
      <c r="AJ77" s="25">
        <f t="shared" si="25"/>
        <v>0</v>
      </c>
      <c r="AK77" s="25">
        <f t="shared" si="25"/>
        <v>0</v>
      </c>
      <c r="AL77" s="25">
        <f t="shared" si="25"/>
        <v>0</v>
      </c>
      <c r="AM77" s="25">
        <f t="shared" si="25"/>
        <v>0</v>
      </c>
      <c r="AN77" s="25">
        <f t="shared" si="25"/>
        <v>0</v>
      </c>
    </row>
    <row r="78" spans="1:40" ht="13.5" customHeight="1" x14ac:dyDescent="0.3">
      <c r="B78" s="69" t="s">
        <v>143</v>
      </c>
      <c r="C78" s="69"/>
      <c r="D78" s="57">
        <f t="shared" ref="D78:AN78" si="26">-D37*$C$16*$C$8</f>
        <v>0</v>
      </c>
      <c r="E78" s="57">
        <f t="shared" si="26"/>
        <v>0</v>
      </c>
      <c r="F78" s="57">
        <f t="shared" si="26"/>
        <v>0</v>
      </c>
      <c r="G78" s="57">
        <f t="shared" si="26"/>
        <v>0</v>
      </c>
      <c r="H78" s="57">
        <f t="shared" si="26"/>
        <v>-2058000</v>
      </c>
      <c r="I78" s="57">
        <f t="shared" si="26"/>
        <v>-2744000</v>
      </c>
      <c r="J78" s="57">
        <f t="shared" si="26"/>
        <v>-3430000</v>
      </c>
      <c r="K78" s="57">
        <f t="shared" si="26"/>
        <v>-4116000</v>
      </c>
      <c r="L78" s="57">
        <f t="shared" si="26"/>
        <v>-4116000</v>
      </c>
      <c r="M78" s="57">
        <f t="shared" si="26"/>
        <v>-4802000.0000000009</v>
      </c>
      <c r="N78" s="57">
        <f t="shared" si="26"/>
        <v>-4802000.0000000009</v>
      </c>
      <c r="O78" s="57">
        <f t="shared" si="26"/>
        <v>-4802000.0000000009</v>
      </c>
      <c r="P78" s="57">
        <f t="shared" si="26"/>
        <v>-4802000.0000000009</v>
      </c>
      <c r="Q78" s="57">
        <f t="shared" si="26"/>
        <v>-4802000.0000000009</v>
      </c>
      <c r="R78" s="57">
        <f t="shared" si="26"/>
        <v>-4802000.0000000009</v>
      </c>
      <c r="S78" s="57">
        <f t="shared" si="26"/>
        <v>-4116000</v>
      </c>
      <c r="T78" s="57">
        <f t="shared" si="26"/>
        <v>-3430000</v>
      </c>
      <c r="U78" s="57">
        <f t="shared" si="26"/>
        <v>-3430000</v>
      </c>
      <c r="V78" s="57">
        <f t="shared" si="26"/>
        <v>-2744000</v>
      </c>
      <c r="W78" s="57">
        <f t="shared" si="26"/>
        <v>-2058000</v>
      </c>
      <c r="X78" s="57">
        <f t="shared" si="26"/>
        <v>-2058000</v>
      </c>
      <c r="Y78" s="57">
        <f t="shared" si="26"/>
        <v>-1372000</v>
      </c>
      <c r="Z78" s="57">
        <f t="shared" si="26"/>
        <v>-1372000</v>
      </c>
      <c r="AA78" s="57">
        <f t="shared" si="26"/>
        <v>-1372000</v>
      </c>
      <c r="AB78" s="57">
        <f t="shared" si="26"/>
        <v>-686000</v>
      </c>
      <c r="AC78" s="57">
        <f t="shared" si="26"/>
        <v>-686000</v>
      </c>
      <c r="AD78" s="57">
        <f t="shared" si="26"/>
        <v>0</v>
      </c>
      <c r="AE78" s="57">
        <f t="shared" si="26"/>
        <v>0</v>
      </c>
      <c r="AF78" s="57">
        <f t="shared" si="26"/>
        <v>0</v>
      </c>
      <c r="AG78" s="57">
        <f t="shared" si="26"/>
        <v>0</v>
      </c>
      <c r="AH78" s="57">
        <f t="shared" si="26"/>
        <v>0</v>
      </c>
      <c r="AI78" s="57">
        <f t="shared" si="26"/>
        <v>0</v>
      </c>
      <c r="AJ78" s="57">
        <f t="shared" si="26"/>
        <v>0</v>
      </c>
      <c r="AK78" s="57">
        <f t="shared" si="26"/>
        <v>0</v>
      </c>
      <c r="AL78" s="57">
        <f t="shared" si="26"/>
        <v>0</v>
      </c>
      <c r="AM78" s="57">
        <f t="shared" si="26"/>
        <v>0</v>
      </c>
      <c r="AN78" s="57">
        <f t="shared" si="26"/>
        <v>0</v>
      </c>
    </row>
    <row r="79" spans="1:40" ht="13.5" customHeight="1" x14ac:dyDescent="0.3">
      <c r="B79" s="69" t="s">
        <v>144</v>
      </c>
      <c r="C79" s="69"/>
      <c r="D79" s="57">
        <f t="shared" ref="D79:AN79" si="27">-D37*$C$8*$C$17</f>
        <v>0</v>
      </c>
      <c r="E79" s="57">
        <f t="shared" si="27"/>
        <v>0</v>
      </c>
      <c r="F79" s="57">
        <f t="shared" si="27"/>
        <v>0</v>
      </c>
      <c r="G79" s="57">
        <f t="shared" si="27"/>
        <v>0</v>
      </c>
      <c r="H79" s="57">
        <f t="shared" si="27"/>
        <v>-336000</v>
      </c>
      <c r="I79" s="57">
        <f t="shared" si="27"/>
        <v>-448000</v>
      </c>
      <c r="J79" s="57">
        <f t="shared" si="27"/>
        <v>-560000</v>
      </c>
      <c r="K79" s="57">
        <f t="shared" si="27"/>
        <v>-672000</v>
      </c>
      <c r="L79" s="57">
        <f t="shared" si="27"/>
        <v>-672000</v>
      </c>
      <c r="M79" s="57">
        <f t="shared" si="27"/>
        <v>-784000.00000000012</v>
      </c>
      <c r="N79" s="57">
        <f t="shared" si="27"/>
        <v>-784000.00000000012</v>
      </c>
      <c r="O79" s="57">
        <f t="shared" si="27"/>
        <v>-784000.00000000012</v>
      </c>
      <c r="P79" s="25">
        <f t="shared" si="27"/>
        <v>-784000.00000000012</v>
      </c>
      <c r="Q79" s="25">
        <f t="shared" si="27"/>
        <v>-784000.00000000012</v>
      </c>
      <c r="R79" s="25">
        <f t="shared" si="27"/>
        <v>-784000.00000000012</v>
      </c>
      <c r="S79" s="25">
        <f t="shared" si="27"/>
        <v>-672000</v>
      </c>
      <c r="T79" s="25">
        <f t="shared" si="27"/>
        <v>-560000</v>
      </c>
      <c r="U79" s="25">
        <f t="shared" si="27"/>
        <v>-560000</v>
      </c>
      <c r="V79" s="25">
        <f t="shared" si="27"/>
        <v>-448000</v>
      </c>
      <c r="W79" s="25">
        <f t="shared" si="27"/>
        <v>-336000</v>
      </c>
      <c r="X79" s="25">
        <f t="shared" si="27"/>
        <v>-336000</v>
      </c>
      <c r="Y79" s="25">
        <f t="shared" si="27"/>
        <v>-224000</v>
      </c>
      <c r="Z79" s="25">
        <f t="shared" si="27"/>
        <v>-224000</v>
      </c>
      <c r="AA79" s="25">
        <f t="shared" si="27"/>
        <v>-224000</v>
      </c>
      <c r="AB79" s="25">
        <f t="shared" si="27"/>
        <v>-112000</v>
      </c>
      <c r="AC79" s="25">
        <f t="shared" si="27"/>
        <v>-112000</v>
      </c>
      <c r="AD79" s="25">
        <f t="shared" si="27"/>
        <v>0</v>
      </c>
      <c r="AE79" s="25">
        <f t="shared" si="27"/>
        <v>0</v>
      </c>
      <c r="AF79" s="25">
        <f t="shared" si="27"/>
        <v>0</v>
      </c>
      <c r="AG79" s="25">
        <f t="shared" si="27"/>
        <v>0</v>
      </c>
      <c r="AH79" s="25">
        <f t="shared" si="27"/>
        <v>0</v>
      </c>
      <c r="AI79" s="25">
        <f t="shared" si="27"/>
        <v>0</v>
      </c>
      <c r="AJ79" s="25">
        <f t="shared" si="27"/>
        <v>0</v>
      </c>
      <c r="AK79" s="25">
        <f t="shared" si="27"/>
        <v>0</v>
      </c>
      <c r="AL79" s="25">
        <f t="shared" si="27"/>
        <v>0</v>
      </c>
      <c r="AM79" s="25">
        <f t="shared" si="27"/>
        <v>0</v>
      </c>
      <c r="AN79" s="25">
        <f t="shared" si="27"/>
        <v>0</v>
      </c>
    </row>
    <row r="80" spans="1:40" ht="13.5" hidden="1" customHeight="1" x14ac:dyDescent="0.3">
      <c r="B80" s="69" t="s">
        <v>134</v>
      </c>
      <c r="C80" s="69"/>
      <c r="D80" s="57">
        <f>-$C$23*$C$8*0.075</f>
        <v>0</v>
      </c>
      <c r="E80" s="57">
        <f>-$C$23*$C$8*0.075</f>
        <v>0</v>
      </c>
      <c r="F80" s="57">
        <f>-$C$23*$C$8*0.075</f>
        <v>0</v>
      </c>
      <c r="G80" s="57">
        <f>-$C$23*$C$8*0.075</f>
        <v>0</v>
      </c>
      <c r="H80" s="57">
        <f t="shared" ref="H80:W80" si="28">-$C$23*$C$8*0.01875</f>
        <v>0</v>
      </c>
      <c r="I80" s="57">
        <f t="shared" si="28"/>
        <v>0</v>
      </c>
      <c r="J80" s="57">
        <f t="shared" si="28"/>
        <v>0</v>
      </c>
      <c r="K80" s="57">
        <f t="shared" si="28"/>
        <v>0</v>
      </c>
      <c r="L80" s="57">
        <f t="shared" si="28"/>
        <v>0</v>
      </c>
      <c r="M80" s="57">
        <f t="shared" si="28"/>
        <v>0</v>
      </c>
      <c r="N80" s="57">
        <f t="shared" si="28"/>
        <v>0</v>
      </c>
      <c r="O80" s="57">
        <f t="shared" si="28"/>
        <v>0</v>
      </c>
      <c r="P80" s="57">
        <f t="shared" si="28"/>
        <v>0</v>
      </c>
      <c r="Q80" s="57">
        <f t="shared" si="28"/>
        <v>0</v>
      </c>
      <c r="R80" s="57">
        <f t="shared" si="28"/>
        <v>0</v>
      </c>
      <c r="S80" s="57">
        <f t="shared" si="28"/>
        <v>0</v>
      </c>
      <c r="T80" s="57">
        <f t="shared" si="28"/>
        <v>0</v>
      </c>
      <c r="U80" s="57">
        <f t="shared" si="28"/>
        <v>0</v>
      </c>
      <c r="V80" s="57">
        <f t="shared" si="28"/>
        <v>0</v>
      </c>
      <c r="W80" s="57">
        <f t="shared" si="28"/>
        <v>0</v>
      </c>
      <c r="X80" s="57">
        <f t="shared" ref="X80:AC80" si="29">-$C$23*$C$8*0.0666666666666667</f>
        <v>0</v>
      </c>
      <c r="Y80" s="57">
        <f t="shared" si="29"/>
        <v>0</v>
      </c>
      <c r="Z80" s="57">
        <f t="shared" si="29"/>
        <v>0</v>
      </c>
      <c r="AA80" s="57">
        <f t="shared" si="29"/>
        <v>0</v>
      </c>
      <c r="AB80" s="57">
        <f t="shared" si="29"/>
        <v>0</v>
      </c>
      <c r="AC80" s="57">
        <f t="shared" si="29"/>
        <v>0</v>
      </c>
      <c r="AD80" s="57">
        <v>0</v>
      </c>
      <c r="AE80" s="57">
        <v>0</v>
      </c>
      <c r="AF80" s="57">
        <v>0</v>
      </c>
      <c r="AG80" s="57">
        <v>0</v>
      </c>
      <c r="AH80" s="57">
        <v>0</v>
      </c>
      <c r="AI80" s="57">
        <v>0</v>
      </c>
      <c r="AJ80" s="57">
        <v>0</v>
      </c>
      <c r="AK80" s="57">
        <v>0</v>
      </c>
      <c r="AL80" s="57">
        <v>0</v>
      </c>
      <c r="AM80" s="57">
        <v>0</v>
      </c>
      <c r="AN80" s="57">
        <v>0</v>
      </c>
    </row>
    <row r="81" spans="2:40" ht="13.5" customHeight="1" x14ac:dyDescent="0.3">
      <c r="B81" s="69" t="s">
        <v>135</v>
      </c>
      <c r="C81" s="69"/>
      <c r="D81" s="57">
        <f>-$C$24*$C$8*0.175</f>
        <v>-244999.99999999997</v>
      </c>
      <c r="E81" s="57">
        <f>-$C$24*$C$8*0.175</f>
        <v>-244999.99999999997</v>
      </c>
      <c r="F81" s="57">
        <f>-$C$24*$C$8*0.175</f>
        <v>-244999.99999999997</v>
      </c>
      <c r="G81" s="57">
        <f>-$C$24*$C$8*0.175</f>
        <v>-244999.99999999997</v>
      </c>
      <c r="H81" s="57">
        <f t="shared" ref="H81:AC81" si="30">-$C$24*$C$8*0.0136</f>
        <v>-19040</v>
      </c>
      <c r="I81" s="57">
        <f t="shared" si="30"/>
        <v>-19040</v>
      </c>
      <c r="J81" s="57">
        <f t="shared" si="30"/>
        <v>-19040</v>
      </c>
      <c r="K81" s="57">
        <f t="shared" si="30"/>
        <v>-19040</v>
      </c>
      <c r="L81" s="57">
        <f t="shared" si="30"/>
        <v>-19040</v>
      </c>
      <c r="M81" s="57">
        <f t="shared" si="30"/>
        <v>-19040</v>
      </c>
      <c r="N81" s="57">
        <f t="shared" si="30"/>
        <v>-19040</v>
      </c>
      <c r="O81" s="57">
        <f t="shared" si="30"/>
        <v>-19040</v>
      </c>
      <c r="P81" s="57">
        <f t="shared" si="30"/>
        <v>-19040</v>
      </c>
      <c r="Q81" s="57">
        <f t="shared" si="30"/>
        <v>-19040</v>
      </c>
      <c r="R81" s="57">
        <f t="shared" si="30"/>
        <v>-19040</v>
      </c>
      <c r="S81" s="57">
        <f t="shared" si="30"/>
        <v>-19040</v>
      </c>
      <c r="T81" s="57">
        <f t="shared" si="30"/>
        <v>-19040</v>
      </c>
      <c r="U81" s="57">
        <f t="shared" si="30"/>
        <v>-19040</v>
      </c>
      <c r="V81" s="57">
        <f t="shared" si="30"/>
        <v>-19040</v>
      </c>
      <c r="W81" s="57">
        <f t="shared" si="30"/>
        <v>-19040</v>
      </c>
      <c r="X81" s="57">
        <f t="shared" si="30"/>
        <v>-19040</v>
      </c>
      <c r="Y81" s="57">
        <f t="shared" si="30"/>
        <v>-19040</v>
      </c>
      <c r="Z81" s="57">
        <f t="shared" si="30"/>
        <v>-19040</v>
      </c>
      <c r="AA81" s="57">
        <f t="shared" si="30"/>
        <v>-19040</v>
      </c>
      <c r="AB81" s="57">
        <f t="shared" si="30"/>
        <v>-19040</v>
      </c>
      <c r="AC81" s="57">
        <f t="shared" si="30"/>
        <v>-19040</v>
      </c>
      <c r="AD81" s="57">
        <v>0</v>
      </c>
      <c r="AE81" s="57">
        <v>0</v>
      </c>
      <c r="AF81" s="57">
        <v>0</v>
      </c>
      <c r="AG81" s="57">
        <v>0</v>
      </c>
      <c r="AH81" s="57">
        <v>0</v>
      </c>
      <c r="AI81" s="57">
        <v>0</v>
      </c>
      <c r="AJ81" s="57">
        <v>0</v>
      </c>
      <c r="AK81" s="57">
        <v>0</v>
      </c>
      <c r="AL81" s="57">
        <v>0</v>
      </c>
      <c r="AM81" s="57">
        <v>0</v>
      </c>
      <c r="AN81" s="57">
        <v>0</v>
      </c>
    </row>
    <row r="82" spans="2:40" s="57" customFormat="1" ht="13.5" hidden="1" customHeight="1" x14ac:dyDescent="0.3">
      <c r="B82" s="57" t="s">
        <v>145</v>
      </c>
      <c r="D82" s="57">
        <f t="shared" ref="D82:P82" si="31">-D37*$C$8*$C$21</f>
        <v>0</v>
      </c>
      <c r="E82" s="57">
        <f t="shared" si="31"/>
        <v>0</v>
      </c>
      <c r="F82" s="57">
        <f t="shared" si="31"/>
        <v>0</v>
      </c>
      <c r="G82" s="57">
        <f t="shared" si="31"/>
        <v>0</v>
      </c>
      <c r="H82" s="57">
        <f t="shared" si="31"/>
        <v>0</v>
      </c>
      <c r="I82" s="57">
        <f t="shared" si="31"/>
        <v>0</v>
      </c>
      <c r="J82" s="57">
        <f t="shared" si="31"/>
        <v>0</v>
      </c>
      <c r="K82" s="57">
        <f t="shared" si="31"/>
        <v>0</v>
      </c>
      <c r="L82" s="57">
        <f t="shared" si="31"/>
        <v>0</v>
      </c>
      <c r="M82" s="57">
        <f t="shared" si="31"/>
        <v>0</v>
      </c>
      <c r="N82" s="57">
        <f t="shared" si="31"/>
        <v>0</v>
      </c>
      <c r="O82" s="57">
        <f t="shared" si="31"/>
        <v>0</v>
      </c>
      <c r="P82" s="57">
        <f t="shared" si="31"/>
        <v>0</v>
      </c>
      <c r="Q82" s="57">
        <f>-$C$24*$C$8*0.0136363636363636</f>
        <v>-19090.909090909037</v>
      </c>
      <c r="R82" s="57">
        <f t="shared" ref="R82:AN82" si="32">-R37*$C$8*$C$21</f>
        <v>0</v>
      </c>
      <c r="S82" s="57">
        <f t="shared" si="32"/>
        <v>0</v>
      </c>
      <c r="T82" s="57">
        <f t="shared" si="32"/>
        <v>0</v>
      </c>
      <c r="U82" s="57">
        <f t="shared" si="32"/>
        <v>0</v>
      </c>
      <c r="V82" s="57">
        <f t="shared" si="32"/>
        <v>0</v>
      </c>
      <c r="W82" s="57">
        <f t="shared" si="32"/>
        <v>0</v>
      </c>
      <c r="X82" s="57">
        <f t="shared" si="32"/>
        <v>0</v>
      </c>
      <c r="Y82" s="57">
        <f t="shared" si="32"/>
        <v>0</v>
      </c>
      <c r="Z82" s="57">
        <f t="shared" si="32"/>
        <v>0</v>
      </c>
      <c r="AA82" s="57">
        <f t="shared" si="32"/>
        <v>0</v>
      </c>
      <c r="AB82" s="57">
        <f t="shared" si="32"/>
        <v>0</v>
      </c>
      <c r="AC82" s="57">
        <f t="shared" si="32"/>
        <v>0</v>
      </c>
      <c r="AD82" s="57">
        <f t="shared" si="32"/>
        <v>0</v>
      </c>
      <c r="AE82" s="57">
        <f t="shared" si="32"/>
        <v>0</v>
      </c>
      <c r="AF82" s="57">
        <f t="shared" si="32"/>
        <v>0</v>
      </c>
      <c r="AG82" s="57">
        <f t="shared" si="32"/>
        <v>0</v>
      </c>
      <c r="AH82" s="57">
        <f t="shared" si="32"/>
        <v>0</v>
      </c>
      <c r="AI82" s="57">
        <f t="shared" si="32"/>
        <v>0</v>
      </c>
      <c r="AJ82" s="57">
        <f t="shared" si="32"/>
        <v>0</v>
      </c>
      <c r="AK82" s="57">
        <f t="shared" si="32"/>
        <v>0</v>
      </c>
      <c r="AL82" s="57">
        <f t="shared" si="32"/>
        <v>0</v>
      </c>
      <c r="AM82" s="57">
        <f t="shared" si="32"/>
        <v>0</v>
      </c>
      <c r="AN82" s="57">
        <f t="shared" si="32"/>
        <v>0</v>
      </c>
    </row>
    <row r="83" spans="2:40" ht="13.5" customHeight="1" x14ac:dyDescent="0.3">
      <c r="B83" s="70" t="s">
        <v>146</v>
      </c>
      <c r="C83" s="70"/>
      <c r="D83" s="71">
        <f t="shared" ref="D83:P83" si="33">-D47*$C$22</f>
        <v>0</v>
      </c>
      <c r="E83" s="71">
        <f t="shared" si="33"/>
        <v>-30587.586206896551</v>
      </c>
      <c r="F83" s="71">
        <f t="shared" si="33"/>
        <v>-48495.227586206907</v>
      </c>
      <c r="G83" s="71">
        <f t="shared" si="33"/>
        <v>-50386.096551724127</v>
      </c>
      <c r="H83" s="71">
        <f t="shared" si="33"/>
        <v>-106083.31034482759</v>
      </c>
      <c r="I83" s="71">
        <f t="shared" si="33"/>
        <v>-143687.50344827594</v>
      </c>
      <c r="J83" s="71">
        <f t="shared" si="33"/>
        <v>-195806.89655172409</v>
      </c>
      <c r="K83" s="71">
        <f t="shared" si="33"/>
        <v>-238027.03448275887</v>
      </c>
      <c r="L83" s="71">
        <f t="shared" si="33"/>
        <v>-268985.37931034475</v>
      </c>
      <c r="M83" s="71">
        <f t="shared" si="33"/>
        <v>-306422.73103448289</v>
      </c>
      <c r="N83" s="71">
        <f t="shared" si="33"/>
        <v>-334229.62758620712</v>
      </c>
      <c r="O83" s="71">
        <f t="shared" si="33"/>
        <v>-362036.52413793118</v>
      </c>
      <c r="P83" s="71">
        <f t="shared" si="33"/>
        <v>-353360.77241379319</v>
      </c>
      <c r="Q83" s="57">
        <f>-$C$24*$C$8*0.0136363636363636</f>
        <v>-19090.909090909037</v>
      </c>
      <c r="R83" s="71">
        <f t="shared" ref="R83:AN83" si="34">-R47*$C$22</f>
        <v>-394181.29655172408</v>
      </c>
      <c r="S83" s="71">
        <f t="shared" si="34"/>
        <v>-374169.60000000062</v>
      </c>
      <c r="T83" s="71">
        <f t="shared" si="34"/>
        <v>-300601.82068965497</v>
      </c>
      <c r="U83" s="71">
        <f t="shared" si="34"/>
        <v>-310278.62068965554</v>
      </c>
      <c r="V83" s="71">
        <f t="shared" si="34"/>
        <v>-276808.38620689692</v>
      </c>
      <c r="W83" s="71">
        <f t="shared" si="34"/>
        <v>-240613.07586206854</v>
      </c>
      <c r="X83" s="71">
        <f t="shared" si="34"/>
        <v>-246656.4413793105</v>
      </c>
      <c r="Y83" s="71">
        <f t="shared" si="34"/>
        <v>-148303.44827586293</v>
      </c>
      <c r="Z83" s="71">
        <f t="shared" si="34"/>
        <v>-90835.862068964838</v>
      </c>
      <c r="AA83" s="71">
        <f t="shared" si="34"/>
        <v>-90835.862068966031</v>
      </c>
      <c r="AB83" s="71">
        <f t="shared" si="34"/>
        <v>-45417.931034482717</v>
      </c>
      <c r="AC83" s="71">
        <f t="shared" si="34"/>
        <v>-45417.931034482717</v>
      </c>
      <c r="AD83" s="71">
        <f t="shared" si="34"/>
        <v>0</v>
      </c>
      <c r="AE83" s="71">
        <f t="shared" si="34"/>
        <v>0</v>
      </c>
      <c r="AF83" s="71">
        <f t="shared" si="34"/>
        <v>0</v>
      </c>
      <c r="AG83" s="71">
        <f t="shared" si="34"/>
        <v>0</v>
      </c>
      <c r="AH83" s="71">
        <f t="shared" si="34"/>
        <v>0</v>
      </c>
      <c r="AI83" s="71">
        <f t="shared" si="34"/>
        <v>0</v>
      </c>
      <c r="AJ83" s="71">
        <f t="shared" si="34"/>
        <v>0</v>
      </c>
      <c r="AK83" s="71">
        <f t="shared" si="34"/>
        <v>0</v>
      </c>
      <c r="AL83" s="71">
        <f t="shared" si="34"/>
        <v>0</v>
      </c>
      <c r="AM83" s="71">
        <f t="shared" si="34"/>
        <v>0</v>
      </c>
      <c r="AN83" s="71">
        <f t="shared" si="34"/>
        <v>0</v>
      </c>
    </row>
    <row r="84" spans="2:40" ht="13.5" customHeight="1" x14ac:dyDescent="0.3">
      <c r="B84" s="69"/>
      <c r="C84" s="69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</row>
    <row r="85" spans="2:40" ht="13.5" customHeight="1" x14ac:dyDescent="0.3">
      <c r="B85" s="72"/>
      <c r="C85" s="72"/>
      <c r="D85" s="73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</row>
    <row r="86" spans="2:40" s="74" customFormat="1" ht="13.5" customHeight="1" x14ac:dyDescent="0.3">
      <c r="B86" s="74" t="s">
        <v>147</v>
      </c>
      <c r="D86" s="74">
        <f t="shared" ref="D86:AN86" si="35">D75+D74+D76+D77+D78+D79+D80+D81+D82+D83-D71</f>
        <v>-1835909.0909090908</v>
      </c>
      <c r="E86" s="74">
        <f t="shared" si="35"/>
        <v>267605.3918495297</v>
      </c>
      <c r="F86" s="74">
        <f t="shared" si="35"/>
        <v>679481.14357366797</v>
      </c>
      <c r="G86" s="74">
        <f t="shared" si="35"/>
        <v>722971.12978056399</v>
      </c>
      <c r="H86" s="74">
        <f t="shared" si="35"/>
        <v>-164032.95297805639</v>
      </c>
      <c r="I86" s="74">
        <f t="shared" si="35"/>
        <v>-97136.511598744604</v>
      </c>
      <c r="J86" s="74">
        <f t="shared" si="35"/>
        <v>303609.52978056297</v>
      </c>
      <c r="K86" s="74">
        <f t="shared" si="35"/>
        <v>476672.70219436311</v>
      </c>
      <c r="L86" s="74">
        <f t="shared" si="35"/>
        <v>1188714.6332288384</v>
      </c>
      <c r="M86" s="74">
        <f t="shared" si="35"/>
        <v>1251773.7228840142</v>
      </c>
      <c r="N86" s="74">
        <f t="shared" si="35"/>
        <v>1891332.3435736711</v>
      </c>
      <c r="O86" s="74">
        <f t="shared" si="35"/>
        <v>2530890.9642633246</v>
      </c>
      <c r="P86" s="74">
        <f t="shared" si="35"/>
        <v>2331348.6746081514</v>
      </c>
      <c r="Q86" s="74">
        <f t="shared" si="35"/>
        <v>3136373.9184953035</v>
      </c>
      <c r="R86" s="74">
        <f t="shared" si="35"/>
        <v>3270220.7297805613</v>
      </c>
      <c r="S86" s="74">
        <f t="shared" si="35"/>
        <v>3607951.709090922</v>
      </c>
      <c r="T86" s="74">
        <f t="shared" si="35"/>
        <v>2713892.784952973</v>
      </c>
      <c r="U86" s="74">
        <f t="shared" si="35"/>
        <v>2936459.1849529864</v>
      </c>
      <c r="V86" s="74">
        <f t="shared" si="35"/>
        <v>2964643.7918495378</v>
      </c>
      <c r="W86" s="74">
        <f t="shared" si="35"/>
        <v>2930151.6539184852</v>
      </c>
      <c r="X86" s="74">
        <f t="shared" si="35"/>
        <v>3069149.0608150503</v>
      </c>
      <c r="Y86" s="74">
        <f t="shared" si="35"/>
        <v>1605030.2194357566</v>
      </c>
      <c r="Z86" s="74">
        <f t="shared" si="35"/>
        <v>283275.73667710042</v>
      </c>
      <c r="AA86" s="74">
        <f t="shared" si="35"/>
        <v>283275.73667712789</v>
      </c>
      <c r="AB86" s="74">
        <f t="shared" si="35"/>
        <v>36663.322884011555</v>
      </c>
      <c r="AC86" s="74">
        <f t="shared" si="35"/>
        <v>36663.322884011555</v>
      </c>
      <c r="AD86" s="74">
        <f t="shared" si="35"/>
        <v>0</v>
      </c>
      <c r="AE86" s="74">
        <f t="shared" si="35"/>
        <v>0</v>
      </c>
      <c r="AF86" s="74">
        <f t="shared" si="35"/>
        <v>0</v>
      </c>
      <c r="AG86" s="74">
        <f t="shared" si="35"/>
        <v>0</v>
      </c>
      <c r="AH86" s="74">
        <f t="shared" si="35"/>
        <v>0</v>
      </c>
      <c r="AI86" s="74">
        <f t="shared" si="35"/>
        <v>0</v>
      </c>
      <c r="AJ86" s="74">
        <f t="shared" si="35"/>
        <v>0</v>
      </c>
      <c r="AK86" s="74">
        <f t="shared" si="35"/>
        <v>0</v>
      </c>
      <c r="AL86" s="74">
        <f t="shared" si="35"/>
        <v>0</v>
      </c>
      <c r="AM86" s="74">
        <f t="shared" si="35"/>
        <v>0</v>
      </c>
      <c r="AN86" s="74">
        <f t="shared" si="35"/>
        <v>0</v>
      </c>
    </row>
    <row r="87" spans="2:40" s="74" customFormat="1" ht="13.5" customHeight="1" x14ac:dyDescent="0.3">
      <c r="B87" s="74" t="s">
        <v>148</v>
      </c>
      <c r="D87" s="74">
        <f>D86</f>
        <v>-1835909.0909090908</v>
      </c>
      <c r="E87" s="74">
        <f t="shared" ref="E87:AN87" si="36">D87+E86</f>
        <v>-1568303.6990595611</v>
      </c>
      <c r="F87" s="74">
        <f t="shared" si="36"/>
        <v>-888822.55548589316</v>
      </c>
      <c r="G87" s="74">
        <f t="shared" si="36"/>
        <v>-165851.42570532917</v>
      </c>
      <c r="H87" s="74">
        <f t="shared" si="36"/>
        <v>-329884.37868338556</v>
      </c>
      <c r="I87" s="74">
        <f t="shared" si="36"/>
        <v>-427020.89028213016</v>
      </c>
      <c r="J87" s="74">
        <f t="shared" si="36"/>
        <v>-123411.36050156719</v>
      </c>
      <c r="K87" s="74">
        <f t="shared" si="36"/>
        <v>353261.34169279592</v>
      </c>
      <c r="L87" s="74">
        <f t="shared" si="36"/>
        <v>1541975.9749216344</v>
      </c>
      <c r="M87" s="74">
        <f t="shared" si="36"/>
        <v>2793749.6978056487</v>
      </c>
      <c r="N87" s="74">
        <f t="shared" si="36"/>
        <v>4685082.0413793195</v>
      </c>
      <c r="O87" s="74">
        <f t="shared" si="36"/>
        <v>7215973.0056426441</v>
      </c>
      <c r="P87" s="74">
        <f t="shared" si="36"/>
        <v>9547321.6802507956</v>
      </c>
      <c r="Q87" s="74">
        <f t="shared" si="36"/>
        <v>12683695.598746099</v>
      </c>
      <c r="R87" s="74">
        <f t="shared" si="36"/>
        <v>15953916.328526661</v>
      </c>
      <c r="S87" s="74">
        <f t="shared" si="36"/>
        <v>19561868.037617583</v>
      </c>
      <c r="T87" s="74">
        <f t="shared" si="36"/>
        <v>22275760.822570555</v>
      </c>
      <c r="U87" s="74">
        <f t="shared" si="36"/>
        <v>25212220.00752354</v>
      </c>
      <c r="V87" s="74">
        <f t="shared" si="36"/>
        <v>28176863.799373079</v>
      </c>
      <c r="W87" s="74">
        <f t="shared" si="36"/>
        <v>31107015.453291565</v>
      </c>
      <c r="X87" s="74">
        <f t="shared" si="36"/>
        <v>34176164.514106616</v>
      </c>
      <c r="Y87" s="74">
        <f t="shared" si="36"/>
        <v>35781194.733542375</v>
      </c>
      <c r="Z87" s="74">
        <f t="shared" si="36"/>
        <v>36064470.470219478</v>
      </c>
      <c r="AA87" s="74">
        <f t="shared" si="36"/>
        <v>36347746.206896603</v>
      </c>
      <c r="AB87" s="74">
        <f t="shared" si="36"/>
        <v>36384409.529780611</v>
      </c>
      <c r="AC87" s="74">
        <f t="shared" si="36"/>
        <v>36421072.85266462</v>
      </c>
      <c r="AD87" s="74">
        <f t="shared" si="36"/>
        <v>36421072.85266462</v>
      </c>
      <c r="AE87" s="74">
        <f t="shared" si="36"/>
        <v>36421072.85266462</v>
      </c>
      <c r="AF87" s="74">
        <f t="shared" si="36"/>
        <v>36421072.85266462</v>
      </c>
      <c r="AG87" s="74">
        <f t="shared" si="36"/>
        <v>36421072.85266462</v>
      </c>
      <c r="AH87" s="74">
        <f t="shared" si="36"/>
        <v>36421072.85266462</v>
      </c>
      <c r="AI87" s="74">
        <f t="shared" si="36"/>
        <v>36421072.85266462</v>
      </c>
      <c r="AJ87" s="74">
        <f t="shared" si="36"/>
        <v>36421072.85266462</v>
      </c>
      <c r="AK87" s="74">
        <f t="shared" si="36"/>
        <v>36421072.85266462</v>
      </c>
      <c r="AL87" s="74">
        <f t="shared" si="36"/>
        <v>36421072.85266462</v>
      </c>
      <c r="AM87" s="74">
        <f t="shared" si="36"/>
        <v>36421072.85266462</v>
      </c>
      <c r="AN87" s="74">
        <f t="shared" si="36"/>
        <v>36421072.85266462</v>
      </c>
    </row>
    <row r="88" spans="2:40" ht="13.5" customHeight="1" x14ac:dyDescent="0.3"/>
    <row r="89" spans="2:40" ht="13.5" customHeight="1" x14ac:dyDescent="0.3">
      <c r="B89" s="88" t="s">
        <v>149</v>
      </c>
      <c r="C89" s="89"/>
      <c r="D89" s="115">
        <f>IRR(D86:AN86)</f>
        <v>0.31895098601822225</v>
      </c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</row>
    <row r="90" spans="2:40" ht="13.5" customHeight="1" x14ac:dyDescent="0.3">
      <c r="B90" s="78" t="s">
        <v>150</v>
      </c>
      <c r="C90" s="64"/>
      <c r="D90" s="59">
        <f>(1+D89)^12 -1</f>
        <v>26.716850708594603</v>
      </c>
    </row>
    <row r="91" spans="2:40" ht="13.5" customHeight="1" x14ac:dyDescent="0.3">
      <c r="B91" s="28"/>
      <c r="C91" s="61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</row>
    <row r="92" spans="2:40" ht="13.5" customHeight="1" x14ac:dyDescent="0.3">
      <c r="B92" s="78" t="s">
        <v>151</v>
      </c>
      <c r="C92" s="64"/>
      <c r="D92" s="79">
        <f>AN87</f>
        <v>36421072.85266462</v>
      </c>
      <c r="E92" s="80"/>
    </row>
    <row r="93" spans="2:40" ht="13.5" customHeight="1" x14ac:dyDescent="0.3">
      <c r="B93" s="28" t="s">
        <v>152</v>
      </c>
      <c r="C93" s="61"/>
      <c r="D93" s="79">
        <f>-MIN(D87:AM87)</f>
        <v>1835909.0909090908</v>
      </c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</row>
    <row r="94" spans="2:40" ht="13.5" customHeight="1" x14ac:dyDescent="0.35">
      <c r="B94" s="81" t="s">
        <v>153</v>
      </c>
      <c r="C94" s="82"/>
      <c r="D94" s="83">
        <f>D93/C8</f>
        <v>1.3113636363636364E-2</v>
      </c>
      <c r="E94" s="31"/>
      <c r="F94" s="31"/>
      <c r="G94" s="84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</row>
    <row r="95" spans="2:40" ht="13.5" customHeight="1" x14ac:dyDescent="0.3">
      <c r="B95" s="28" t="s">
        <v>154</v>
      </c>
      <c r="C95" s="61"/>
      <c r="D95" s="85">
        <f>D92/AN46</f>
        <v>0.27099012539184975</v>
      </c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</row>
    <row r="96" spans="2:40" ht="13.5" customHeight="1" x14ac:dyDescent="0.3">
      <c r="B96" s="28" t="s">
        <v>155</v>
      </c>
      <c r="C96" s="61"/>
      <c r="D96" s="85">
        <v>0.12659999999999999</v>
      </c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</row>
    <row r="97" spans="1:40" ht="14.25" customHeight="1" x14ac:dyDescent="0.35">
      <c r="B97" s="31" t="s">
        <v>156</v>
      </c>
      <c r="D97" s="86">
        <f>(1+D96)^(1/12) - 1</f>
        <v>9.9831901409603852E-3</v>
      </c>
      <c r="E97" s="31"/>
      <c r="F97" s="31"/>
      <c r="G97" s="87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</row>
    <row r="98" spans="1:40" ht="13.5" customHeight="1" x14ac:dyDescent="0.3">
      <c r="A98" s="25" t="s">
        <v>110</v>
      </c>
      <c r="B98" s="88" t="s">
        <v>157</v>
      </c>
      <c r="C98" s="89"/>
      <c r="D98" s="88">
        <f>D86+NPV(D97,E86:AN86)</f>
        <v>31311651.824904907</v>
      </c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</row>
    <row r="99" spans="1:40" ht="13.5" customHeight="1" x14ac:dyDescent="0.3">
      <c r="B99" s="28"/>
      <c r="C99" s="61"/>
      <c r="D99" s="117">
        <f>D98/C11</f>
        <v>0.23297359988768532</v>
      </c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</row>
    <row r="100" spans="1:40" ht="13.5" customHeight="1" x14ac:dyDescent="0.35">
      <c r="B100" s="78"/>
      <c r="C100" s="64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</row>
    <row r="101" spans="1:40" ht="13.5" customHeight="1" x14ac:dyDescent="0.3">
      <c r="B101" s="75"/>
      <c r="C101" s="91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</row>
    <row r="102" spans="1:40" ht="13.5" customHeight="1" x14ac:dyDescent="0.3">
      <c r="B102" s="75"/>
      <c r="C102" s="91"/>
      <c r="D102" s="92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</row>
    <row r="103" spans="1:40" ht="13.5" customHeight="1" x14ac:dyDescent="0.3">
      <c r="B103" s="78"/>
      <c r="D103" s="94"/>
    </row>
    <row r="104" spans="1:40" ht="13.5" customHeight="1" x14ac:dyDescent="0.35">
      <c r="B104" s="78"/>
      <c r="C104" s="64"/>
      <c r="D104" s="31"/>
    </row>
    <row r="105" spans="1:40" ht="14.25" customHeight="1" x14ac:dyDescent="0.35">
      <c r="B105" s="31"/>
      <c r="D105" s="31"/>
    </row>
    <row r="106" spans="1:40" ht="14.25" customHeight="1" x14ac:dyDescent="0.35">
      <c r="B106" s="31"/>
      <c r="D106" s="31"/>
    </row>
    <row r="107" spans="1:40" ht="14.25" customHeight="1" x14ac:dyDescent="0.35">
      <c r="D107" s="31"/>
    </row>
    <row r="108" spans="1:40" ht="14.25" customHeight="1" x14ac:dyDescent="0.3">
      <c r="G108" s="58"/>
      <c r="H108" s="58"/>
      <c r="I108" s="58"/>
      <c r="J108" s="58"/>
      <c r="K108" s="58"/>
    </row>
    <row r="109" spans="1:40" ht="14.25" customHeight="1" x14ac:dyDescent="0.3">
      <c r="G109" s="58"/>
      <c r="H109" s="58"/>
      <c r="I109" s="58"/>
      <c r="J109" s="58"/>
      <c r="K109" s="58"/>
    </row>
    <row r="110" spans="1:40" ht="14.25" customHeight="1" x14ac:dyDescent="0.3">
      <c r="G110" s="58"/>
      <c r="H110" s="58"/>
      <c r="I110" s="58"/>
      <c r="J110" s="58"/>
      <c r="K110" s="58"/>
    </row>
    <row r="111" spans="1:40" ht="14.25" customHeight="1" x14ac:dyDescent="0.3">
      <c r="G111" s="58"/>
      <c r="H111" s="58"/>
      <c r="I111" s="58"/>
      <c r="J111" s="58"/>
      <c r="K111" s="58"/>
    </row>
    <row r="112" spans="1:40" ht="14.25" customHeight="1" x14ac:dyDescent="0.3">
      <c r="G112" s="58"/>
      <c r="H112" s="58"/>
      <c r="I112" s="58"/>
      <c r="J112" s="58"/>
      <c r="K112" s="58"/>
    </row>
    <row r="113" spans="7:11" ht="14.25" customHeight="1" x14ac:dyDescent="0.3">
      <c r="G113" s="58"/>
      <c r="H113" s="58"/>
      <c r="I113" s="58"/>
      <c r="J113" s="58"/>
      <c r="K113" s="58"/>
    </row>
    <row r="114" spans="7:11" ht="14.25" customHeight="1" x14ac:dyDescent="0.3">
      <c r="G114" s="58"/>
      <c r="H114" s="58"/>
      <c r="I114" s="58"/>
      <c r="J114" s="58"/>
      <c r="K114" s="58"/>
    </row>
    <row r="115" spans="7:11" ht="14.25" customHeight="1" x14ac:dyDescent="0.3"/>
    <row r="116" spans="7:11" ht="14.25" customHeight="1" x14ac:dyDescent="0.3"/>
    <row r="117" spans="7:11" ht="14.25" customHeight="1" x14ac:dyDescent="0.3"/>
    <row r="118" spans="7:11" ht="14.25" customHeight="1" x14ac:dyDescent="0.3"/>
    <row r="119" spans="7:11" ht="14.25" customHeight="1" x14ac:dyDescent="0.3"/>
    <row r="120" spans="7:11" ht="14.25" customHeight="1" x14ac:dyDescent="0.3"/>
    <row r="121" spans="7:11" ht="14.25" customHeight="1" x14ac:dyDescent="0.3"/>
    <row r="122" spans="7:11" ht="14.25" customHeight="1" x14ac:dyDescent="0.3"/>
    <row r="123" spans="7:11" ht="14.25" customHeight="1" x14ac:dyDescent="0.3"/>
    <row r="124" spans="7:11" ht="14.25" customHeight="1" x14ac:dyDescent="0.3"/>
    <row r="125" spans="7:11" ht="14.25" customHeight="1" x14ac:dyDescent="0.3"/>
    <row r="126" spans="7:11" ht="14.25" customHeight="1" x14ac:dyDescent="0.3"/>
    <row r="127" spans="7:11" ht="14.25" customHeight="1" x14ac:dyDescent="0.3"/>
    <row r="128" spans="7:11" ht="13.5" customHeight="1" x14ac:dyDescent="0.3"/>
  </sheetData>
  <conditionalFormatting sqref="G108:K114">
    <cfRule type="colorScale" priority="4">
      <colorScale>
        <cfvo type="min"/>
        <cfvo type="max"/>
        <color rgb="FF0070C0"/>
        <color rgb="FF203864"/>
      </colorScale>
    </cfRule>
  </conditionalFormatting>
  <conditionalFormatting sqref="I13:N18">
    <cfRule type="colorScale" priority="1">
      <colorScale>
        <cfvo type="min"/>
        <cfvo type="max"/>
        <color rgb="FFFF5050"/>
        <color rgb="FF990033"/>
      </colorScale>
    </cfRule>
    <cfRule type="colorScale" priority="2">
      <colorScale>
        <cfvo type="min"/>
        <cfvo type="max"/>
        <color rgb="FFFF5050"/>
        <color rgb="FFC00000"/>
      </colorScale>
    </cfRule>
    <cfRule type="colorScale" priority="3">
      <colorScale>
        <cfvo type="min"/>
        <cfvo type="max"/>
        <color rgb="FF0070C0"/>
        <color rgb="FF002060"/>
      </colorScale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039B-9896-4816-8488-0334CD0EB4BB}">
  <sheetPr>
    <tabColor rgb="FF002060"/>
  </sheetPr>
  <dimension ref="A1:AO129"/>
  <sheetViews>
    <sheetView showGridLines="0" topLeftCell="K1" zoomScale="54" workbookViewId="0">
      <selection activeCell="S10" sqref="S10"/>
    </sheetView>
  </sheetViews>
  <sheetFormatPr defaultColWidth="8.81640625" defaultRowHeight="14" x14ac:dyDescent="0.3"/>
  <cols>
    <col min="1" max="1" width="1.54296875" style="25" customWidth="1"/>
    <col min="2" max="2" width="37.36328125" style="25" customWidth="1"/>
    <col min="3" max="3" width="18.453125" style="25" customWidth="1"/>
    <col min="4" max="4" width="25.453125" style="25" customWidth="1"/>
    <col min="5" max="5" width="22.6328125" style="25" customWidth="1"/>
    <col min="6" max="7" width="23" style="25" customWidth="1"/>
    <col min="8" max="8" width="22.6328125" style="25" customWidth="1"/>
    <col min="9" max="12" width="20.6328125" style="25" customWidth="1"/>
    <col min="13" max="13" width="22.6328125" style="25" customWidth="1"/>
    <col min="14" max="14" width="21.26953125" style="25" customWidth="1"/>
    <col min="15" max="16" width="20.26953125" style="25" customWidth="1"/>
    <col min="17" max="19" width="18.1796875" style="25" customWidth="1"/>
    <col min="20" max="20" width="17.6328125" style="25" customWidth="1"/>
    <col min="21" max="22" width="18.1796875" style="25" customWidth="1"/>
    <col min="23" max="33" width="20.26953125" style="25" customWidth="1"/>
    <col min="34" max="39" width="18.1796875" style="25" customWidth="1"/>
    <col min="40" max="40" width="18.81640625" style="25" customWidth="1"/>
    <col min="41" max="16384" width="8.81640625" style="25"/>
  </cols>
  <sheetData>
    <row r="1" spans="1:26" s="21" customFormat="1" ht="6.75" customHeight="1" x14ac:dyDescent="0.3"/>
    <row r="2" spans="1:26" s="21" customFormat="1" ht="36" customHeight="1" x14ac:dyDescent="0.3">
      <c r="A2" s="22"/>
      <c r="C2" s="23"/>
      <c r="D2" s="24"/>
      <c r="E2" s="24"/>
      <c r="F2" s="24"/>
      <c r="H2" s="24"/>
      <c r="I2" s="24"/>
      <c r="J2" s="24"/>
      <c r="K2" s="23"/>
      <c r="L2" s="23"/>
      <c r="M2" s="24"/>
      <c r="N2" s="24"/>
    </row>
    <row r="3" spans="1:26" s="21" customFormat="1" ht="6" customHeight="1" x14ac:dyDescent="0.3">
      <c r="G3" s="24"/>
    </row>
    <row r="6" spans="1:26" s="21" customFormat="1" ht="13.5" customHeight="1" x14ac:dyDescent="0.35">
      <c r="A6" s="25"/>
      <c r="B6" s="26" t="s">
        <v>94</v>
      </c>
      <c r="C6" s="26"/>
      <c r="E6" s="27"/>
    </row>
    <row r="7" spans="1:26" ht="13.5" customHeight="1" x14ac:dyDescent="0.3">
      <c r="M7" s="25" t="s">
        <v>164</v>
      </c>
    </row>
    <row r="8" spans="1:26" ht="13.5" customHeight="1" x14ac:dyDescent="0.35">
      <c r="B8" s="28" t="s">
        <v>95</v>
      </c>
      <c r="C8" s="102">
        <f>C9*C10</f>
        <v>98000000</v>
      </c>
      <c r="D8" s="30"/>
      <c r="E8" s="31"/>
      <c r="F8" s="31"/>
      <c r="H8" s="25" t="s">
        <v>96</v>
      </c>
    </row>
    <row r="9" spans="1:26" ht="13.5" customHeight="1" x14ac:dyDescent="0.35">
      <c r="B9" s="28" t="s">
        <v>97</v>
      </c>
      <c r="C9" s="118">
        <v>350</v>
      </c>
      <c r="D9" s="30"/>
      <c r="E9" s="31"/>
      <c r="F9" s="31"/>
      <c r="H9" s="25" t="s">
        <v>98</v>
      </c>
      <c r="J9" s="119">
        <f>F20</f>
        <v>0.37890625</v>
      </c>
      <c r="K9" s="120">
        <v>0</v>
      </c>
      <c r="L9" s="120">
        <v>0.2</v>
      </c>
      <c r="M9" s="120">
        <v>0.4</v>
      </c>
      <c r="N9" s="120">
        <v>0.6</v>
      </c>
      <c r="O9" s="120">
        <v>0.8</v>
      </c>
      <c r="P9" s="120">
        <v>1</v>
      </c>
      <c r="R9" s="25" t="s">
        <v>165</v>
      </c>
      <c r="S9" s="50">
        <v>0.44</v>
      </c>
      <c r="X9" s="25" t="s">
        <v>166</v>
      </c>
    </row>
    <row r="10" spans="1:26" ht="13.5" customHeight="1" x14ac:dyDescent="0.35">
      <c r="B10" s="28" t="s">
        <v>99</v>
      </c>
      <c r="C10" s="102">
        <v>280000</v>
      </c>
      <c r="D10" s="30"/>
      <c r="E10" s="31"/>
      <c r="F10" s="31"/>
      <c r="J10" s="80">
        <v>0.12</v>
      </c>
      <c r="K10" s="121">
        <v>0.32800000000000001</v>
      </c>
      <c r="L10" s="121">
        <v>0.34375</v>
      </c>
      <c r="M10" s="121">
        <v>0.35877862595419802</v>
      </c>
      <c r="N10" s="121">
        <v>0.37313432835820898</v>
      </c>
      <c r="O10" s="121">
        <v>0.386861313868613</v>
      </c>
      <c r="P10" s="80">
        <v>0.4</v>
      </c>
      <c r="R10" s="25" t="s">
        <v>167</v>
      </c>
      <c r="S10" s="25">
        <f>S9-(1-S9)*C27</f>
        <v>0.40639999999999998</v>
      </c>
    </row>
    <row r="11" spans="1:26" ht="13.5" customHeight="1" x14ac:dyDescent="0.35">
      <c r="B11" s="25" t="s">
        <v>100</v>
      </c>
      <c r="C11" s="102">
        <f>C8-(C8*C20)</f>
        <v>94080000</v>
      </c>
      <c r="E11" s="33">
        <f>C8*C13</f>
        <v>58800000</v>
      </c>
      <c r="F11" s="31"/>
      <c r="J11" s="80">
        <v>0.1</v>
      </c>
      <c r="K11" s="122">
        <v>0.34</v>
      </c>
      <c r="L11" s="121">
        <v>0.35294117647058798</v>
      </c>
      <c r="M11" s="121">
        <v>0.36538461538461497</v>
      </c>
      <c r="N11" s="121">
        <v>0.37735849056603799</v>
      </c>
      <c r="O11" s="121">
        <v>0.38888888888888901</v>
      </c>
      <c r="P11" s="80">
        <v>0.4</v>
      </c>
    </row>
    <row r="12" spans="1:26" ht="13.5" customHeight="1" x14ac:dyDescent="0.35">
      <c r="C12" s="50"/>
      <c r="E12" s="31"/>
      <c r="F12" s="31"/>
      <c r="J12" s="80">
        <v>0.08</v>
      </c>
      <c r="K12" s="123">
        <v>0.35199999999999998</v>
      </c>
      <c r="L12" s="121">
        <v>0.36220472440944901</v>
      </c>
      <c r="M12" s="121">
        <v>0.372093023255814</v>
      </c>
      <c r="N12" s="121">
        <v>0.38167938931297701</v>
      </c>
      <c r="O12" s="121">
        <v>0.39097744360902298</v>
      </c>
      <c r="P12" s="80">
        <v>0.4</v>
      </c>
      <c r="T12" s="124">
        <f>S10</f>
        <v>0.40639999999999998</v>
      </c>
      <c r="U12" s="58">
        <v>0.12</v>
      </c>
      <c r="V12" s="58">
        <v>0.1</v>
      </c>
      <c r="W12" s="58">
        <v>0.08</v>
      </c>
      <c r="X12" s="58">
        <v>0.06</v>
      </c>
      <c r="Y12" s="58">
        <v>0.04</v>
      </c>
      <c r="Z12" s="58">
        <v>0.02</v>
      </c>
    </row>
    <row r="13" spans="1:26" ht="13.5" customHeight="1" x14ac:dyDescent="0.35">
      <c r="B13" s="28" t="s">
        <v>101</v>
      </c>
      <c r="C13" s="50">
        <f>SUM(C14:C17)+C24</f>
        <v>0.6</v>
      </c>
      <c r="D13" s="30"/>
      <c r="E13" s="125" t="s">
        <v>168</v>
      </c>
      <c r="F13" s="126">
        <f>C11*C13</f>
        <v>56448000</v>
      </c>
      <c r="I13" s="25" t="s">
        <v>166</v>
      </c>
      <c r="J13" s="80">
        <v>0.06</v>
      </c>
      <c r="K13" s="122">
        <v>0.36399999999999999</v>
      </c>
      <c r="L13" s="121">
        <v>0.37154150197628499</v>
      </c>
      <c r="M13" s="121">
        <v>0.37890625</v>
      </c>
      <c r="N13" s="121">
        <v>0.38610038610038599</v>
      </c>
      <c r="O13" s="121">
        <v>0.39312977099236601</v>
      </c>
      <c r="P13" s="80">
        <v>0.4</v>
      </c>
      <c r="T13" s="80">
        <v>0.36</v>
      </c>
      <c r="U13" s="106">
        <v>0.28320000000000001</v>
      </c>
      <c r="V13" s="106">
        <v>0.29599999999999999</v>
      </c>
      <c r="W13" s="106">
        <v>0.30880000000000002</v>
      </c>
      <c r="X13" s="106">
        <v>0.3216</v>
      </c>
      <c r="Y13" s="106">
        <v>0.33439999999999998</v>
      </c>
      <c r="Z13" s="106">
        <v>0.34720000000000001</v>
      </c>
    </row>
    <row r="14" spans="1:26" ht="13.5" customHeight="1" x14ac:dyDescent="0.35">
      <c r="B14" s="28" t="s">
        <v>102</v>
      </c>
      <c r="C14" s="50">
        <v>0.02</v>
      </c>
      <c r="D14" s="30"/>
      <c r="E14" s="125" t="s">
        <v>169</v>
      </c>
      <c r="F14" s="126">
        <f>C11</f>
        <v>94080000</v>
      </c>
      <c r="J14" s="80">
        <v>0.04</v>
      </c>
      <c r="K14" s="121">
        <v>0.376</v>
      </c>
      <c r="L14" s="121">
        <v>0.38095238095238099</v>
      </c>
      <c r="M14" s="121">
        <v>0.38582677165354301</v>
      </c>
      <c r="N14" s="121">
        <v>0.390625</v>
      </c>
      <c r="O14" s="121">
        <v>0.39534883720930197</v>
      </c>
      <c r="P14" s="80">
        <v>0.4</v>
      </c>
      <c r="T14" s="80">
        <v>0.38</v>
      </c>
      <c r="U14" s="106">
        <v>0.30559999999999998</v>
      </c>
      <c r="V14" s="106">
        <v>0.318</v>
      </c>
      <c r="W14" s="106">
        <v>0.33040000000000003</v>
      </c>
      <c r="X14" s="106">
        <v>0.34279999999999999</v>
      </c>
      <c r="Y14" s="106">
        <v>0.35520000000000002</v>
      </c>
      <c r="Z14" s="106">
        <v>0.36759999999999998</v>
      </c>
    </row>
    <row r="15" spans="1:26" ht="13.5" customHeight="1" x14ac:dyDescent="0.3">
      <c r="B15" s="28"/>
      <c r="C15" s="50"/>
      <c r="D15" s="30"/>
      <c r="J15" s="80">
        <v>0.02</v>
      </c>
      <c r="K15" s="121">
        <v>0.38800000000000001</v>
      </c>
      <c r="L15" s="121">
        <v>0.39043824701195201</v>
      </c>
      <c r="M15" s="121">
        <v>0.39285714285714302</v>
      </c>
      <c r="N15" s="121">
        <v>0.39525691699604698</v>
      </c>
      <c r="O15" s="121">
        <v>0.39763779527559101</v>
      </c>
      <c r="P15" s="80">
        <v>0.4</v>
      </c>
      <c r="S15" s="25" t="s">
        <v>165</v>
      </c>
      <c r="T15" s="80">
        <v>0.4</v>
      </c>
      <c r="U15" s="106">
        <v>0.32800000000000001</v>
      </c>
      <c r="V15" s="106">
        <v>0.34</v>
      </c>
      <c r="W15" s="106">
        <v>0.35199999999999998</v>
      </c>
      <c r="X15" s="106">
        <v>0.36399999999999999</v>
      </c>
      <c r="Y15" s="106">
        <v>0.376</v>
      </c>
      <c r="Z15" s="106">
        <v>0.38800000000000001</v>
      </c>
    </row>
    <row r="16" spans="1:26" ht="13.5" customHeight="1" x14ac:dyDescent="0.3">
      <c r="B16" s="28" t="s">
        <v>161</v>
      </c>
      <c r="C16" s="50">
        <v>0.5</v>
      </c>
      <c r="D16" s="30"/>
      <c r="E16" s="127" t="s">
        <v>170</v>
      </c>
      <c r="F16" s="128">
        <f>F13*(1+C27)</f>
        <v>59834880</v>
      </c>
      <c r="J16" s="80">
        <v>0.01</v>
      </c>
      <c r="K16" s="121"/>
      <c r="L16" s="121"/>
      <c r="M16" s="121"/>
      <c r="N16" s="121"/>
      <c r="O16" s="121"/>
      <c r="T16" s="80">
        <v>0.42</v>
      </c>
      <c r="U16" s="106">
        <v>0.35039999999999999</v>
      </c>
      <c r="V16" s="106">
        <v>0.36199999999999999</v>
      </c>
      <c r="W16" s="106">
        <v>0.37359999999999999</v>
      </c>
      <c r="X16" s="106">
        <v>0.38519999999999999</v>
      </c>
      <c r="Y16" s="106">
        <v>0.39679999999999999</v>
      </c>
      <c r="Z16" s="106">
        <v>0.40839999999999999</v>
      </c>
    </row>
    <row r="17" spans="1:41" ht="13.5" customHeight="1" x14ac:dyDescent="0.3">
      <c r="B17" s="28" t="s">
        <v>104</v>
      </c>
      <c r="C17" s="50">
        <v>0.08</v>
      </c>
      <c r="D17" s="30"/>
      <c r="E17" s="127" t="s">
        <v>171</v>
      </c>
      <c r="F17" s="128">
        <f>F14*(1+C27*C28)</f>
        <v>96337920</v>
      </c>
      <c r="T17" s="80">
        <v>0.44</v>
      </c>
      <c r="U17" s="106">
        <v>0.37280000000000002</v>
      </c>
      <c r="V17" s="106">
        <v>0.38400000000000001</v>
      </c>
      <c r="W17" s="106">
        <v>0.3952</v>
      </c>
      <c r="X17" s="106">
        <v>0.40639999999999998</v>
      </c>
      <c r="Y17" s="106">
        <v>0.41760000000000003</v>
      </c>
      <c r="Z17" s="106">
        <v>0.42880000000000001</v>
      </c>
    </row>
    <row r="18" spans="1:41" ht="13.5" customHeight="1" x14ac:dyDescent="0.3">
      <c r="B18" s="28"/>
      <c r="C18" s="50"/>
      <c r="D18" s="30"/>
      <c r="E18" s="127"/>
      <c r="F18" s="50"/>
      <c r="T18" s="80">
        <v>0.46</v>
      </c>
      <c r="U18" s="106">
        <v>0.3952</v>
      </c>
      <c r="V18" s="106">
        <v>0.40600000000000003</v>
      </c>
      <c r="W18" s="106">
        <v>0.4168</v>
      </c>
      <c r="X18" s="106">
        <v>0.42759999999999998</v>
      </c>
      <c r="Y18" s="106">
        <v>0.43840000000000001</v>
      </c>
      <c r="Z18" s="106">
        <v>0.44919999999999999</v>
      </c>
    </row>
    <row r="19" spans="1:41" ht="13.5" customHeight="1" x14ac:dyDescent="0.3">
      <c r="C19" s="50"/>
      <c r="I19" s="25" t="s">
        <v>172</v>
      </c>
      <c r="T19" s="80"/>
    </row>
    <row r="20" spans="1:41" ht="13.5" customHeight="1" x14ac:dyDescent="0.3">
      <c r="B20" s="25" t="s">
        <v>105</v>
      </c>
      <c r="C20" s="50">
        <v>0.04</v>
      </c>
      <c r="E20" s="125" t="s">
        <v>167</v>
      </c>
      <c r="F20" s="129">
        <f>(F17-F16)/F17</f>
        <v>0.37890625</v>
      </c>
      <c r="I20" s="25">
        <f>SUM(F26:O26)</f>
        <v>0</v>
      </c>
      <c r="T20" s="80"/>
    </row>
    <row r="21" spans="1:41" ht="13.5" customHeight="1" x14ac:dyDescent="0.3">
      <c r="B21" s="28" t="s">
        <v>106</v>
      </c>
      <c r="C21" s="50">
        <v>0.03</v>
      </c>
      <c r="D21" s="30"/>
      <c r="M21" s="25" t="s">
        <v>173</v>
      </c>
    </row>
    <row r="22" spans="1:41" ht="13.5" customHeight="1" x14ac:dyDescent="0.3">
      <c r="B22" s="28" t="s">
        <v>107</v>
      </c>
      <c r="C22" s="50">
        <v>0.02</v>
      </c>
      <c r="D22" s="30"/>
      <c r="M22" s="25" t="s">
        <v>174</v>
      </c>
    </row>
    <row r="23" spans="1:41" ht="13.5" customHeight="1" x14ac:dyDescent="0.3">
      <c r="B23" s="28" t="s">
        <v>108</v>
      </c>
      <c r="C23" s="50">
        <v>0.04</v>
      </c>
      <c r="D23" s="30"/>
    </row>
    <row r="24" spans="1:41" ht="13.5" customHeight="1" x14ac:dyDescent="0.3">
      <c r="B24" s="28"/>
      <c r="C24" s="50"/>
      <c r="D24" s="30"/>
    </row>
    <row r="25" spans="1:41" s="38" customFormat="1" ht="13.5" customHeight="1" x14ac:dyDescent="0.3">
      <c r="B25" s="28"/>
      <c r="C25" s="50"/>
      <c r="D25" s="30"/>
      <c r="E25" s="39"/>
      <c r="H25" s="39"/>
      <c r="K25" s="39"/>
      <c r="N25" s="39"/>
      <c r="Q25" s="39"/>
      <c r="T25" s="39"/>
      <c r="W25" s="39"/>
      <c r="Z25" s="39"/>
      <c r="AC25" s="39"/>
      <c r="AF25" s="39"/>
      <c r="AI25" s="39"/>
      <c r="AL25" s="39"/>
      <c r="AO25" s="39"/>
    </row>
    <row r="26" spans="1:41" s="50" customFormat="1" ht="13.5" customHeight="1" x14ac:dyDescent="0.3"/>
    <row r="27" spans="1:41" s="38" customFormat="1" ht="13.5" customHeight="1" x14ac:dyDescent="0.3">
      <c r="B27" s="130" t="s">
        <v>166</v>
      </c>
      <c r="C27" s="50">
        <v>0.06</v>
      </c>
      <c r="D27" s="30"/>
      <c r="E27" s="39"/>
      <c r="H27" s="39"/>
      <c r="K27" s="39"/>
      <c r="N27" s="39"/>
      <c r="Q27" s="39"/>
      <c r="T27" s="39"/>
      <c r="W27" s="39"/>
      <c r="Z27" s="39"/>
      <c r="AC27" s="39"/>
      <c r="AF27" s="39"/>
      <c r="AI27" s="39"/>
      <c r="AL27" s="39"/>
      <c r="AO27" s="39"/>
    </row>
    <row r="28" spans="1:41" s="21" customFormat="1" ht="13.5" customHeight="1" x14ac:dyDescent="0.3">
      <c r="A28" s="38"/>
      <c r="B28" s="130" t="s">
        <v>175</v>
      </c>
      <c r="C28" s="50">
        <v>0.4</v>
      </c>
      <c r="D28" s="44"/>
    </row>
    <row r="29" spans="1:41" s="46" customFormat="1" ht="13.5" customHeight="1" x14ac:dyDescent="0.3">
      <c r="A29" s="45"/>
      <c r="D29" s="46">
        <v>0</v>
      </c>
      <c r="E29" s="46">
        <v>1</v>
      </c>
      <c r="F29" s="46">
        <v>2</v>
      </c>
      <c r="G29" s="46">
        <v>3</v>
      </c>
      <c r="H29" s="46">
        <v>4</v>
      </c>
      <c r="I29" s="46">
        <v>5</v>
      </c>
      <c r="J29" s="46">
        <v>6</v>
      </c>
      <c r="K29" s="46">
        <v>7</v>
      </c>
      <c r="L29" s="46">
        <v>8</v>
      </c>
      <c r="M29" s="46">
        <v>9</v>
      </c>
      <c r="N29" s="46">
        <v>10</v>
      </c>
      <c r="O29" s="46">
        <v>11</v>
      </c>
      <c r="P29" s="46">
        <v>12</v>
      </c>
      <c r="Q29" s="46">
        <v>13</v>
      </c>
      <c r="R29" s="46">
        <v>14</v>
      </c>
      <c r="S29" s="46">
        <v>15</v>
      </c>
      <c r="T29" s="46">
        <v>16</v>
      </c>
      <c r="U29" s="46">
        <v>17</v>
      </c>
      <c r="V29" s="46">
        <v>18</v>
      </c>
      <c r="W29" s="46">
        <v>19</v>
      </c>
      <c r="X29" s="46">
        <v>20</v>
      </c>
      <c r="Y29" s="46">
        <v>21</v>
      </c>
      <c r="Z29" s="46">
        <v>22</v>
      </c>
      <c r="AA29" s="46">
        <v>23</v>
      </c>
      <c r="AB29" s="46">
        <v>24</v>
      </c>
      <c r="AC29" s="46">
        <v>25</v>
      </c>
      <c r="AD29" s="46">
        <v>26</v>
      </c>
      <c r="AE29" s="46">
        <v>27</v>
      </c>
      <c r="AF29" s="46">
        <v>28</v>
      </c>
      <c r="AG29" s="46">
        <f t="shared" ref="AG29:AN29" si="0">AF29+1</f>
        <v>29</v>
      </c>
      <c r="AH29" s="46">
        <f t="shared" si="0"/>
        <v>30</v>
      </c>
      <c r="AI29" s="46">
        <f t="shared" si="0"/>
        <v>31</v>
      </c>
      <c r="AJ29" s="46">
        <f t="shared" si="0"/>
        <v>32</v>
      </c>
      <c r="AK29" s="46">
        <f t="shared" si="0"/>
        <v>33</v>
      </c>
      <c r="AL29" s="46">
        <f t="shared" si="0"/>
        <v>34</v>
      </c>
      <c r="AM29" s="46">
        <f t="shared" si="0"/>
        <v>35</v>
      </c>
      <c r="AN29" s="46">
        <f t="shared" si="0"/>
        <v>36</v>
      </c>
    </row>
    <row r="30" spans="1:41" ht="13.5" customHeight="1" x14ac:dyDescent="0.3">
      <c r="D30" s="30"/>
    </row>
    <row r="31" spans="1:41" s="47" customFormat="1" ht="13.5" customHeight="1" x14ac:dyDescent="0.3">
      <c r="B31" s="48" t="s">
        <v>111</v>
      </c>
      <c r="C31" s="49"/>
      <c r="D31" s="35">
        <v>0</v>
      </c>
      <c r="E31" s="35">
        <v>0.14000000000000001</v>
      </c>
      <c r="F31" s="35">
        <v>0.1</v>
      </c>
      <c r="G31" s="35">
        <v>0.09</v>
      </c>
      <c r="H31" s="35">
        <v>0.06</v>
      </c>
      <c r="I31" s="35">
        <v>0.06</v>
      </c>
      <c r="J31" s="35">
        <v>0.05</v>
      </c>
      <c r="K31" s="35">
        <v>0.05</v>
      </c>
      <c r="L31" s="35">
        <v>0.05</v>
      </c>
      <c r="M31" s="35">
        <v>0.04</v>
      </c>
      <c r="N31" s="35">
        <v>0.04</v>
      </c>
      <c r="O31" s="35">
        <v>0.03</v>
      </c>
      <c r="P31" s="35">
        <v>0.03</v>
      </c>
      <c r="Q31" s="35">
        <v>0.03</v>
      </c>
      <c r="R31" s="35">
        <v>0.03</v>
      </c>
      <c r="S31" s="35">
        <v>0.02</v>
      </c>
      <c r="T31" s="35">
        <v>0.02</v>
      </c>
      <c r="U31" s="35">
        <v>0.02</v>
      </c>
      <c r="V31" s="35">
        <v>0.02</v>
      </c>
      <c r="W31" s="35">
        <v>0.02</v>
      </c>
      <c r="X31" s="35">
        <v>0.02</v>
      </c>
      <c r="Y31" s="35">
        <v>0.01</v>
      </c>
      <c r="Z31" s="35">
        <v>0.01</v>
      </c>
      <c r="AA31" s="35">
        <v>0.02</v>
      </c>
      <c r="AB31" s="35">
        <v>0.02</v>
      </c>
      <c r="AC31" s="35">
        <v>0.02</v>
      </c>
      <c r="AD31" s="35">
        <v>0</v>
      </c>
      <c r="AE31" s="50">
        <f>AD26*0.1</f>
        <v>0</v>
      </c>
      <c r="AF31" s="50">
        <f>AG26*0.6</f>
        <v>0</v>
      </c>
      <c r="AG31" s="50">
        <f>AG26*0.3</f>
        <v>0</v>
      </c>
      <c r="AH31" s="50">
        <f>AG26*0.1</f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</row>
    <row r="32" spans="1:41" s="47" customFormat="1" ht="13.5" customHeight="1" x14ac:dyDescent="0.3">
      <c r="B32" s="48"/>
      <c r="C32" s="49"/>
      <c r="D32" s="50"/>
      <c r="E32" s="50"/>
      <c r="F32" s="4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</row>
    <row r="33" spans="1:40" s="51" customFormat="1" ht="13.5" customHeight="1" x14ac:dyDescent="0.3">
      <c r="B33" s="52" t="s">
        <v>112</v>
      </c>
      <c r="C33" s="53"/>
      <c r="D33" s="52">
        <f>D31</f>
        <v>0</v>
      </c>
      <c r="E33" s="52">
        <f t="shared" ref="E33:AN33" si="1">E31+D33</f>
        <v>0.14000000000000001</v>
      </c>
      <c r="F33" s="52">
        <f t="shared" si="1"/>
        <v>0.24000000000000002</v>
      </c>
      <c r="G33" s="52">
        <f t="shared" si="1"/>
        <v>0.33</v>
      </c>
      <c r="H33" s="52">
        <f t="shared" si="1"/>
        <v>0.39</v>
      </c>
      <c r="I33" s="52">
        <f t="shared" si="1"/>
        <v>0.45</v>
      </c>
      <c r="J33" s="52">
        <f t="shared" si="1"/>
        <v>0.5</v>
      </c>
      <c r="K33" s="52">
        <f t="shared" si="1"/>
        <v>0.55000000000000004</v>
      </c>
      <c r="L33" s="52">
        <f t="shared" si="1"/>
        <v>0.60000000000000009</v>
      </c>
      <c r="M33" s="52">
        <f t="shared" si="1"/>
        <v>0.64000000000000012</v>
      </c>
      <c r="N33" s="52">
        <f t="shared" si="1"/>
        <v>0.68000000000000016</v>
      </c>
      <c r="O33" s="52">
        <f t="shared" si="1"/>
        <v>0.71000000000000019</v>
      </c>
      <c r="P33" s="52">
        <f t="shared" si="1"/>
        <v>0.74000000000000021</v>
      </c>
      <c r="Q33" s="52">
        <f t="shared" si="1"/>
        <v>0.77000000000000024</v>
      </c>
      <c r="R33" s="52">
        <f t="shared" si="1"/>
        <v>0.80000000000000027</v>
      </c>
      <c r="S33" s="52">
        <f t="shared" si="1"/>
        <v>0.82000000000000028</v>
      </c>
      <c r="T33" s="52">
        <f t="shared" si="1"/>
        <v>0.8400000000000003</v>
      </c>
      <c r="U33" s="52">
        <f t="shared" si="1"/>
        <v>0.86000000000000032</v>
      </c>
      <c r="V33" s="52">
        <f t="shared" si="1"/>
        <v>0.88000000000000034</v>
      </c>
      <c r="W33" s="52">
        <f t="shared" si="1"/>
        <v>0.90000000000000036</v>
      </c>
      <c r="X33" s="52">
        <f t="shared" si="1"/>
        <v>0.92000000000000037</v>
      </c>
      <c r="Y33" s="52">
        <f t="shared" si="1"/>
        <v>0.93000000000000038</v>
      </c>
      <c r="Z33" s="52">
        <f t="shared" si="1"/>
        <v>0.94000000000000039</v>
      </c>
      <c r="AA33" s="52">
        <f t="shared" si="1"/>
        <v>0.96000000000000041</v>
      </c>
      <c r="AB33" s="52">
        <f t="shared" si="1"/>
        <v>0.98000000000000043</v>
      </c>
      <c r="AC33" s="52">
        <f t="shared" si="1"/>
        <v>1.0000000000000004</v>
      </c>
      <c r="AD33" s="52">
        <f t="shared" si="1"/>
        <v>1.0000000000000004</v>
      </c>
      <c r="AE33" s="52">
        <f t="shared" si="1"/>
        <v>1.0000000000000004</v>
      </c>
      <c r="AF33" s="52">
        <f t="shared" si="1"/>
        <v>1.0000000000000004</v>
      </c>
      <c r="AG33" s="52">
        <f t="shared" si="1"/>
        <v>1.0000000000000004</v>
      </c>
      <c r="AH33" s="52">
        <f t="shared" si="1"/>
        <v>1.0000000000000004</v>
      </c>
      <c r="AI33" s="52">
        <f t="shared" si="1"/>
        <v>1.0000000000000004</v>
      </c>
      <c r="AJ33" s="52">
        <f t="shared" si="1"/>
        <v>1.0000000000000004</v>
      </c>
      <c r="AK33" s="52">
        <f t="shared" si="1"/>
        <v>1.0000000000000004</v>
      </c>
      <c r="AL33" s="52">
        <f t="shared" si="1"/>
        <v>1.0000000000000004</v>
      </c>
      <c r="AM33" s="52">
        <f t="shared" si="1"/>
        <v>1.0000000000000004</v>
      </c>
      <c r="AN33" s="52">
        <f t="shared" si="1"/>
        <v>1.0000000000000004</v>
      </c>
    </row>
    <row r="34" spans="1:40" s="54" customFormat="1" ht="13.5" customHeight="1" x14ac:dyDescent="0.3">
      <c r="B34" s="55" t="s">
        <v>113</v>
      </c>
      <c r="C34" s="56"/>
      <c r="D34" s="55">
        <f t="shared" ref="D34:AN34" si="2">$C$9*D31</f>
        <v>0</v>
      </c>
      <c r="E34" s="55">
        <f t="shared" si="2"/>
        <v>49.000000000000007</v>
      </c>
      <c r="F34" s="55">
        <f t="shared" si="2"/>
        <v>35</v>
      </c>
      <c r="G34" s="55">
        <f t="shared" si="2"/>
        <v>31.5</v>
      </c>
      <c r="H34" s="55">
        <f t="shared" si="2"/>
        <v>21</v>
      </c>
      <c r="I34" s="55">
        <f t="shared" si="2"/>
        <v>21</v>
      </c>
      <c r="J34" s="55">
        <f t="shared" si="2"/>
        <v>17.5</v>
      </c>
      <c r="K34" s="55">
        <f t="shared" si="2"/>
        <v>17.5</v>
      </c>
      <c r="L34" s="55">
        <f t="shared" si="2"/>
        <v>17.5</v>
      </c>
      <c r="M34" s="55">
        <f t="shared" si="2"/>
        <v>14</v>
      </c>
      <c r="N34" s="55">
        <f t="shared" si="2"/>
        <v>14</v>
      </c>
      <c r="O34" s="55">
        <f t="shared" si="2"/>
        <v>10.5</v>
      </c>
      <c r="P34" s="55">
        <f t="shared" si="2"/>
        <v>10.5</v>
      </c>
      <c r="Q34" s="55">
        <f t="shared" si="2"/>
        <v>10.5</v>
      </c>
      <c r="R34" s="55">
        <f t="shared" si="2"/>
        <v>10.5</v>
      </c>
      <c r="S34" s="55">
        <f t="shared" si="2"/>
        <v>7</v>
      </c>
      <c r="T34" s="55">
        <f t="shared" si="2"/>
        <v>7</v>
      </c>
      <c r="U34" s="55">
        <f t="shared" si="2"/>
        <v>7</v>
      </c>
      <c r="V34" s="55">
        <f t="shared" si="2"/>
        <v>7</v>
      </c>
      <c r="W34" s="55">
        <f t="shared" si="2"/>
        <v>7</v>
      </c>
      <c r="X34" s="55">
        <f t="shared" si="2"/>
        <v>7</v>
      </c>
      <c r="Y34" s="55">
        <f t="shared" si="2"/>
        <v>3.5</v>
      </c>
      <c r="Z34" s="55">
        <f t="shared" si="2"/>
        <v>3.5</v>
      </c>
      <c r="AA34" s="55">
        <f t="shared" si="2"/>
        <v>7</v>
      </c>
      <c r="AB34" s="55">
        <f t="shared" si="2"/>
        <v>7</v>
      </c>
      <c r="AC34" s="55">
        <f t="shared" si="2"/>
        <v>7</v>
      </c>
      <c r="AD34" s="55">
        <f t="shared" si="2"/>
        <v>0</v>
      </c>
      <c r="AE34" s="55">
        <f t="shared" si="2"/>
        <v>0</v>
      </c>
      <c r="AF34" s="55">
        <f t="shared" si="2"/>
        <v>0</v>
      </c>
      <c r="AG34" s="55">
        <f t="shared" si="2"/>
        <v>0</v>
      </c>
      <c r="AH34" s="55">
        <f t="shared" si="2"/>
        <v>0</v>
      </c>
      <c r="AI34" s="55">
        <f t="shared" si="2"/>
        <v>0</v>
      </c>
      <c r="AJ34" s="55">
        <f t="shared" si="2"/>
        <v>0</v>
      </c>
      <c r="AK34" s="55">
        <f t="shared" si="2"/>
        <v>0</v>
      </c>
      <c r="AL34" s="55">
        <f t="shared" si="2"/>
        <v>0</v>
      </c>
      <c r="AM34" s="55">
        <f t="shared" si="2"/>
        <v>0</v>
      </c>
      <c r="AN34" s="55">
        <f t="shared" si="2"/>
        <v>0</v>
      </c>
    </row>
    <row r="35" spans="1:40" s="54" customFormat="1" ht="13.5" customHeight="1" x14ac:dyDescent="0.3">
      <c r="B35" s="55" t="s">
        <v>114</v>
      </c>
      <c r="C35" s="56"/>
      <c r="D35" s="55">
        <f>D34</f>
        <v>0</v>
      </c>
      <c r="E35" s="55">
        <f t="shared" ref="E35:AN35" si="3">E34+D35</f>
        <v>49.000000000000007</v>
      </c>
      <c r="F35" s="55">
        <f t="shared" si="3"/>
        <v>84</v>
      </c>
      <c r="G35" s="55">
        <f t="shared" si="3"/>
        <v>115.5</v>
      </c>
      <c r="H35" s="55">
        <f t="shared" si="3"/>
        <v>136.5</v>
      </c>
      <c r="I35" s="55">
        <f t="shared" si="3"/>
        <v>157.5</v>
      </c>
      <c r="J35" s="55">
        <f t="shared" si="3"/>
        <v>175</v>
      </c>
      <c r="K35" s="55">
        <f t="shared" si="3"/>
        <v>192.5</v>
      </c>
      <c r="L35" s="55">
        <f t="shared" si="3"/>
        <v>210</v>
      </c>
      <c r="M35" s="55">
        <f t="shared" si="3"/>
        <v>224</v>
      </c>
      <c r="N35" s="55">
        <f t="shared" si="3"/>
        <v>238</v>
      </c>
      <c r="O35" s="55">
        <f t="shared" si="3"/>
        <v>248.5</v>
      </c>
      <c r="P35" s="55">
        <f t="shared" si="3"/>
        <v>259</v>
      </c>
      <c r="Q35" s="55">
        <f t="shared" si="3"/>
        <v>269.5</v>
      </c>
      <c r="R35" s="55">
        <f t="shared" si="3"/>
        <v>280</v>
      </c>
      <c r="S35" s="55">
        <f t="shared" si="3"/>
        <v>287</v>
      </c>
      <c r="T35" s="55">
        <f t="shared" si="3"/>
        <v>294</v>
      </c>
      <c r="U35" s="55">
        <f t="shared" si="3"/>
        <v>301</v>
      </c>
      <c r="V35" s="55">
        <f t="shared" si="3"/>
        <v>308</v>
      </c>
      <c r="W35" s="55">
        <f t="shared" si="3"/>
        <v>315</v>
      </c>
      <c r="X35" s="55">
        <f t="shared" si="3"/>
        <v>322</v>
      </c>
      <c r="Y35" s="55">
        <f t="shared" si="3"/>
        <v>325.5</v>
      </c>
      <c r="Z35" s="55">
        <f t="shared" si="3"/>
        <v>329</v>
      </c>
      <c r="AA35" s="55">
        <f t="shared" si="3"/>
        <v>336</v>
      </c>
      <c r="AB35" s="55">
        <f t="shared" si="3"/>
        <v>343</v>
      </c>
      <c r="AC35" s="55">
        <f t="shared" si="3"/>
        <v>350</v>
      </c>
      <c r="AD35" s="55">
        <f t="shared" si="3"/>
        <v>350</v>
      </c>
      <c r="AE35" s="55">
        <f t="shared" si="3"/>
        <v>350</v>
      </c>
      <c r="AF35" s="55">
        <f t="shared" si="3"/>
        <v>350</v>
      </c>
      <c r="AG35" s="55">
        <f t="shared" si="3"/>
        <v>350</v>
      </c>
      <c r="AH35" s="55">
        <f t="shared" si="3"/>
        <v>350</v>
      </c>
      <c r="AI35" s="55">
        <f t="shared" si="3"/>
        <v>350</v>
      </c>
      <c r="AJ35" s="55">
        <f t="shared" si="3"/>
        <v>350</v>
      </c>
      <c r="AK35" s="55">
        <f t="shared" si="3"/>
        <v>350</v>
      </c>
      <c r="AL35" s="55">
        <f t="shared" si="3"/>
        <v>350</v>
      </c>
      <c r="AM35" s="55">
        <f t="shared" si="3"/>
        <v>350</v>
      </c>
      <c r="AN35" s="55">
        <f t="shared" si="3"/>
        <v>350</v>
      </c>
    </row>
    <row r="36" spans="1:40" s="57" customFormat="1" ht="13.5" customHeight="1" x14ac:dyDescent="0.3">
      <c r="B36" s="57" t="s">
        <v>115</v>
      </c>
      <c r="D36" s="57">
        <f>D33*C8</f>
        <v>0</v>
      </c>
      <c r="E36" s="57">
        <f t="shared" ref="E36:AN36" si="4">E33*$C$8</f>
        <v>13720000.000000002</v>
      </c>
      <c r="F36" s="57">
        <f t="shared" si="4"/>
        <v>23520000</v>
      </c>
      <c r="G36" s="57">
        <f t="shared" si="4"/>
        <v>32340000</v>
      </c>
      <c r="H36" s="57">
        <f t="shared" si="4"/>
        <v>38220000</v>
      </c>
      <c r="I36" s="57">
        <f t="shared" si="4"/>
        <v>44100000</v>
      </c>
      <c r="J36" s="57">
        <f t="shared" si="4"/>
        <v>49000000</v>
      </c>
      <c r="K36" s="57">
        <f t="shared" si="4"/>
        <v>53900000.000000007</v>
      </c>
      <c r="L36" s="57">
        <f t="shared" si="4"/>
        <v>58800000.000000007</v>
      </c>
      <c r="M36" s="57">
        <f t="shared" si="4"/>
        <v>62720000.000000015</v>
      </c>
      <c r="N36" s="57">
        <f t="shared" si="4"/>
        <v>66640000.000000015</v>
      </c>
      <c r="O36" s="57">
        <f t="shared" si="4"/>
        <v>69580000.000000015</v>
      </c>
      <c r="P36" s="57">
        <f t="shared" si="4"/>
        <v>72520000.000000015</v>
      </c>
      <c r="Q36" s="57">
        <f t="shared" si="4"/>
        <v>75460000.00000003</v>
      </c>
      <c r="R36" s="57">
        <f t="shared" si="4"/>
        <v>78400000.00000003</v>
      </c>
      <c r="S36" s="57">
        <f t="shared" si="4"/>
        <v>80360000.00000003</v>
      </c>
      <c r="T36" s="57">
        <f t="shared" si="4"/>
        <v>82320000.00000003</v>
      </c>
      <c r="U36" s="57">
        <f t="shared" si="4"/>
        <v>84280000.00000003</v>
      </c>
      <c r="V36" s="57">
        <f t="shared" si="4"/>
        <v>86240000.00000003</v>
      </c>
      <c r="W36" s="57">
        <f t="shared" si="4"/>
        <v>88200000.00000003</v>
      </c>
      <c r="X36" s="57">
        <f t="shared" si="4"/>
        <v>90160000.00000003</v>
      </c>
      <c r="Y36" s="57">
        <f t="shared" si="4"/>
        <v>91140000.000000045</v>
      </c>
      <c r="Z36" s="57">
        <f t="shared" si="4"/>
        <v>92120000.000000045</v>
      </c>
      <c r="AA36" s="57">
        <f t="shared" si="4"/>
        <v>94080000.000000045</v>
      </c>
      <c r="AB36" s="57">
        <f t="shared" si="4"/>
        <v>96040000.000000045</v>
      </c>
      <c r="AC36" s="57">
        <f t="shared" si="4"/>
        <v>98000000.000000045</v>
      </c>
      <c r="AD36" s="57">
        <f t="shared" si="4"/>
        <v>98000000.000000045</v>
      </c>
      <c r="AE36" s="57">
        <f t="shared" si="4"/>
        <v>98000000.000000045</v>
      </c>
      <c r="AF36" s="57">
        <f t="shared" si="4"/>
        <v>98000000.000000045</v>
      </c>
      <c r="AG36" s="57">
        <f t="shared" si="4"/>
        <v>98000000.000000045</v>
      </c>
      <c r="AH36" s="57">
        <f t="shared" si="4"/>
        <v>98000000.000000045</v>
      </c>
      <c r="AI36" s="57">
        <f t="shared" si="4"/>
        <v>98000000.000000045</v>
      </c>
      <c r="AJ36" s="57">
        <f t="shared" si="4"/>
        <v>98000000.000000045</v>
      </c>
      <c r="AK36" s="57">
        <f t="shared" si="4"/>
        <v>98000000.000000045</v>
      </c>
      <c r="AL36" s="57">
        <f t="shared" si="4"/>
        <v>98000000.000000045</v>
      </c>
      <c r="AM36" s="57">
        <f t="shared" si="4"/>
        <v>98000000.000000045</v>
      </c>
      <c r="AN36" s="57">
        <f t="shared" si="4"/>
        <v>98000000.000000045</v>
      </c>
    </row>
    <row r="37" spans="1:40" ht="13.5" customHeight="1" x14ac:dyDescent="0.3"/>
    <row r="38" spans="1:40" s="47" customFormat="1" ht="13.5" customHeight="1" x14ac:dyDescent="0.3">
      <c r="B38" s="48" t="s">
        <v>116</v>
      </c>
      <c r="C38" s="49"/>
      <c r="D38" s="50">
        <v>0</v>
      </c>
      <c r="E38" s="50">
        <v>0</v>
      </c>
      <c r="F38" s="50">
        <v>0</v>
      </c>
      <c r="G38" s="50">
        <v>0</v>
      </c>
      <c r="H38" s="50">
        <v>0.01</v>
      </c>
      <c r="I38" s="50">
        <v>0.02</v>
      </c>
      <c r="J38" s="50">
        <v>0.02</v>
      </c>
      <c r="K38" s="50">
        <v>0.03</v>
      </c>
      <c r="L38" s="50">
        <v>0.03</v>
      </c>
      <c r="M38" s="50">
        <v>0.03</v>
      </c>
      <c r="N38" s="50">
        <v>0.04</v>
      </c>
      <c r="O38" s="50">
        <v>0.05</v>
      </c>
      <c r="P38" s="50">
        <v>0.05</v>
      </c>
      <c r="Q38" s="50">
        <v>0.06</v>
      </c>
      <c r="R38" s="50">
        <v>7.0000000000000007E-2</v>
      </c>
      <c r="S38" s="50">
        <v>7.0000000000000007E-2</v>
      </c>
      <c r="T38" s="50">
        <v>0.06</v>
      </c>
      <c r="U38" s="50">
        <v>0.05</v>
      </c>
      <c r="V38" s="50">
        <v>0.05</v>
      </c>
      <c r="W38" s="50">
        <v>0.05</v>
      </c>
      <c r="X38" s="50">
        <v>0.04</v>
      </c>
      <c r="Y38" s="50">
        <v>0.04</v>
      </c>
      <c r="Z38" s="50">
        <v>0.03</v>
      </c>
      <c r="AA38" s="50">
        <v>0.03</v>
      </c>
      <c r="AB38" s="50">
        <v>0.02</v>
      </c>
      <c r="AC38" s="50">
        <v>0.02</v>
      </c>
      <c r="AD38" s="50">
        <v>0.02</v>
      </c>
      <c r="AE38" s="50">
        <v>0.02</v>
      </c>
      <c r="AF38" s="50">
        <v>0.02</v>
      </c>
      <c r="AG38" s="50">
        <v>0.02</v>
      </c>
      <c r="AH38" s="50">
        <v>0.02</v>
      </c>
      <c r="AI38" s="50">
        <v>0.01</v>
      </c>
      <c r="AJ38" s="50">
        <v>0.01</v>
      </c>
      <c r="AK38" s="50">
        <v>0.01</v>
      </c>
      <c r="AL38" s="50">
        <v>0</v>
      </c>
      <c r="AM38" s="50">
        <v>0</v>
      </c>
      <c r="AN38" s="50">
        <v>0</v>
      </c>
    </row>
    <row r="39" spans="1:40" s="51" customFormat="1" ht="13.5" customHeight="1" x14ac:dyDescent="0.3">
      <c r="B39" s="52" t="s">
        <v>117</v>
      </c>
      <c r="C39" s="53"/>
      <c r="D39" s="52">
        <f>D38</f>
        <v>0</v>
      </c>
      <c r="E39" s="52">
        <f t="shared" ref="E39:AN39" si="5">E38+D39</f>
        <v>0</v>
      </c>
      <c r="F39" s="52">
        <f t="shared" si="5"/>
        <v>0</v>
      </c>
      <c r="G39" s="52">
        <f t="shared" si="5"/>
        <v>0</v>
      </c>
      <c r="H39" s="52">
        <f t="shared" si="5"/>
        <v>0.01</v>
      </c>
      <c r="I39" s="52">
        <f t="shared" si="5"/>
        <v>0.03</v>
      </c>
      <c r="J39" s="52">
        <f t="shared" si="5"/>
        <v>0.05</v>
      </c>
      <c r="K39" s="52">
        <f t="shared" si="5"/>
        <v>0.08</v>
      </c>
      <c r="L39" s="52">
        <f t="shared" si="5"/>
        <v>0.11</v>
      </c>
      <c r="M39" s="52">
        <f t="shared" si="5"/>
        <v>0.14000000000000001</v>
      </c>
      <c r="N39" s="52">
        <f t="shared" si="5"/>
        <v>0.18000000000000002</v>
      </c>
      <c r="O39" s="52">
        <f t="shared" si="5"/>
        <v>0.23000000000000004</v>
      </c>
      <c r="P39" s="52">
        <f t="shared" si="5"/>
        <v>0.28000000000000003</v>
      </c>
      <c r="Q39" s="52">
        <f t="shared" si="5"/>
        <v>0.34</v>
      </c>
      <c r="R39" s="52">
        <f t="shared" si="5"/>
        <v>0.41000000000000003</v>
      </c>
      <c r="S39" s="52">
        <f t="shared" si="5"/>
        <v>0.48000000000000004</v>
      </c>
      <c r="T39" s="52">
        <f t="shared" si="5"/>
        <v>0.54</v>
      </c>
      <c r="U39" s="52">
        <f t="shared" si="5"/>
        <v>0.59000000000000008</v>
      </c>
      <c r="V39" s="52">
        <f t="shared" si="5"/>
        <v>0.64000000000000012</v>
      </c>
      <c r="W39" s="52">
        <f t="shared" si="5"/>
        <v>0.69000000000000017</v>
      </c>
      <c r="X39" s="52">
        <f t="shared" si="5"/>
        <v>0.7300000000000002</v>
      </c>
      <c r="Y39" s="52">
        <f t="shared" si="5"/>
        <v>0.77000000000000024</v>
      </c>
      <c r="Z39" s="52">
        <f t="shared" si="5"/>
        <v>0.80000000000000027</v>
      </c>
      <c r="AA39" s="52">
        <f t="shared" si="5"/>
        <v>0.83000000000000029</v>
      </c>
      <c r="AB39" s="52">
        <f t="shared" si="5"/>
        <v>0.85000000000000031</v>
      </c>
      <c r="AC39" s="52">
        <f t="shared" si="5"/>
        <v>0.87000000000000033</v>
      </c>
      <c r="AD39" s="52">
        <f t="shared" si="5"/>
        <v>0.89000000000000035</v>
      </c>
      <c r="AE39" s="52">
        <f t="shared" si="5"/>
        <v>0.91000000000000036</v>
      </c>
      <c r="AF39" s="52">
        <f t="shared" si="5"/>
        <v>0.93000000000000038</v>
      </c>
      <c r="AG39" s="52">
        <f t="shared" si="5"/>
        <v>0.9500000000000004</v>
      </c>
      <c r="AH39" s="52">
        <f t="shared" si="5"/>
        <v>0.97000000000000042</v>
      </c>
      <c r="AI39" s="52">
        <f t="shared" si="5"/>
        <v>0.98000000000000043</v>
      </c>
      <c r="AJ39" s="52">
        <f t="shared" si="5"/>
        <v>0.99000000000000044</v>
      </c>
      <c r="AK39" s="52">
        <f t="shared" si="5"/>
        <v>1.0000000000000004</v>
      </c>
      <c r="AL39" s="52">
        <f t="shared" si="5"/>
        <v>1.0000000000000004</v>
      </c>
      <c r="AM39" s="52">
        <f t="shared" si="5"/>
        <v>1.0000000000000004</v>
      </c>
      <c r="AN39" s="52">
        <f t="shared" si="5"/>
        <v>1.0000000000000004</v>
      </c>
    </row>
    <row r="40" spans="1:40" s="58" customFormat="1" ht="13.5" customHeight="1" x14ac:dyDescent="0.25">
      <c r="B40" s="58" t="s">
        <v>118</v>
      </c>
      <c r="D40" s="58">
        <v>0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  <c r="J40" s="58">
        <v>0</v>
      </c>
      <c r="K40" s="58">
        <v>0</v>
      </c>
      <c r="L40" s="58">
        <v>0</v>
      </c>
      <c r="M40" s="58">
        <v>0</v>
      </c>
      <c r="N40" s="58">
        <v>0</v>
      </c>
      <c r="O40" s="58">
        <v>0</v>
      </c>
      <c r="P40" s="58">
        <v>0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  <c r="X40" s="58">
        <v>0</v>
      </c>
      <c r="Y40" s="58">
        <v>0</v>
      </c>
      <c r="Z40" s="58">
        <v>0</v>
      </c>
      <c r="AA40" s="58">
        <v>0</v>
      </c>
      <c r="AB40" s="58">
        <v>0</v>
      </c>
      <c r="AC40" s="58">
        <v>0</v>
      </c>
      <c r="AD40" s="58">
        <v>0</v>
      </c>
      <c r="AE40" s="58">
        <v>0</v>
      </c>
      <c r="AF40" s="58">
        <v>0</v>
      </c>
      <c r="AG40" s="58">
        <v>0</v>
      </c>
      <c r="AH40" s="58">
        <v>0</v>
      </c>
      <c r="AI40" s="58">
        <v>0</v>
      </c>
      <c r="AJ40" s="58">
        <v>0</v>
      </c>
      <c r="AK40" s="58">
        <v>0</v>
      </c>
      <c r="AL40" s="58">
        <v>0</v>
      </c>
      <c r="AM40" s="58">
        <v>0</v>
      </c>
      <c r="AN40" s="58">
        <v>0</v>
      </c>
    </row>
    <row r="41" spans="1:40" s="57" customFormat="1" ht="13.5" customHeight="1" x14ac:dyDescent="0.3">
      <c r="B41" s="57" t="s">
        <v>119</v>
      </c>
      <c r="D41" s="57">
        <f>C14*C8</f>
        <v>1960000</v>
      </c>
      <c r="E41" s="57">
        <f t="shared" ref="E41:AN41" si="6">$C$17*$C$8*E31</f>
        <v>1097600</v>
      </c>
      <c r="F41" s="57">
        <f t="shared" si="6"/>
        <v>784000</v>
      </c>
      <c r="G41" s="57">
        <f t="shared" si="6"/>
        <v>705600</v>
      </c>
      <c r="H41" s="57">
        <f t="shared" si="6"/>
        <v>470400</v>
      </c>
      <c r="I41" s="57">
        <f t="shared" si="6"/>
        <v>470400</v>
      </c>
      <c r="J41" s="57">
        <f t="shared" si="6"/>
        <v>392000</v>
      </c>
      <c r="K41" s="57">
        <f t="shared" si="6"/>
        <v>392000</v>
      </c>
      <c r="L41" s="57">
        <f t="shared" si="6"/>
        <v>392000</v>
      </c>
      <c r="M41" s="57">
        <f t="shared" si="6"/>
        <v>313600</v>
      </c>
      <c r="N41" s="57">
        <f t="shared" si="6"/>
        <v>313600</v>
      </c>
      <c r="O41" s="57">
        <f t="shared" si="6"/>
        <v>235200</v>
      </c>
      <c r="P41" s="57">
        <f t="shared" si="6"/>
        <v>235200</v>
      </c>
      <c r="Q41" s="57">
        <f t="shared" si="6"/>
        <v>235200</v>
      </c>
      <c r="R41" s="57">
        <f t="shared" si="6"/>
        <v>235200</v>
      </c>
      <c r="S41" s="57">
        <f t="shared" si="6"/>
        <v>156800</v>
      </c>
      <c r="T41" s="57">
        <f t="shared" si="6"/>
        <v>156800</v>
      </c>
      <c r="U41" s="57">
        <f t="shared" si="6"/>
        <v>156800</v>
      </c>
      <c r="V41" s="57">
        <f t="shared" si="6"/>
        <v>156800</v>
      </c>
      <c r="W41" s="57">
        <f t="shared" si="6"/>
        <v>156800</v>
      </c>
      <c r="X41" s="57">
        <f t="shared" si="6"/>
        <v>156800</v>
      </c>
      <c r="Y41" s="57">
        <f t="shared" si="6"/>
        <v>78400</v>
      </c>
      <c r="Z41" s="57">
        <f t="shared" si="6"/>
        <v>78400</v>
      </c>
      <c r="AA41" s="57">
        <f t="shared" si="6"/>
        <v>156800</v>
      </c>
      <c r="AB41" s="57">
        <f t="shared" si="6"/>
        <v>156800</v>
      </c>
      <c r="AC41" s="57">
        <f t="shared" si="6"/>
        <v>156800</v>
      </c>
      <c r="AD41" s="57">
        <f t="shared" si="6"/>
        <v>0</v>
      </c>
      <c r="AE41" s="57">
        <f t="shared" si="6"/>
        <v>0</v>
      </c>
      <c r="AF41" s="57">
        <f t="shared" si="6"/>
        <v>0</v>
      </c>
      <c r="AG41" s="57">
        <f t="shared" si="6"/>
        <v>0</v>
      </c>
      <c r="AH41" s="57">
        <f t="shared" si="6"/>
        <v>0</v>
      </c>
      <c r="AI41" s="57">
        <f t="shared" si="6"/>
        <v>0</v>
      </c>
      <c r="AJ41" s="57">
        <f t="shared" si="6"/>
        <v>0</v>
      </c>
      <c r="AK41" s="57">
        <f t="shared" si="6"/>
        <v>0</v>
      </c>
      <c r="AL41" s="57">
        <f t="shared" si="6"/>
        <v>0</v>
      </c>
      <c r="AM41" s="57">
        <f t="shared" si="6"/>
        <v>0</v>
      </c>
      <c r="AN41" s="57">
        <f t="shared" si="6"/>
        <v>0</v>
      </c>
    </row>
    <row r="42" spans="1:40" s="57" customFormat="1" ht="13.5" customHeight="1" x14ac:dyDescent="0.3">
      <c r="A42" s="58"/>
      <c r="B42" s="59" t="s">
        <v>120</v>
      </c>
      <c r="C42" s="58"/>
      <c r="D42" s="57">
        <f t="shared" ref="D42:AN42" si="7">D41+(D40*$C$8)+(D38*$C$16*$C$8)</f>
        <v>1960000</v>
      </c>
      <c r="E42" s="57">
        <f t="shared" si="7"/>
        <v>1097600</v>
      </c>
      <c r="F42" s="57">
        <f t="shared" si="7"/>
        <v>784000</v>
      </c>
      <c r="G42" s="57">
        <f t="shared" si="7"/>
        <v>705600</v>
      </c>
      <c r="H42" s="57">
        <f t="shared" si="7"/>
        <v>960400</v>
      </c>
      <c r="I42" s="57">
        <f t="shared" si="7"/>
        <v>1450400</v>
      </c>
      <c r="J42" s="57">
        <f t="shared" si="7"/>
        <v>1372000</v>
      </c>
      <c r="K42" s="57">
        <f t="shared" si="7"/>
        <v>1862000</v>
      </c>
      <c r="L42" s="57">
        <f t="shared" si="7"/>
        <v>1862000</v>
      </c>
      <c r="M42" s="57">
        <f t="shared" si="7"/>
        <v>1783600</v>
      </c>
      <c r="N42" s="57">
        <f t="shared" si="7"/>
        <v>2273600</v>
      </c>
      <c r="O42" s="57">
        <f t="shared" si="7"/>
        <v>2685200</v>
      </c>
      <c r="P42" s="57">
        <f t="shared" si="7"/>
        <v>2685200</v>
      </c>
      <c r="Q42" s="57">
        <f t="shared" si="7"/>
        <v>3175200</v>
      </c>
      <c r="R42" s="57">
        <f t="shared" si="7"/>
        <v>3665200.0000000005</v>
      </c>
      <c r="S42" s="57">
        <f t="shared" si="7"/>
        <v>3586800.0000000005</v>
      </c>
      <c r="T42" s="57">
        <f t="shared" si="7"/>
        <v>3096800</v>
      </c>
      <c r="U42" s="57">
        <f t="shared" si="7"/>
        <v>2606800</v>
      </c>
      <c r="V42" s="57">
        <f t="shared" si="7"/>
        <v>2606800</v>
      </c>
      <c r="W42" s="57">
        <f t="shared" si="7"/>
        <v>2606800</v>
      </c>
      <c r="X42" s="57">
        <f t="shared" si="7"/>
        <v>2116800</v>
      </c>
      <c r="Y42" s="57">
        <f t="shared" si="7"/>
        <v>2038400</v>
      </c>
      <c r="Z42" s="57">
        <f t="shared" si="7"/>
        <v>1548400</v>
      </c>
      <c r="AA42" s="57">
        <f t="shared" si="7"/>
        <v>1626800</v>
      </c>
      <c r="AB42" s="57">
        <f t="shared" si="7"/>
        <v>1136800</v>
      </c>
      <c r="AC42" s="57">
        <f t="shared" si="7"/>
        <v>1136800</v>
      </c>
      <c r="AD42" s="57">
        <f t="shared" si="7"/>
        <v>980000</v>
      </c>
      <c r="AE42" s="57">
        <f t="shared" si="7"/>
        <v>980000</v>
      </c>
      <c r="AF42" s="57">
        <f t="shared" si="7"/>
        <v>980000</v>
      </c>
      <c r="AG42" s="57">
        <f t="shared" si="7"/>
        <v>980000</v>
      </c>
      <c r="AH42" s="57">
        <f t="shared" si="7"/>
        <v>980000</v>
      </c>
      <c r="AI42" s="57">
        <f t="shared" si="7"/>
        <v>490000</v>
      </c>
      <c r="AJ42" s="57">
        <f t="shared" si="7"/>
        <v>490000</v>
      </c>
      <c r="AK42" s="57">
        <f t="shared" si="7"/>
        <v>490000</v>
      </c>
      <c r="AL42" s="57">
        <f t="shared" si="7"/>
        <v>0</v>
      </c>
      <c r="AM42" s="57">
        <f t="shared" si="7"/>
        <v>0</v>
      </c>
      <c r="AN42" s="57">
        <f t="shared" si="7"/>
        <v>0</v>
      </c>
    </row>
    <row r="43" spans="1:40" s="57" customFormat="1" ht="13.5" customHeight="1" x14ac:dyDescent="0.3">
      <c r="A43" s="58"/>
      <c r="B43" s="59" t="s">
        <v>121</v>
      </c>
      <c r="C43" s="58"/>
      <c r="D43" s="57">
        <f>D42</f>
        <v>1960000</v>
      </c>
      <c r="E43" s="57">
        <f t="shared" ref="E43:AN43" si="8">E42+D43</f>
        <v>3057600</v>
      </c>
      <c r="F43" s="57">
        <f t="shared" si="8"/>
        <v>3841600</v>
      </c>
      <c r="G43" s="57">
        <f t="shared" si="8"/>
        <v>4547200</v>
      </c>
      <c r="H43" s="57">
        <f t="shared" si="8"/>
        <v>5507600</v>
      </c>
      <c r="I43" s="57">
        <f t="shared" si="8"/>
        <v>6958000</v>
      </c>
      <c r="J43" s="57">
        <f t="shared" si="8"/>
        <v>8330000</v>
      </c>
      <c r="K43" s="57">
        <f t="shared" si="8"/>
        <v>10192000</v>
      </c>
      <c r="L43" s="57">
        <f t="shared" si="8"/>
        <v>12054000</v>
      </c>
      <c r="M43" s="57">
        <f t="shared" si="8"/>
        <v>13837600</v>
      </c>
      <c r="N43" s="57">
        <f t="shared" si="8"/>
        <v>16111200</v>
      </c>
      <c r="O43" s="57">
        <f t="shared" si="8"/>
        <v>18796400</v>
      </c>
      <c r="P43" s="57">
        <f t="shared" si="8"/>
        <v>21481600</v>
      </c>
      <c r="Q43" s="57">
        <f t="shared" si="8"/>
        <v>24656800</v>
      </c>
      <c r="R43" s="57">
        <f t="shared" si="8"/>
        <v>28322000</v>
      </c>
      <c r="S43" s="57">
        <f t="shared" si="8"/>
        <v>31908800</v>
      </c>
      <c r="T43" s="57">
        <f t="shared" si="8"/>
        <v>35005600</v>
      </c>
      <c r="U43" s="57">
        <f t="shared" si="8"/>
        <v>37612400</v>
      </c>
      <c r="V43" s="57">
        <f t="shared" si="8"/>
        <v>40219200</v>
      </c>
      <c r="W43" s="57">
        <f t="shared" si="8"/>
        <v>42826000</v>
      </c>
      <c r="X43" s="57">
        <f t="shared" si="8"/>
        <v>44942800</v>
      </c>
      <c r="Y43" s="57">
        <f t="shared" si="8"/>
        <v>46981200</v>
      </c>
      <c r="Z43" s="57">
        <f t="shared" si="8"/>
        <v>48529600</v>
      </c>
      <c r="AA43" s="57">
        <f t="shared" si="8"/>
        <v>50156400</v>
      </c>
      <c r="AB43" s="57">
        <f t="shared" si="8"/>
        <v>51293200</v>
      </c>
      <c r="AC43" s="57">
        <f t="shared" si="8"/>
        <v>52430000</v>
      </c>
      <c r="AD43" s="57">
        <f t="shared" si="8"/>
        <v>53410000</v>
      </c>
      <c r="AE43" s="57">
        <f t="shared" si="8"/>
        <v>54390000</v>
      </c>
      <c r="AF43" s="57">
        <f t="shared" si="8"/>
        <v>55370000</v>
      </c>
      <c r="AG43" s="57">
        <f t="shared" si="8"/>
        <v>56350000</v>
      </c>
      <c r="AH43" s="57">
        <f t="shared" si="8"/>
        <v>57330000</v>
      </c>
      <c r="AI43" s="57">
        <f t="shared" si="8"/>
        <v>57820000</v>
      </c>
      <c r="AJ43" s="57">
        <f t="shared" si="8"/>
        <v>58310000</v>
      </c>
      <c r="AK43" s="57">
        <f t="shared" si="8"/>
        <v>58800000</v>
      </c>
      <c r="AL43" s="57">
        <f t="shared" si="8"/>
        <v>58800000</v>
      </c>
      <c r="AM43" s="57">
        <f t="shared" si="8"/>
        <v>58800000</v>
      </c>
      <c r="AN43" s="57">
        <f t="shared" si="8"/>
        <v>58800000</v>
      </c>
    </row>
    <row r="44" spans="1:40" ht="13.5" customHeight="1" x14ac:dyDescent="0.3"/>
    <row r="45" spans="1:40" s="51" customFormat="1" ht="13.5" customHeight="1" x14ac:dyDescent="0.3">
      <c r="B45" s="60" t="s">
        <v>122</v>
      </c>
      <c r="C45" s="49"/>
      <c r="D45" s="59">
        <f t="shared" ref="D45:AN45" si="9">D43/$E$11</f>
        <v>3.3333333333333333E-2</v>
      </c>
      <c r="E45" s="59">
        <f t="shared" si="9"/>
        <v>5.1999999999999998E-2</v>
      </c>
      <c r="F45" s="59">
        <f t="shared" si="9"/>
        <v>6.5333333333333327E-2</v>
      </c>
      <c r="G45" s="59">
        <f t="shared" si="9"/>
        <v>7.7333333333333337E-2</v>
      </c>
      <c r="H45" s="59">
        <f t="shared" si="9"/>
        <v>9.3666666666666662E-2</v>
      </c>
      <c r="I45" s="59">
        <f t="shared" si="9"/>
        <v>0.11833333333333333</v>
      </c>
      <c r="J45" s="59">
        <f t="shared" si="9"/>
        <v>0.14166666666666666</v>
      </c>
      <c r="K45" s="59">
        <f t="shared" si="9"/>
        <v>0.17333333333333334</v>
      </c>
      <c r="L45" s="59">
        <f t="shared" si="9"/>
        <v>0.20499999999999999</v>
      </c>
      <c r="M45" s="59">
        <f t="shared" si="9"/>
        <v>0.23533333333333334</v>
      </c>
      <c r="N45" s="59">
        <f t="shared" si="9"/>
        <v>0.27400000000000002</v>
      </c>
      <c r="O45" s="59">
        <f t="shared" si="9"/>
        <v>0.31966666666666665</v>
      </c>
      <c r="P45" s="59">
        <f t="shared" si="9"/>
        <v>0.36533333333333334</v>
      </c>
      <c r="Q45" s="59">
        <f t="shared" si="9"/>
        <v>0.41933333333333334</v>
      </c>
      <c r="R45" s="59">
        <f t="shared" si="9"/>
        <v>0.48166666666666669</v>
      </c>
      <c r="S45" s="59">
        <f t="shared" si="9"/>
        <v>0.54266666666666663</v>
      </c>
      <c r="T45" s="59">
        <f t="shared" si="9"/>
        <v>0.59533333333333338</v>
      </c>
      <c r="U45" s="59">
        <f t="shared" si="9"/>
        <v>0.63966666666666672</v>
      </c>
      <c r="V45" s="59">
        <f t="shared" si="9"/>
        <v>0.68400000000000005</v>
      </c>
      <c r="W45" s="59">
        <f t="shared" si="9"/>
        <v>0.72833333333333339</v>
      </c>
      <c r="X45" s="59">
        <f t="shared" si="9"/>
        <v>0.76433333333333331</v>
      </c>
      <c r="Y45" s="59">
        <f t="shared" si="9"/>
        <v>0.79900000000000004</v>
      </c>
      <c r="Z45" s="59">
        <f t="shared" si="9"/>
        <v>0.82533333333333336</v>
      </c>
      <c r="AA45" s="59">
        <f t="shared" si="9"/>
        <v>0.85299999999999998</v>
      </c>
      <c r="AB45" s="59">
        <f t="shared" si="9"/>
        <v>0.87233333333333329</v>
      </c>
      <c r="AC45" s="59">
        <f t="shared" si="9"/>
        <v>0.89166666666666672</v>
      </c>
      <c r="AD45" s="59">
        <f t="shared" si="9"/>
        <v>0.90833333333333333</v>
      </c>
      <c r="AE45" s="59">
        <f t="shared" si="9"/>
        <v>0.92500000000000004</v>
      </c>
      <c r="AF45" s="59">
        <f t="shared" si="9"/>
        <v>0.94166666666666665</v>
      </c>
      <c r="AG45" s="59">
        <f t="shared" si="9"/>
        <v>0.95833333333333337</v>
      </c>
      <c r="AH45" s="59">
        <f t="shared" si="9"/>
        <v>0.97499999999999998</v>
      </c>
      <c r="AI45" s="59">
        <f t="shared" si="9"/>
        <v>0.98333333333333328</v>
      </c>
      <c r="AJ45" s="59">
        <f t="shared" si="9"/>
        <v>0.9916666666666667</v>
      </c>
      <c r="AK45" s="59">
        <f t="shared" si="9"/>
        <v>1</v>
      </c>
      <c r="AL45" s="59">
        <f t="shared" si="9"/>
        <v>1</v>
      </c>
      <c r="AM45" s="59">
        <f t="shared" si="9"/>
        <v>1</v>
      </c>
      <c r="AN45" s="59">
        <f t="shared" si="9"/>
        <v>1</v>
      </c>
    </row>
    <row r="46" spans="1:40" s="51" customFormat="1" ht="13.5" customHeight="1" x14ac:dyDescent="0.3">
      <c r="B46" s="52" t="s">
        <v>123</v>
      </c>
      <c r="C46" s="53"/>
      <c r="D46" s="52">
        <f>D45</f>
        <v>3.3333333333333333E-2</v>
      </c>
      <c r="E46" s="52">
        <f t="shared" ref="E46:AN46" si="10">E45-D45</f>
        <v>1.8666666666666665E-2</v>
      </c>
      <c r="F46" s="52">
        <f t="shared" si="10"/>
        <v>1.3333333333333329E-2</v>
      </c>
      <c r="G46" s="52">
        <f t="shared" si="10"/>
        <v>1.2000000000000011E-2</v>
      </c>
      <c r="H46" s="52">
        <f t="shared" si="10"/>
        <v>1.6333333333333325E-2</v>
      </c>
      <c r="I46" s="52">
        <f t="shared" si="10"/>
        <v>2.466666666666667E-2</v>
      </c>
      <c r="J46" s="52">
        <f t="shared" si="10"/>
        <v>2.3333333333333331E-2</v>
      </c>
      <c r="K46" s="52">
        <f t="shared" si="10"/>
        <v>3.1666666666666676E-2</v>
      </c>
      <c r="L46" s="52">
        <f t="shared" si="10"/>
        <v>3.1666666666666649E-2</v>
      </c>
      <c r="M46" s="52">
        <f t="shared" si="10"/>
        <v>3.0333333333333351E-2</v>
      </c>
      <c r="N46" s="52">
        <f t="shared" si="10"/>
        <v>3.8666666666666683E-2</v>
      </c>
      <c r="O46" s="52">
        <f t="shared" si="10"/>
        <v>4.5666666666666633E-2</v>
      </c>
      <c r="P46" s="52">
        <f t="shared" si="10"/>
        <v>4.5666666666666689E-2</v>
      </c>
      <c r="Q46" s="52">
        <f t="shared" si="10"/>
        <v>5.3999999999999992E-2</v>
      </c>
      <c r="R46" s="52">
        <f t="shared" si="10"/>
        <v>6.2333333333333352E-2</v>
      </c>
      <c r="S46" s="52">
        <f t="shared" si="10"/>
        <v>6.0999999999999943E-2</v>
      </c>
      <c r="T46" s="52">
        <f t="shared" si="10"/>
        <v>5.266666666666675E-2</v>
      </c>
      <c r="U46" s="52">
        <f t="shared" si="10"/>
        <v>4.4333333333333336E-2</v>
      </c>
      <c r="V46" s="52">
        <f t="shared" si="10"/>
        <v>4.4333333333333336E-2</v>
      </c>
      <c r="W46" s="52">
        <f t="shared" si="10"/>
        <v>4.4333333333333336E-2</v>
      </c>
      <c r="X46" s="52">
        <f t="shared" si="10"/>
        <v>3.5999999999999921E-2</v>
      </c>
      <c r="Y46" s="52">
        <f t="shared" si="10"/>
        <v>3.4666666666666734E-2</v>
      </c>
      <c r="Z46" s="52">
        <f t="shared" si="10"/>
        <v>2.633333333333332E-2</v>
      </c>
      <c r="AA46" s="52">
        <f t="shared" si="10"/>
        <v>2.7666666666666617E-2</v>
      </c>
      <c r="AB46" s="52">
        <f t="shared" si="10"/>
        <v>1.9333333333333313E-2</v>
      </c>
      <c r="AC46" s="52">
        <f t="shared" si="10"/>
        <v>1.9333333333333425E-2</v>
      </c>
      <c r="AD46" s="52">
        <f t="shared" si="10"/>
        <v>1.6666666666666607E-2</v>
      </c>
      <c r="AE46" s="52">
        <f t="shared" si="10"/>
        <v>1.6666666666666718E-2</v>
      </c>
      <c r="AF46" s="52">
        <f t="shared" si="10"/>
        <v>1.6666666666666607E-2</v>
      </c>
      <c r="AG46" s="52">
        <f t="shared" si="10"/>
        <v>1.6666666666666718E-2</v>
      </c>
      <c r="AH46" s="52">
        <f t="shared" si="10"/>
        <v>1.6666666666666607E-2</v>
      </c>
      <c r="AI46" s="52">
        <f t="shared" si="10"/>
        <v>8.3333333333333037E-3</v>
      </c>
      <c r="AJ46" s="52">
        <f t="shared" si="10"/>
        <v>8.3333333333334147E-3</v>
      </c>
      <c r="AK46" s="52">
        <f t="shared" si="10"/>
        <v>8.3333333333333037E-3</v>
      </c>
      <c r="AL46" s="52">
        <f t="shared" si="10"/>
        <v>0</v>
      </c>
      <c r="AM46" s="52">
        <f t="shared" si="10"/>
        <v>0</v>
      </c>
      <c r="AN46" s="52">
        <f t="shared" si="10"/>
        <v>0</v>
      </c>
    </row>
    <row r="47" spans="1:40" s="57" customFormat="1" ht="13.5" customHeight="1" x14ac:dyDescent="0.3">
      <c r="B47" s="57" t="s">
        <v>124</v>
      </c>
      <c r="D47" s="57">
        <f>D45*$C$8*D33</f>
        <v>0</v>
      </c>
      <c r="E47" s="57">
        <f t="shared" ref="E47:AN47" si="11">E45*$C$11*E33</f>
        <v>684902.40000000002</v>
      </c>
      <c r="F47" s="57">
        <f t="shared" si="11"/>
        <v>1475174.3999999999</v>
      </c>
      <c r="G47" s="57">
        <f t="shared" si="11"/>
        <v>2400921.6000000001</v>
      </c>
      <c r="H47" s="57">
        <f t="shared" si="11"/>
        <v>3436742.4</v>
      </c>
      <c r="I47" s="57">
        <f t="shared" si="11"/>
        <v>5009760</v>
      </c>
      <c r="J47" s="57">
        <f t="shared" si="11"/>
        <v>6664000</v>
      </c>
      <c r="K47" s="57">
        <f t="shared" si="11"/>
        <v>8968960</v>
      </c>
      <c r="L47" s="57">
        <f t="shared" si="11"/>
        <v>11571840.000000002</v>
      </c>
      <c r="M47" s="57">
        <f t="shared" si="11"/>
        <v>14169702.400000002</v>
      </c>
      <c r="N47" s="57">
        <f t="shared" si="11"/>
        <v>17528985.600000005</v>
      </c>
      <c r="O47" s="57">
        <f t="shared" si="11"/>
        <v>21352710.400000006</v>
      </c>
      <c r="P47" s="57">
        <f t="shared" si="11"/>
        <v>25434214.400000006</v>
      </c>
      <c r="Q47" s="57">
        <f t="shared" si="11"/>
        <v>30377177.600000009</v>
      </c>
      <c r="R47" s="57">
        <f t="shared" si="11"/>
        <v>36252160.000000015</v>
      </c>
      <c r="S47" s="57">
        <f t="shared" si="11"/>
        <v>41864345.600000016</v>
      </c>
      <c r="T47" s="57">
        <f t="shared" si="11"/>
        <v>47047526.400000021</v>
      </c>
      <c r="U47" s="57">
        <f t="shared" si="11"/>
        <v>51754662.400000028</v>
      </c>
      <c r="V47" s="57">
        <f t="shared" si="11"/>
        <v>56628633.600000031</v>
      </c>
      <c r="W47" s="57">
        <f t="shared" si="11"/>
        <v>61669440.000000022</v>
      </c>
      <c r="X47" s="57">
        <f t="shared" si="11"/>
        <v>66155801.600000024</v>
      </c>
      <c r="Y47" s="57">
        <f t="shared" si="11"/>
        <v>69908025.600000024</v>
      </c>
      <c r="Z47" s="57">
        <f t="shared" si="11"/>
        <v>72988518.400000036</v>
      </c>
      <c r="AA47" s="57">
        <f t="shared" si="11"/>
        <v>77040230.400000036</v>
      </c>
      <c r="AB47" s="57">
        <f t="shared" si="11"/>
        <v>80427737.600000039</v>
      </c>
      <c r="AC47" s="57">
        <f t="shared" si="11"/>
        <v>83888000.00000003</v>
      </c>
      <c r="AD47" s="57">
        <f t="shared" si="11"/>
        <v>85456000.000000045</v>
      </c>
      <c r="AE47" s="57">
        <f t="shared" si="11"/>
        <v>87024000.000000045</v>
      </c>
      <c r="AF47" s="57">
        <f t="shared" si="11"/>
        <v>88592000.000000045</v>
      </c>
      <c r="AG47" s="57">
        <f t="shared" si="11"/>
        <v>90160000.000000045</v>
      </c>
      <c r="AH47" s="57">
        <f t="shared" si="11"/>
        <v>91728000.000000045</v>
      </c>
      <c r="AI47" s="57">
        <f t="shared" si="11"/>
        <v>92512000.000000045</v>
      </c>
      <c r="AJ47" s="57">
        <f t="shared" si="11"/>
        <v>93296000.000000045</v>
      </c>
      <c r="AK47" s="57">
        <f t="shared" si="11"/>
        <v>94080000.000000045</v>
      </c>
      <c r="AL47" s="57">
        <f t="shared" si="11"/>
        <v>94080000.000000045</v>
      </c>
      <c r="AM47" s="57">
        <f t="shared" si="11"/>
        <v>94080000.000000045</v>
      </c>
      <c r="AN47" s="57">
        <f t="shared" si="11"/>
        <v>94080000.000000045</v>
      </c>
    </row>
    <row r="48" spans="1:40" s="57" customFormat="1" ht="13.5" customHeight="1" x14ac:dyDescent="0.3">
      <c r="B48" s="57" t="s">
        <v>125</v>
      </c>
      <c r="D48" s="57">
        <f>D47</f>
        <v>0</v>
      </c>
      <c r="E48" s="57">
        <f t="shared" ref="E48:AN48" si="12">E47-D47</f>
        <v>684902.40000000002</v>
      </c>
      <c r="F48" s="57">
        <f t="shared" si="12"/>
        <v>790271.99999999988</v>
      </c>
      <c r="G48" s="57">
        <f t="shared" si="12"/>
        <v>925747.20000000019</v>
      </c>
      <c r="H48" s="57">
        <f t="shared" si="12"/>
        <v>1035820.7999999998</v>
      </c>
      <c r="I48" s="57">
        <f t="shared" si="12"/>
        <v>1573017.6000000001</v>
      </c>
      <c r="J48" s="57">
        <f t="shared" si="12"/>
        <v>1654240</v>
      </c>
      <c r="K48" s="57">
        <f t="shared" si="12"/>
        <v>2304960</v>
      </c>
      <c r="L48" s="57">
        <f t="shared" si="12"/>
        <v>2602880.0000000019</v>
      </c>
      <c r="M48" s="57">
        <f t="shared" si="12"/>
        <v>2597862.4000000004</v>
      </c>
      <c r="N48" s="57">
        <f t="shared" si="12"/>
        <v>3359283.200000003</v>
      </c>
      <c r="O48" s="57">
        <f t="shared" si="12"/>
        <v>3823724.8000000007</v>
      </c>
      <c r="P48" s="57">
        <f t="shared" si="12"/>
        <v>4081504</v>
      </c>
      <c r="Q48" s="57">
        <f t="shared" si="12"/>
        <v>4942963.200000003</v>
      </c>
      <c r="R48" s="57">
        <f t="shared" si="12"/>
        <v>5874982.400000006</v>
      </c>
      <c r="S48" s="57">
        <f t="shared" si="12"/>
        <v>5612185.6000000015</v>
      </c>
      <c r="T48" s="57">
        <f t="shared" si="12"/>
        <v>5183180.8000000045</v>
      </c>
      <c r="U48" s="57">
        <f t="shared" si="12"/>
        <v>4707136.0000000075</v>
      </c>
      <c r="V48" s="57">
        <f t="shared" si="12"/>
        <v>4873971.200000003</v>
      </c>
      <c r="W48" s="57">
        <f t="shared" si="12"/>
        <v>5040806.3999999911</v>
      </c>
      <c r="X48" s="57">
        <f t="shared" si="12"/>
        <v>4486361.6000000015</v>
      </c>
      <c r="Y48" s="57">
        <f t="shared" si="12"/>
        <v>3752224</v>
      </c>
      <c r="Z48" s="57">
        <f t="shared" si="12"/>
        <v>3080492.8000000119</v>
      </c>
      <c r="AA48" s="57">
        <f t="shared" si="12"/>
        <v>4051712</v>
      </c>
      <c r="AB48" s="57">
        <f t="shared" si="12"/>
        <v>3387507.200000003</v>
      </c>
      <c r="AC48" s="57">
        <f t="shared" si="12"/>
        <v>3460262.3999999911</v>
      </c>
      <c r="AD48" s="57">
        <f t="shared" si="12"/>
        <v>1568000.0000000149</v>
      </c>
      <c r="AE48" s="57">
        <f t="shared" si="12"/>
        <v>1568000</v>
      </c>
      <c r="AF48" s="57">
        <f t="shared" si="12"/>
        <v>1568000</v>
      </c>
      <c r="AG48" s="57">
        <f t="shared" si="12"/>
        <v>1568000</v>
      </c>
      <c r="AH48" s="57">
        <f t="shared" si="12"/>
        <v>1568000</v>
      </c>
      <c r="AI48" s="57">
        <f t="shared" si="12"/>
        <v>784000</v>
      </c>
      <c r="AJ48" s="57">
        <f t="shared" si="12"/>
        <v>784000</v>
      </c>
      <c r="AK48" s="57">
        <f t="shared" si="12"/>
        <v>784000</v>
      </c>
      <c r="AL48" s="57">
        <f t="shared" si="12"/>
        <v>0</v>
      </c>
      <c r="AM48" s="57">
        <f t="shared" si="12"/>
        <v>0</v>
      </c>
      <c r="AN48" s="57">
        <f t="shared" si="12"/>
        <v>0</v>
      </c>
    </row>
    <row r="49" spans="1:40" ht="13.5" customHeight="1" x14ac:dyDescent="0.3">
      <c r="B49" s="28"/>
      <c r="C49" s="61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</row>
    <row r="50" spans="1:40" s="63" customFormat="1" ht="13.5" customHeight="1" x14ac:dyDescent="0.3">
      <c r="A50" s="25" t="s">
        <v>110</v>
      </c>
      <c r="B50" s="62" t="s">
        <v>126</v>
      </c>
      <c r="C50" s="62"/>
    </row>
    <row r="52" spans="1:40" s="57" customFormat="1" ht="13.5" customHeight="1" x14ac:dyDescent="0.3">
      <c r="B52" s="57" t="s">
        <v>127</v>
      </c>
      <c r="D52" s="57">
        <f t="shared" ref="D52:AN52" si="13">D48</f>
        <v>0</v>
      </c>
      <c r="E52" s="57">
        <f t="shared" si="13"/>
        <v>684902.40000000002</v>
      </c>
      <c r="F52" s="57">
        <f t="shared" si="13"/>
        <v>790271.99999999988</v>
      </c>
      <c r="G52" s="57">
        <f t="shared" si="13"/>
        <v>925747.20000000019</v>
      </c>
      <c r="H52" s="57">
        <f t="shared" si="13"/>
        <v>1035820.7999999998</v>
      </c>
      <c r="I52" s="57">
        <f t="shared" si="13"/>
        <v>1573017.6000000001</v>
      </c>
      <c r="J52" s="57">
        <f t="shared" si="13"/>
        <v>1654240</v>
      </c>
      <c r="K52" s="57">
        <f t="shared" si="13"/>
        <v>2304960</v>
      </c>
      <c r="L52" s="57">
        <f t="shared" si="13"/>
        <v>2602880.0000000019</v>
      </c>
      <c r="M52" s="57">
        <f t="shared" si="13"/>
        <v>2597862.4000000004</v>
      </c>
      <c r="N52" s="57">
        <f t="shared" si="13"/>
        <v>3359283.200000003</v>
      </c>
      <c r="O52" s="57">
        <f t="shared" si="13"/>
        <v>3823724.8000000007</v>
      </c>
      <c r="P52" s="57">
        <f t="shared" si="13"/>
        <v>4081504</v>
      </c>
      <c r="Q52" s="57">
        <f t="shared" si="13"/>
        <v>4942963.200000003</v>
      </c>
      <c r="R52" s="57">
        <f t="shared" si="13"/>
        <v>5874982.400000006</v>
      </c>
      <c r="S52" s="57">
        <f t="shared" si="13"/>
        <v>5612185.6000000015</v>
      </c>
      <c r="T52" s="57">
        <f t="shared" si="13"/>
        <v>5183180.8000000045</v>
      </c>
      <c r="U52" s="57">
        <f t="shared" si="13"/>
        <v>4707136.0000000075</v>
      </c>
      <c r="V52" s="57">
        <f t="shared" si="13"/>
        <v>4873971.200000003</v>
      </c>
      <c r="W52" s="57">
        <f t="shared" si="13"/>
        <v>5040806.3999999911</v>
      </c>
      <c r="X52" s="57">
        <f t="shared" si="13"/>
        <v>4486361.6000000015</v>
      </c>
      <c r="Y52" s="57">
        <f t="shared" si="13"/>
        <v>3752224</v>
      </c>
      <c r="Z52" s="57">
        <f t="shared" si="13"/>
        <v>3080492.8000000119</v>
      </c>
      <c r="AA52" s="57">
        <f t="shared" si="13"/>
        <v>4051712</v>
      </c>
      <c r="AB52" s="57">
        <f t="shared" si="13"/>
        <v>3387507.200000003</v>
      </c>
      <c r="AC52" s="57">
        <f t="shared" si="13"/>
        <v>3460262.3999999911</v>
      </c>
      <c r="AD52" s="57">
        <f t="shared" si="13"/>
        <v>1568000.0000000149</v>
      </c>
      <c r="AE52" s="57">
        <f t="shared" si="13"/>
        <v>1568000</v>
      </c>
      <c r="AF52" s="57">
        <f t="shared" si="13"/>
        <v>1568000</v>
      </c>
      <c r="AG52" s="57">
        <f t="shared" si="13"/>
        <v>1568000</v>
      </c>
      <c r="AH52" s="57">
        <f t="shared" si="13"/>
        <v>1568000</v>
      </c>
      <c r="AI52" s="57">
        <f t="shared" si="13"/>
        <v>784000</v>
      </c>
      <c r="AJ52" s="57">
        <f t="shared" si="13"/>
        <v>784000</v>
      </c>
      <c r="AK52" s="57">
        <f t="shared" si="13"/>
        <v>784000</v>
      </c>
      <c r="AL52" s="57">
        <f t="shared" si="13"/>
        <v>0</v>
      </c>
      <c r="AM52" s="57">
        <f t="shared" si="13"/>
        <v>0</v>
      </c>
      <c r="AN52" s="57">
        <f t="shared" si="13"/>
        <v>0</v>
      </c>
    </row>
    <row r="53" spans="1:40" s="57" customFormat="1" ht="13.5" customHeight="1" x14ac:dyDescent="0.3"/>
    <row r="54" spans="1:40" s="57" customFormat="1" ht="13.5" customHeight="1" x14ac:dyDescent="0.3"/>
    <row r="55" spans="1:40" s="57" customFormat="1" ht="13.5" customHeight="1" x14ac:dyDescent="0.3">
      <c r="B55" s="57" t="s">
        <v>128</v>
      </c>
      <c r="D55" s="57">
        <f t="shared" ref="D55:AN55" si="14">D46*$C$13*$C$8</f>
        <v>1960000</v>
      </c>
      <c r="E55" s="57">
        <f t="shared" si="14"/>
        <v>1097599.9999999998</v>
      </c>
      <c r="F55" s="57">
        <f t="shared" si="14"/>
        <v>783999.99999999965</v>
      </c>
      <c r="G55" s="57">
        <f t="shared" si="14"/>
        <v>705600.00000000058</v>
      </c>
      <c r="H55" s="57">
        <f t="shared" si="14"/>
        <v>960399.99999999942</v>
      </c>
      <c r="I55" s="57">
        <f t="shared" si="14"/>
        <v>1450400</v>
      </c>
      <c r="J55" s="57">
        <f t="shared" si="14"/>
        <v>1371999.9999999998</v>
      </c>
      <c r="K55" s="57">
        <f t="shared" si="14"/>
        <v>1862000.0000000007</v>
      </c>
      <c r="L55" s="57">
        <f t="shared" si="14"/>
        <v>1861999.9999999988</v>
      </c>
      <c r="M55" s="57">
        <f t="shared" si="14"/>
        <v>1783600.0000000012</v>
      </c>
      <c r="N55" s="57">
        <f t="shared" si="14"/>
        <v>2273600.0000000009</v>
      </c>
      <c r="O55" s="57">
        <f t="shared" si="14"/>
        <v>2685199.9999999981</v>
      </c>
      <c r="P55" s="57">
        <f t="shared" si="14"/>
        <v>2685200.0000000009</v>
      </c>
      <c r="Q55" s="57">
        <f t="shared" si="14"/>
        <v>3175199.9999999991</v>
      </c>
      <c r="R55" s="57">
        <f t="shared" si="14"/>
        <v>3665200.0000000009</v>
      </c>
      <c r="S55" s="57">
        <f t="shared" si="14"/>
        <v>3586799.9999999967</v>
      </c>
      <c r="T55" s="57">
        <f t="shared" si="14"/>
        <v>3096800.0000000051</v>
      </c>
      <c r="U55" s="57">
        <f t="shared" si="14"/>
        <v>2606800</v>
      </c>
      <c r="V55" s="57">
        <f t="shared" si="14"/>
        <v>2606800</v>
      </c>
      <c r="W55" s="57">
        <f t="shared" si="14"/>
        <v>2606800</v>
      </c>
      <c r="X55" s="57">
        <f t="shared" si="14"/>
        <v>2116799.9999999953</v>
      </c>
      <c r="Y55" s="57">
        <f t="shared" si="14"/>
        <v>2038400.000000004</v>
      </c>
      <c r="Z55" s="57">
        <f t="shared" si="14"/>
        <v>1548399.9999999991</v>
      </c>
      <c r="AA55" s="57">
        <f t="shared" si="14"/>
        <v>1626799.999999997</v>
      </c>
      <c r="AB55" s="57">
        <f t="shared" si="14"/>
        <v>1136799.9999999988</v>
      </c>
      <c r="AC55" s="57">
        <f t="shared" si="14"/>
        <v>1136800.0000000054</v>
      </c>
      <c r="AD55" s="57">
        <f t="shared" si="14"/>
        <v>979999.99999999651</v>
      </c>
      <c r="AE55" s="57">
        <f t="shared" si="14"/>
        <v>980000.00000000303</v>
      </c>
      <c r="AF55" s="57">
        <f t="shared" si="14"/>
        <v>979999.99999999651</v>
      </c>
      <c r="AG55" s="57">
        <f t="shared" si="14"/>
        <v>980000.00000000303</v>
      </c>
      <c r="AH55" s="57">
        <f t="shared" si="14"/>
        <v>979999.99999999651</v>
      </c>
      <c r="AI55" s="57">
        <f t="shared" si="14"/>
        <v>489999.99999999825</v>
      </c>
      <c r="AJ55" s="57">
        <f t="shared" si="14"/>
        <v>490000.00000000477</v>
      </c>
      <c r="AK55" s="57">
        <f t="shared" si="14"/>
        <v>489999.99999999825</v>
      </c>
      <c r="AL55" s="57">
        <f t="shared" si="14"/>
        <v>0</v>
      </c>
      <c r="AM55" s="57">
        <f t="shared" si="14"/>
        <v>0</v>
      </c>
      <c r="AN55" s="57">
        <f t="shared" si="14"/>
        <v>0</v>
      </c>
    </row>
    <row r="56" spans="1:40" ht="13.5" customHeight="1" x14ac:dyDescent="0.3">
      <c r="B56" s="25" t="s">
        <v>129</v>
      </c>
      <c r="C56" s="64"/>
    </row>
    <row r="57" spans="1:40" s="51" customFormat="1" ht="13.5" customHeight="1" x14ac:dyDescent="0.3">
      <c r="B57" s="51" t="s">
        <v>130</v>
      </c>
      <c r="C57" s="65"/>
    </row>
    <row r="59" spans="1:40" s="57" customFormat="1" ht="13.5" customHeight="1" x14ac:dyDescent="0.3">
      <c r="B59" s="57" t="s">
        <v>131</v>
      </c>
      <c r="D59" s="57">
        <f t="shared" ref="D59:AN59" si="15">D52-D55</f>
        <v>-1960000</v>
      </c>
      <c r="E59" s="57">
        <f t="shared" si="15"/>
        <v>-412697.59999999974</v>
      </c>
      <c r="F59" s="57">
        <f t="shared" si="15"/>
        <v>6272.0000000002328</v>
      </c>
      <c r="G59" s="57">
        <f t="shared" si="15"/>
        <v>220147.1999999996</v>
      </c>
      <c r="H59" s="57">
        <f t="shared" si="15"/>
        <v>75420.800000000396</v>
      </c>
      <c r="I59" s="57">
        <f t="shared" si="15"/>
        <v>122617.60000000009</v>
      </c>
      <c r="J59" s="57">
        <f t="shared" si="15"/>
        <v>282240.00000000023</v>
      </c>
      <c r="K59" s="57">
        <f t="shared" si="15"/>
        <v>442959.9999999993</v>
      </c>
      <c r="L59" s="57">
        <f t="shared" si="15"/>
        <v>740880.00000000303</v>
      </c>
      <c r="M59" s="57">
        <f t="shared" si="15"/>
        <v>814262.39999999921</v>
      </c>
      <c r="N59" s="57">
        <f t="shared" si="15"/>
        <v>1085683.200000002</v>
      </c>
      <c r="O59" s="57">
        <f t="shared" si="15"/>
        <v>1138524.8000000026</v>
      </c>
      <c r="P59" s="57">
        <f t="shared" si="15"/>
        <v>1396303.9999999991</v>
      </c>
      <c r="Q59" s="57">
        <f t="shared" si="15"/>
        <v>1767763.2000000039</v>
      </c>
      <c r="R59" s="57">
        <f t="shared" si="15"/>
        <v>2209782.400000005</v>
      </c>
      <c r="S59" s="57">
        <f t="shared" si="15"/>
        <v>2025385.6000000047</v>
      </c>
      <c r="T59" s="57">
        <f t="shared" si="15"/>
        <v>2086380.7999999993</v>
      </c>
      <c r="U59" s="57">
        <f t="shared" si="15"/>
        <v>2100336.0000000075</v>
      </c>
      <c r="V59" s="57">
        <f t="shared" si="15"/>
        <v>2267171.200000003</v>
      </c>
      <c r="W59" s="57">
        <f t="shared" si="15"/>
        <v>2434006.3999999911</v>
      </c>
      <c r="X59" s="57">
        <f t="shared" si="15"/>
        <v>2369561.6000000061</v>
      </c>
      <c r="Y59" s="57">
        <f t="shared" si="15"/>
        <v>1713823.999999996</v>
      </c>
      <c r="Z59" s="57">
        <f t="shared" si="15"/>
        <v>1532092.8000000129</v>
      </c>
      <c r="AA59" s="57">
        <f t="shared" si="15"/>
        <v>2424912.0000000028</v>
      </c>
      <c r="AB59" s="57">
        <f t="shared" si="15"/>
        <v>2250707.2000000039</v>
      </c>
      <c r="AC59" s="57">
        <f t="shared" si="15"/>
        <v>2323462.3999999855</v>
      </c>
      <c r="AD59" s="57">
        <f t="shared" si="15"/>
        <v>588000.00000001839</v>
      </c>
      <c r="AE59" s="57">
        <f t="shared" si="15"/>
        <v>587999.99999999697</v>
      </c>
      <c r="AF59" s="57">
        <f t="shared" si="15"/>
        <v>588000.00000000349</v>
      </c>
      <c r="AG59" s="57">
        <f t="shared" si="15"/>
        <v>587999.99999999697</v>
      </c>
      <c r="AH59" s="57">
        <f t="shared" si="15"/>
        <v>588000.00000000349</v>
      </c>
      <c r="AI59" s="57">
        <f t="shared" si="15"/>
        <v>294000.00000000175</v>
      </c>
      <c r="AJ59" s="57">
        <f t="shared" si="15"/>
        <v>293999.99999999523</v>
      </c>
      <c r="AK59" s="57">
        <f t="shared" si="15"/>
        <v>294000.00000000175</v>
      </c>
      <c r="AL59" s="57">
        <f t="shared" si="15"/>
        <v>0</v>
      </c>
      <c r="AM59" s="57">
        <f t="shared" si="15"/>
        <v>0</v>
      </c>
      <c r="AN59" s="57">
        <f t="shared" si="15"/>
        <v>0</v>
      </c>
    </row>
    <row r="60" spans="1:40" s="51" customFormat="1" ht="13.5" customHeight="1" x14ac:dyDescent="0.3">
      <c r="B60" s="51" t="s">
        <v>132</v>
      </c>
      <c r="C60" s="65"/>
      <c r="E60" s="51">
        <f t="shared" ref="E60:AK60" si="16">E59/E52</f>
        <v>-0.6025641025641022</v>
      </c>
      <c r="F60" s="51">
        <f t="shared" si="16"/>
        <v>7.9365079365082327E-3</v>
      </c>
      <c r="G60" s="51">
        <f t="shared" si="16"/>
        <v>0.23780487804878001</v>
      </c>
      <c r="H60" s="51">
        <f t="shared" si="16"/>
        <v>7.2812594610960124E-2</v>
      </c>
      <c r="I60" s="51">
        <f t="shared" si="16"/>
        <v>7.7950558213716159E-2</v>
      </c>
      <c r="J60" s="51">
        <f t="shared" si="16"/>
        <v>0.17061611374407598</v>
      </c>
      <c r="K60" s="51">
        <f t="shared" si="16"/>
        <v>0.19217687074829901</v>
      </c>
      <c r="L60" s="51">
        <f t="shared" si="16"/>
        <v>0.28463855421686846</v>
      </c>
      <c r="M60" s="51">
        <f t="shared" si="16"/>
        <v>0.31343553838725219</v>
      </c>
      <c r="N60" s="51">
        <f t="shared" si="16"/>
        <v>0.32318894697535505</v>
      </c>
      <c r="O60" s="51">
        <f t="shared" si="16"/>
        <v>0.29775280898876466</v>
      </c>
      <c r="P60" s="51">
        <f t="shared" si="16"/>
        <v>0.34210526315789452</v>
      </c>
      <c r="Q60" s="51">
        <f t="shared" si="16"/>
        <v>0.35763228016749199</v>
      </c>
      <c r="R60" s="51">
        <f t="shared" si="16"/>
        <v>0.37613430127041791</v>
      </c>
      <c r="S60" s="51">
        <f t="shared" si="16"/>
        <v>0.36089070183281258</v>
      </c>
      <c r="T60" s="51">
        <f t="shared" si="16"/>
        <v>0.40252904162633057</v>
      </c>
      <c r="U60" s="51">
        <f t="shared" si="16"/>
        <v>0.4462025316455705</v>
      </c>
      <c r="V60" s="51">
        <f t="shared" si="16"/>
        <v>0.4651589242053793</v>
      </c>
      <c r="W60" s="51">
        <f t="shared" si="16"/>
        <v>0.48286052009456171</v>
      </c>
      <c r="X60" s="51">
        <f t="shared" si="16"/>
        <v>0.52816999860198632</v>
      </c>
      <c r="Y60" s="51">
        <f t="shared" si="16"/>
        <v>0.45674885081487565</v>
      </c>
      <c r="Z60" s="51">
        <f t="shared" si="16"/>
        <v>0.49735315076860653</v>
      </c>
      <c r="AA60" s="51">
        <f t="shared" si="16"/>
        <v>0.59849071207430404</v>
      </c>
      <c r="AB60" s="51">
        <f t="shared" si="16"/>
        <v>0.66441399740788798</v>
      </c>
      <c r="AC60" s="51">
        <f t="shared" si="16"/>
        <v>0.67147000181257688</v>
      </c>
      <c r="AD60" s="51">
        <f t="shared" si="16"/>
        <v>0.37500000000000816</v>
      </c>
      <c r="AE60" s="51">
        <f t="shared" si="16"/>
        <v>0.37499999999999806</v>
      </c>
      <c r="AF60" s="51">
        <f t="shared" si="16"/>
        <v>0.37500000000000222</v>
      </c>
      <c r="AG60" s="51">
        <f t="shared" si="16"/>
        <v>0.37499999999999806</v>
      </c>
      <c r="AH60" s="51">
        <f t="shared" si="16"/>
        <v>0.37500000000000222</v>
      </c>
      <c r="AI60" s="51">
        <f t="shared" si="16"/>
        <v>0.37500000000000222</v>
      </c>
      <c r="AJ60" s="51">
        <f t="shared" si="16"/>
        <v>0.37499999999999389</v>
      </c>
      <c r="AK60" s="51">
        <f t="shared" si="16"/>
        <v>0.37500000000000222</v>
      </c>
    </row>
    <row r="61" spans="1:40" ht="13.5" customHeight="1" x14ac:dyDescent="0.3">
      <c r="C61" s="64"/>
    </row>
    <row r="62" spans="1:40" s="57" customFormat="1" ht="13.5" customHeight="1" x14ac:dyDescent="0.3">
      <c r="B62" s="57" t="s">
        <v>133</v>
      </c>
      <c r="D62" s="57">
        <f t="shared" ref="D62:AK62" si="17">$C$21*$C$8/34</f>
        <v>86470.588235294112</v>
      </c>
      <c r="E62" s="57">
        <f t="shared" si="17"/>
        <v>86470.588235294112</v>
      </c>
      <c r="F62" s="57">
        <f t="shared" si="17"/>
        <v>86470.588235294112</v>
      </c>
      <c r="G62" s="57">
        <f t="shared" si="17"/>
        <v>86470.588235294112</v>
      </c>
      <c r="H62" s="57">
        <f t="shared" si="17"/>
        <v>86470.588235294112</v>
      </c>
      <c r="I62" s="57">
        <f t="shared" si="17"/>
        <v>86470.588235294112</v>
      </c>
      <c r="J62" s="57">
        <f t="shared" si="17"/>
        <v>86470.588235294112</v>
      </c>
      <c r="K62" s="57">
        <f t="shared" si="17"/>
        <v>86470.588235294112</v>
      </c>
      <c r="L62" s="57">
        <f t="shared" si="17"/>
        <v>86470.588235294112</v>
      </c>
      <c r="M62" s="57">
        <f t="shared" si="17"/>
        <v>86470.588235294112</v>
      </c>
      <c r="N62" s="57">
        <f t="shared" si="17"/>
        <v>86470.588235294112</v>
      </c>
      <c r="O62" s="57">
        <f t="shared" si="17"/>
        <v>86470.588235294112</v>
      </c>
      <c r="P62" s="57">
        <f t="shared" si="17"/>
        <v>86470.588235294112</v>
      </c>
      <c r="Q62" s="57">
        <f t="shared" si="17"/>
        <v>86470.588235294112</v>
      </c>
      <c r="R62" s="57">
        <f t="shared" si="17"/>
        <v>86470.588235294112</v>
      </c>
      <c r="S62" s="57">
        <f t="shared" si="17"/>
        <v>86470.588235294112</v>
      </c>
      <c r="T62" s="57">
        <f t="shared" si="17"/>
        <v>86470.588235294112</v>
      </c>
      <c r="U62" s="57">
        <f t="shared" si="17"/>
        <v>86470.588235294112</v>
      </c>
      <c r="V62" s="57">
        <f t="shared" si="17"/>
        <v>86470.588235294112</v>
      </c>
      <c r="W62" s="57">
        <f t="shared" si="17"/>
        <v>86470.588235294112</v>
      </c>
      <c r="X62" s="57">
        <f t="shared" si="17"/>
        <v>86470.588235294112</v>
      </c>
      <c r="Y62" s="57">
        <f t="shared" si="17"/>
        <v>86470.588235294112</v>
      </c>
      <c r="Z62" s="57">
        <f t="shared" si="17"/>
        <v>86470.588235294112</v>
      </c>
      <c r="AA62" s="57">
        <f t="shared" si="17"/>
        <v>86470.588235294112</v>
      </c>
      <c r="AB62" s="57">
        <f t="shared" si="17"/>
        <v>86470.588235294112</v>
      </c>
      <c r="AC62" s="57">
        <f t="shared" si="17"/>
        <v>86470.588235294112</v>
      </c>
      <c r="AD62" s="57">
        <f t="shared" si="17"/>
        <v>86470.588235294112</v>
      </c>
      <c r="AE62" s="57">
        <f t="shared" si="17"/>
        <v>86470.588235294112</v>
      </c>
      <c r="AF62" s="57">
        <f t="shared" si="17"/>
        <v>86470.588235294112</v>
      </c>
      <c r="AG62" s="57">
        <f t="shared" si="17"/>
        <v>86470.588235294112</v>
      </c>
      <c r="AH62" s="57">
        <f t="shared" si="17"/>
        <v>86470.588235294112</v>
      </c>
      <c r="AI62" s="57">
        <f t="shared" si="17"/>
        <v>86470.588235294112</v>
      </c>
      <c r="AJ62" s="57">
        <f t="shared" si="17"/>
        <v>86470.588235294112</v>
      </c>
      <c r="AK62" s="57">
        <f t="shared" si="17"/>
        <v>86470.588235294112</v>
      </c>
    </row>
    <row r="63" spans="1:40" s="57" customFormat="1" ht="13.5" customHeight="1" x14ac:dyDescent="0.3"/>
    <row r="64" spans="1:40" s="51" customFormat="1" ht="13.5" customHeight="1" x14ac:dyDescent="0.3">
      <c r="B64" s="51" t="s">
        <v>130</v>
      </c>
      <c r="C64" s="65"/>
    </row>
    <row r="65" spans="1:40" ht="13.5" customHeight="1" x14ac:dyDescent="0.3">
      <c r="C65" s="64"/>
    </row>
    <row r="66" spans="1:40" s="113" customFormat="1" ht="13.5" customHeight="1" x14ac:dyDescent="0.3">
      <c r="A66" s="25"/>
      <c r="C66" s="114"/>
    </row>
    <row r="67" spans="1:40" s="51" customFormat="1" ht="13.5" customHeight="1" x14ac:dyDescent="0.3">
      <c r="C67" s="65"/>
    </row>
    <row r="69" spans="1:40" s="57" customFormat="1" ht="13.5" customHeight="1" x14ac:dyDescent="0.3">
      <c r="A69" s="57" t="s">
        <v>110</v>
      </c>
      <c r="B69" s="57" t="s">
        <v>137</v>
      </c>
      <c r="D69" s="57">
        <f t="shared" ref="D69:AN69" si="18">D59-D62-D66</f>
        <v>-2046470.5882352942</v>
      </c>
      <c r="E69" s="57">
        <f t="shared" si="18"/>
        <v>-499168.18823529384</v>
      </c>
      <c r="F69" s="57">
        <f t="shared" si="18"/>
        <v>-80198.588235293879</v>
      </c>
      <c r="G69" s="57">
        <f t="shared" si="18"/>
        <v>133676.61176470551</v>
      </c>
      <c r="H69" s="57">
        <f t="shared" si="18"/>
        <v>-11049.788235293716</v>
      </c>
      <c r="I69" s="57">
        <f t="shared" si="18"/>
        <v>36147.011764705981</v>
      </c>
      <c r="J69" s="57">
        <f t="shared" si="18"/>
        <v>195769.41176470614</v>
      </c>
      <c r="K69" s="57">
        <f t="shared" si="18"/>
        <v>356489.4117647052</v>
      </c>
      <c r="L69" s="57">
        <f t="shared" si="18"/>
        <v>654409.41176470893</v>
      </c>
      <c r="M69" s="57">
        <f t="shared" si="18"/>
        <v>727791.81176470511</v>
      </c>
      <c r="N69" s="57">
        <f t="shared" si="18"/>
        <v>999212.61176470795</v>
      </c>
      <c r="O69" s="57">
        <f t="shared" si="18"/>
        <v>1052054.2117647084</v>
      </c>
      <c r="P69" s="57">
        <f t="shared" si="18"/>
        <v>1309833.4117647049</v>
      </c>
      <c r="Q69" s="57">
        <f t="shared" si="18"/>
        <v>1681292.6117647097</v>
      </c>
      <c r="R69" s="57">
        <f t="shared" si="18"/>
        <v>2123311.811764711</v>
      </c>
      <c r="S69" s="57">
        <f t="shared" si="18"/>
        <v>1938915.0117647105</v>
      </c>
      <c r="T69" s="57">
        <f t="shared" si="18"/>
        <v>1999910.2117647051</v>
      </c>
      <c r="U69" s="57">
        <f t="shared" si="18"/>
        <v>2013865.4117647132</v>
      </c>
      <c r="V69" s="57">
        <f t="shared" si="18"/>
        <v>2180700.611764709</v>
      </c>
      <c r="W69" s="57">
        <f t="shared" si="18"/>
        <v>2347535.8117646971</v>
      </c>
      <c r="X69" s="57">
        <f t="shared" si="18"/>
        <v>2283091.0117647122</v>
      </c>
      <c r="Y69" s="57">
        <f t="shared" si="18"/>
        <v>1627353.4117647018</v>
      </c>
      <c r="Z69" s="57">
        <f t="shared" si="18"/>
        <v>1445622.2117647186</v>
      </c>
      <c r="AA69" s="57">
        <f t="shared" si="18"/>
        <v>2338441.4117647088</v>
      </c>
      <c r="AB69" s="57">
        <f t="shared" si="18"/>
        <v>2164236.6117647099</v>
      </c>
      <c r="AC69" s="57">
        <f t="shared" si="18"/>
        <v>2236991.8117646915</v>
      </c>
      <c r="AD69" s="57">
        <f t="shared" si="18"/>
        <v>501529.4117647243</v>
      </c>
      <c r="AE69" s="57">
        <f t="shared" si="18"/>
        <v>501529.41176470288</v>
      </c>
      <c r="AF69" s="57">
        <f t="shared" si="18"/>
        <v>501529.4117647094</v>
      </c>
      <c r="AG69" s="57">
        <f t="shared" si="18"/>
        <v>501529.41176470288</v>
      </c>
      <c r="AH69" s="57">
        <f t="shared" si="18"/>
        <v>501529.4117647094</v>
      </c>
      <c r="AI69" s="57">
        <f t="shared" si="18"/>
        <v>207529.41176470765</v>
      </c>
      <c r="AJ69" s="57">
        <f t="shared" si="18"/>
        <v>207529.41176470113</v>
      </c>
      <c r="AK69" s="57">
        <f t="shared" si="18"/>
        <v>207529.41176470765</v>
      </c>
      <c r="AL69" s="57">
        <f t="shared" si="18"/>
        <v>0</v>
      </c>
      <c r="AM69" s="57">
        <f t="shared" si="18"/>
        <v>0</v>
      </c>
      <c r="AN69" s="57">
        <f t="shared" si="18"/>
        <v>0</v>
      </c>
    </row>
    <row r="70" spans="1:40" s="51" customFormat="1" ht="13.5" customHeight="1" x14ac:dyDescent="0.3">
      <c r="C70" s="65"/>
    </row>
    <row r="71" spans="1:40" ht="13.5" customHeight="1" x14ac:dyDescent="0.3"/>
    <row r="72" spans="1:40" s="57" customFormat="1" ht="13.5" customHeight="1" x14ac:dyDescent="0.3">
      <c r="B72" s="57" t="s">
        <v>138</v>
      </c>
      <c r="D72" s="57">
        <f t="shared" ref="D72:AN72" si="19">$C$23*D52</f>
        <v>0</v>
      </c>
      <c r="E72" s="57">
        <f t="shared" si="19"/>
        <v>27396.096000000001</v>
      </c>
      <c r="F72" s="57">
        <f t="shared" si="19"/>
        <v>31610.879999999997</v>
      </c>
      <c r="G72" s="57">
        <f t="shared" si="19"/>
        <v>37029.888000000006</v>
      </c>
      <c r="H72" s="57">
        <f t="shared" si="19"/>
        <v>41432.831999999995</v>
      </c>
      <c r="I72" s="57">
        <f t="shared" si="19"/>
        <v>62920.704000000005</v>
      </c>
      <c r="J72" s="57">
        <f t="shared" si="19"/>
        <v>66169.600000000006</v>
      </c>
      <c r="K72" s="57">
        <f t="shared" si="19"/>
        <v>92198.400000000009</v>
      </c>
      <c r="L72" s="57">
        <f t="shared" si="19"/>
        <v>104115.20000000007</v>
      </c>
      <c r="M72" s="57">
        <f t="shared" si="19"/>
        <v>103914.49600000001</v>
      </c>
      <c r="N72" s="57">
        <f t="shared" si="19"/>
        <v>134371.32800000013</v>
      </c>
      <c r="O72" s="57">
        <f t="shared" si="19"/>
        <v>152948.99200000003</v>
      </c>
      <c r="P72" s="57">
        <f t="shared" si="19"/>
        <v>163260.16</v>
      </c>
      <c r="Q72" s="57">
        <f t="shared" si="19"/>
        <v>197718.52800000014</v>
      </c>
      <c r="R72" s="57">
        <f t="shared" si="19"/>
        <v>234999.29600000023</v>
      </c>
      <c r="S72" s="57">
        <f t="shared" si="19"/>
        <v>224487.42400000006</v>
      </c>
      <c r="T72" s="57">
        <f t="shared" si="19"/>
        <v>207327.23200000019</v>
      </c>
      <c r="U72" s="57">
        <f t="shared" si="19"/>
        <v>188285.44000000029</v>
      </c>
      <c r="V72" s="57">
        <f t="shared" si="19"/>
        <v>194958.84800000011</v>
      </c>
      <c r="W72" s="57">
        <f t="shared" si="19"/>
        <v>201632.25599999964</v>
      </c>
      <c r="X72" s="57">
        <f t="shared" si="19"/>
        <v>179454.46400000007</v>
      </c>
      <c r="Y72" s="57">
        <f t="shared" si="19"/>
        <v>150088.95999999999</v>
      </c>
      <c r="Z72" s="57">
        <f t="shared" si="19"/>
        <v>123219.71200000048</v>
      </c>
      <c r="AA72" s="57">
        <f t="shared" si="19"/>
        <v>162068.48000000001</v>
      </c>
      <c r="AB72" s="57">
        <f t="shared" si="19"/>
        <v>135500.28800000012</v>
      </c>
      <c r="AC72" s="57">
        <f t="shared" si="19"/>
        <v>138410.49599999964</v>
      </c>
      <c r="AD72" s="57">
        <f t="shared" si="19"/>
        <v>62720.000000000597</v>
      </c>
      <c r="AE72" s="57">
        <f t="shared" si="19"/>
        <v>62720</v>
      </c>
      <c r="AF72" s="57">
        <f t="shared" si="19"/>
        <v>62720</v>
      </c>
      <c r="AG72" s="57">
        <f t="shared" si="19"/>
        <v>62720</v>
      </c>
      <c r="AH72" s="57">
        <f t="shared" si="19"/>
        <v>62720</v>
      </c>
      <c r="AI72" s="57">
        <f t="shared" si="19"/>
        <v>31360</v>
      </c>
      <c r="AJ72" s="57">
        <f t="shared" si="19"/>
        <v>31360</v>
      </c>
      <c r="AK72" s="57">
        <f t="shared" si="19"/>
        <v>31360</v>
      </c>
      <c r="AL72" s="57">
        <f t="shared" si="19"/>
        <v>0</v>
      </c>
      <c r="AM72" s="57">
        <f t="shared" si="19"/>
        <v>0</v>
      </c>
      <c r="AN72" s="57">
        <f t="shared" si="19"/>
        <v>0</v>
      </c>
    </row>
    <row r="73" spans="1:40" ht="13.5" customHeight="1" x14ac:dyDescent="0.3">
      <c r="C73" s="64"/>
    </row>
    <row r="74" spans="1:40" s="22" customFormat="1" ht="13.5" customHeight="1" x14ac:dyDescent="0.3">
      <c r="B74" s="68" t="s">
        <v>139</v>
      </c>
      <c r="C74" s="68"/>
      <c r="D74" s="46">
        <v>0</v>
      </c>
      <c r="E74" s="46">
        <v>1</v>
      </c>
      <c r="F74" s="46">
        <v>2</v>
      </c>
      <c r="G74" s="46">
        <v>3</v>
      </c>
      <c r="H74" s="46">
        <v>4</v>
      </c>
      <c r="I74" s="46">
        <v>5</v>
      </c>
      <c r="J74" s="46">
        <v>6</v>
      </c>
      <c r="K74" s="46">
        <v>7</v>
      </c>
      <c r="L74" s="46">
        <v>8</v>
      </c>
      <c r="M74" s="46">
        <v>9</v>
      </c>
      <c r="N74" s="46">
        <v>10</v>
      </c>
      <c r="O74" s="46">
        <v>11</v>
      </c>
      <c r="P74" s="46">
        <v>12</v>
      </c>
      <c r="Q74" s="46">
        <v>13</v>
      </c>
      <c r="R74" s="46">
        <v>14</v>
      </c>
      <c r="S74" s="46">
        <v>15</v>
      </c>
      <c r="T74" s="46">
        <v>16</v>
      </c>
      <c r="U74" s="46">
        <v>17</v>
      </c>
      <c r="V74" s="46">
        <v>18</v>
      </c>
      <c r="W74" s="46">
        <v>19</v>
      </c>
      <c r="X74" s="46">
        <v>20</v>
      </c>
      <c r="Y74" s="46">
        <v>21</v>
      </c>
      <c r="Z74" s="46">
        <v>22</v>
      </c>
      <c r="AA74" s="46">
        <v>23</v>
      </c>
      <c r="AB74" s="46">
        <v>24</v>
      </c>
      <c r="AC74" s="46">
        <v>25</v>
      </c>
      <c r="AD74" s="46">
        <v>26</v>
      </c>
      <c r="AE74" s="46">
        <v>27</v>
      </c>
      <c r="AF74" s="46">
        <v>28</v>
      </c>
      <c r="AG74" s="46">
        <f t="shared" ref="AG74:AN74" si="20">AF74+1</f>
        <v>29</v>
      </c>
      <c r="AH74" s="46">
        <f t="shared" si="20"/>
        <v>30</v>
      </c>
      <c r="AI74" s="46">
        <f t="shared" si="20"/>
        <v>31</v>
      </c>
      <c r="AJ74" s="46">
        <f t="shared" si="20"/>
        <v>32</v>
      </c>
      <c r="AK74" s="46">
        <f t="shared" si="20"/>
        <v>33</v>
      </c>
      <c r="AL74" s="46">
        <f t="shared" si="20"/>
        <v>34</v>
      </c>
      <c r="AM74" s="46">
        <f t="shared" si="20"/>
        <v>35</v>
      </c>
      <c r="AN74" s="46">
        <f t="shared" si="20"/>
        <v>36</v>
      </c>
    </row>
    <row r="75" spans="1:40" ht="13.5" customHeight="1" x14ac:dyDescent="0.3">
      <c r="B75" s="69" t="s">
        <v>140</v>
      </c>
      <c r="C75" s="69"/>
      <c r="D75" s="57">
        <f t="shared" ref="D75:AN75" si="21">D48</f>
        <v>0</v>
      </c>
      <c r="E75" s="57">
        <f t="shared" si="21"/>
        <v>684902.40000000002</v>
      </c>
      <c r="F75" s="57">
        <f t="shared" si="21"/>
        <v>790271.99999999988</v>
      </c>
      <c r="G75" s="57">
        <f t="shared" si="21"/>
        <v>925747.20000000019</v>
      </c>
      <c r="H75" s="57">
        <f t="shared" si="21"/>
        <v>1035820.7999999998</v>
      </c>
      <c r="I75" s="57">
        <f t="shared" si="21"/>
        <v>1573017.6000000001</v>
      </c>
      <c r="J75" s="57">
        <f t="shared" si="21"/>
        <v>1654240</v>
      </c>
      <c r="K75" s="57">
        <f t="shared" si="21"/>
        <v>2304960</v>
      </c>
      <c r="L75" s="57">
        <f t="shared" si="21"/>
        <v>2602880.0000000019</v>
      </c>
      <c r="M75" s="57">
        <f t="shared" si="21"/>
        <v>2597862.4000000004</v>
      </c>
      <c r="N75" s="57">
        <f t="shared" si="21"/>
        <v>3359283.200000003</v>
      </c>
      <c r="O75" s="57">
        <f t="shared" si="21"/>
        <v>3823724.8000000007</v>
      </c>
      <c r="P75" s="57">
        <f t="shared" si="21"/>
        <v>4081504</v>
      </c>
      <c r="Q75" s="57">
        <f t="shared" si="21"/>
        <v>4942963.200000003</v>
      </c>
      <c r="R75" s="57">
        <f t="shared" si="21"/>
        <v>5874982.400000006</v>
      </c>
      <c r="S75" s="57">
        <f t="shared" si="21"/>
        <v>5612185.6000000015</v>
      </c>
      <c r="T75" s="57">
        <f t="shared" si="21"/>
        <v>5183180.8000000045</v>
      </c>
      <c r="U75" s="57">
        <f t="shared" si="21"/>
        <v>4707136.0000000075</v>
      </c>
      <c r="V75" s="57">
        <f t="shared" si="21"/>
        <v>4873971.200000003</v>
      </c>
      <c r="W75" s="57">
        <f t="shared" si="21"/>
        <v>5040806.3999999911</v>
      </c>
      <c r="X75" s="57">
        <f t="shared" si="21"/>
        <v>4486361.6000000015</v>
      </c>
      <c r="Y75" s="57">
        <f t="shared" si="21"/>
        <v>3752224</v>
      </c>
      <c r="Z75" s="57">
        <f t="shared" si="21"/>
        <v>3080492.8000000119</v>
      </c>
      <c r="AA75" s="57">
        <f t="shared" si="21"/>
        <v>4051712</v>
      </c>
      <c r="AB75" s="57">
        <f t="shared" si="21"/>
        <v>3387507.200000003</v>
      </c>
      <c r="AC75" s="57">
        <f t="shared" si="21"/>
        <v>3460262.3999999911</v>
      </c>
      <c r="AD75" s="57">
        <f t="shared" si="21"/>
        <v>1568000.0000000149</v>
      </c>
      <c r="AE75" s="57">
        <f t="shared" si="21"/>
        <v>1568000</v>
      </c>
      <c r="AF75" s="57">
        <f t="shared" si="21"/>
        <v>1568000</v>
      </c>
      <c r="AG75" s="57">
        <f t="shared" si="21"/>
        <v>1568000</v>
      </c>
      <c r="AH75" s="57">
        <f t="shared" si="21"/>
        <v>1568000</v>
      </c>
      <c r="AI75" s="57">
        <f t="shared" si="21"/>
        <v>784000</v>
      </c>
      <c r="AJ75" s="57">
        <f t="shared" si="21"/>
        <v>784000</v>
      </c>
      <c r="AK75" s="57">
        <f t="shared" si="21"/>
        <v>784000</v>
      </c>
      <c r="AL75" s="57">
        <f t="shared" si="21"/>
        <v>0</v>
      </c>
      <c r="AM75" s="57">
        <f t="shared" si="21"/>
        <v>0</v>
      </c>
      <c r="AN75" s="57">
        <f t="shared" si="21"/>
        <v>0</v>
      </c>
    </row>
    <row r="76" spans="1:40" s="57" customFormat="1" ht="14.25" customHeight="1" x14ac:dyDescent="0.3">
      <c r="B76" s="57" t="s">
        <v>133</v>
      </c>
      <c r="D76" s="57">
        <f t="shared" ref="D76:AK76" si="22">-$C$21*$C$8/34</f>
        <v>-86470.588235294112</v>
      </c>
      <c r="E76" s="57">
        <f t="shared" si="22"/>
        <v>-86470.588235294112</v>
      </c>
      <c r="F76" s="57">
        <f t="shared" si="22"/>
        <v>-86470.588235294112</v>
      </c>
      <c r="G76" s="57">
        <f t="shared" si="22"/>
        <v>-86470.588235294112</v>
      </c>
      <c r="H76" s="57">
        <f t="shared" si="22"/>
        <v>-86470.588235294112</v>
      </c>
      <c r="I76" s="57">
        <f t="shared" si="22"/>
        <v>-86470.588235294112</v>
      </c>
      <c r="J76" s="57">
        <f t="shared" si="22"/>
        <v>-86470.588235294112</v>
      </c>
      <c r="K76" s="57">
        <f t="shared" si="22"/>
        <v>-86470.588235294112</v>
      </c>
      <c r="L76" s="57">
        <f t="shared" si="22"/>
        <v>-86470.588235294112</v>
      </c>
      <c r="M76" s="57">
        <f t="shared" si="22"/>
        <v>-86470.588235294112</v>
      </c>
      <c r="N76" s="57">
        <f t="shared" si="22"/>
        <v>-86470.588235294112</v>
      </c>
      <c r="O76" s="57">
        <f t="shared" si="22"/>
        <v>-86470.588235294112</v>
      </c>
      <c r="P76" s="57">
        <f t="shared" si="22"/>
        <v>-86470.588235294112</v>
      </c>
      <c r="Q76" s="57">
        <f t="shared" si="22"/>
        <v>-86470.588235294112</v>
      </c>
      <c r="R76" s="57">
        <f t="shared" si="22"/>
        <v>-86470.588235294112</v>
      </c>
      <c r="S76" s="57">
        <f t="shared" si="22"/>
        <v>-86470.588235294112</v>
      </c>
      <c r="T76" s="57">
        <f t="shared" si="22"/>
        <v>-86470.588235294112</v>
      </c>
      <c r="U76" s="57">
        <f t="shared" si="22"/>
        <v>-86470.588235294112</v>
      </c>
      <c r="V76" s="57">
        <f t="shared" si="22"/>
        <v>-86470.588235294112</v>
      </c>
      <c r="W76" s="57">
        <f t="shared" si="22"/>
        <v>-86470.588235294112</v>
      </c>
      <c r="X76" s="57">
        <f t="shared" si="22"/>
        <v>-86470.588235294112</v>
      </c>
      <c r="Y76" s="57">
        <f t="shared" si="22"/>
        <v>-86470.588235294112</v>
      </c>
      <c r="Z76" s="57">
        <f t="shared" si="22"/>
        <v>-86470.588235294112</v>
      </c>
      <c r="AA76" s="57">
        <f t="shared" si="22"/>
        <v>-86470.588235294112</v>
      </c>
      <c r="AB76" s="57">
        <f t="shared" si="22"/>
        <v>-86470.588235294112</v>
      </c>
      <c r="AC76" s="57">
        <f t="shared" si="22"/>
        <v>-86470.588235294112</v>
      </c>
      <c r="AD76" s="57">
        <f t="shared" si="22"/>
        <v>-86470.588235294112</v>
      </c>
      <c r="AE76" s="57">
        <f t="shared" si="22"/>
        <v>-86470.588235294112</v>
      </c>
      <c r="AF76" s="57">
        <f t="shared" si="22"/>
        <v>-86470.588235294112</v>
      </c>
      <c r="AG76" s="57">
        <f t="shared" si="22"/>
        <v>-86470.588235294112</v>
      </c>
      <c r="AH76" s="57">
        <f t="shared" si="22"/>
        <v>-86470.588235294112</v>
      </c>
      <c r="AI76" s="57">
        <f t="shared" si="22"/>
        <v>-86470.588235294112</v>
      </c>
      <c r="AJ76" s="57">
        <f t="shared" si="22"/>
        <v>-86470.588235294112</v>
      </c>
      <c r="AK76" s="57">
        <f t="shared" si="22"/>
        <v>-86470.588235294112</v>
      </c>
      <c r="AL76" s="57">
        <v>0</v>
      </c>
      <c r="AM76" s="57">
        <v>0</v>
      </c>
      <c r="AN76" s="57">
        <v>0</v>
      </c>
    </row>
    <row r="77" spans="1:40" ht="13.5" customHeight="1" x14ac:dyDescent="0.3">
      <c r="B77" s="69" t="s">
        <v>141</v>
      </c>
      <c r="C77" s="69"/>
      <c r="D77" s="57">
        <f>-$C$14*$C$8</f>
        <v>-1960000</v>
      </c>
      <c r="E77" s="57">
        <v>0</v>
      </c>
      <c r="F77" s="57">
        <v>0</v>
      </c>
      <c r="G77" s="57">
        <v>0</v>
      </c>
      <c r="H77" s="57">
        <v>0</v>
      </c>
      <c r="I77" s="57">
        <v>0</v>
      </c>
      <c r="J77" s="57">
        <v>0</v>
      </c>
      <c r="K77" s="57">
        <v>0</v>
      </c>
      <c r="L77" s="57">
        <v>0</v>
      </c>
      <c r="M77" s="57">
        <v>0</v>
      </c>
      <c r="N77" s="57">
        <v>0</v>
      </c>
      <c r="O77" s="57">
        <v>0</v>
      </c>
      <c r="P77" s="57">
        <v>0</v>
      </c>
      <c r="Q77" s="57">
        <v>0</v>
      </c>
      <c r="R77" s="57">
        <v>0</v>
      </c>
      <c r="S77" s="57">
        <v>0</v>
      </c>
      <c r="T77" s="57">
        <v>0</v>
      </c>
      <c r="U77" s="57">
        <v>0</v>
      </c>
      <c r="V77" s="57">
        <v>0</v>
      </c>
      <c r="W77" s="57">
        <v>0</v>
      </c>
      <c r="X77" s="57">
        <v>0</v>
      </c>
      <c r="Y77" s="57">
        <v>0</v>
      </c>
      <c r="Z77" s="57">
        <v>0</v>
      </c>
      <c r="AA77" s="57">
        <v>0</v>
      </c>
      <c r="AB77" s="57">
        <v>0</v>
      </c>
      <c r="AC77" s="57">
        <v>0</v>
      </c>
      <c r="AD77" s="57">
        <v>0</v>
      </c>
      <c r="AE77" s="57">
        <v>0</v>
      </c>
      <c r="AF77" s="57">
        <v>0</v>
      </c>
      <c r="AG77" s="57">
        <v>0</v>
      </c>
      <c r="AH77" s="57">
        <v>0</v>
      </c>
      <c r="AI77" s="57">
        <v>0</v>
      </c>
      <c r="AJ77" s="57">
        <v>0</v>
      </c>
      <c r="AK77" s="57">
        <v>0</v>
      </c>
      <c r="AL77" s="57">
        <v>0</v>
      </c>
      <c r="AM77" s="57">
        <v>0</v>
      </c>
      <c r="AN77" s="57">
        <v>0</v>
      </c>
    </row>
    <row r="78" spans="1:40" ht="13.5" customHeight="1" x14ac:dyDescent="0.3">
      <c r="B78" s="69" t="s">
        <v>142</v>
      </c>
      <c r="C78" s="69"/>
      <c r="D78" s="57">
        <f t="shared" ref="D78:AN78" si="23">-D40*$C$8</f>
        <v>0</v>
      </c>
      <c r="E78" s="57">
        <f t="shared" si="23"/>
        <v>0</v>
      </c>
      <c r="F78" s="57">
        <f t="shared" si="23"/>
        <v>0</v>
      </c>
      <c r="G78" s="57">
        <f t="shared" si="23"/>
        <v>0</v>
      </c>
      <c r="H78" s="57">
        <f t="shared" si="23"/>
        <v>0</v>
      </c>
      <c r="I78" s="57">
        <f t="shared" si="23"/>
        <v>0</v>
      </c>
      <c r="J78" s="57">
        <f t="shared" si="23"/>
        <v>0</v>
      </c>
      <c r="K78" s="57">
        <f t="shared" si="23"/>
        <v>0</v>
      </c>
      <c r="L78" s="57">
        <f t="shared" si="23"/>
        <v>0</v>
      </c>
      <c r="M78" s="57">
        <f t="shared" si="23"/>
        <v>0</v>
      </c>
      <c r="N78" s="57">
        <f t="shared" si="23"/>
        <v>0</v>
      </c>
      <c r="O78" s="57">
        <f t="shared" si="23"/>
        <v>0</v>
      </c>
      <c r="P78" s="28">
        <f t="shared" si="23"/>
        <v>0</v>
      </c>
      <c r="Q78" s="25">
        <f t="shared" si="23"/>
        <v>0</v>
      </c>
      <c r="R78" s="25">
        <f t="shared" si="23"/>
        <v>0</v>
      </c>
      <c r="S78" s="25">
        <f t="shared" si="23"/>
        <v>0</v>
      </c>
      <c r="T78" s="25">
        <f t="shared" si="23"/>
        <v>0</v>
      </c>
      <c r="U78" s="25">
        <f t="shared" si="23"/>
        <v>0</v>
      </c>
      <c r="V78" s="25">
        <f t="shared" si="23"/>
        <v>0</v>
      </c>
      <c r="W78" s="25">
        <f t="shared" si="23"/>
        <v>0</v>
      </c>
      <c r="X78" s="25">
        <f t="shared" si="23"/>
        <v>0</v>
      </c>
      <c r="Y78" s="25">
        <f t="shared" si="23"/>
        <v>0</v>
      </c>
      <c r="Z78" s="25">
        <f t="shared" si="23"/>
        <v>0</v>
      </c>
      <c r="AA78" s="25">
        <f t="shared" si="23"/>
        <v>0</v>
      </c>
      <c r="AB78" s="25">
        <f t="shared" si="23"/>
        <v>0</v>
      </c>
      <c r="AC78" s="25">
        <f t="shared" si="23"/>
        <v>0</v>
      </c>
      <c r="AD78" s="25">
        <f t="shared" si="23"/>
        <v>0</v>
      </c>
      <c r="AE78" s="25">
        <f t="shared" si="23"/>
        <v>0</v>
      </c>
      <c r="AF78" s="25">
        <f t="shared" si="23"/>
        <v>0</v>
      </c>
      <c r="AG78" s="25">
        <f t="shared" si="23"/>
        <v>0</v>
      </c>
      <c r="AH78" s="25">
        <f t="shared" si="23"/>
        <v>0</v>
      </c>
      <c r="AI78" s="25">
        <f t="shared" si="23"/>
        <v>0</v>
      </c>
      <c r="AJ78" s="25">
        <f t="shared" si="23"/>
        <v>0</v>
      </c>
      <c r="AK78" s="25">
        <f t="shared" si="23"/>
        <v>0</v>
      </c>
      <c r="AL78" s="25">
        <f t="shared" si="23"/>
        <v>0</v>
      </c>
      <c r="AM78" s="25">
        <f t="shared" si="23"/>
        <v>0</v>
      </c>
      <c r="AN78" s="25">
        <f t="shared" si="23"/>
        <v>0</v>
      </c>
    </row>
    <row r="79" spans="1:40" ht="13.5" customHeight="1" x14ac:dyDescent="0.3">
      <c r="B79" s="69" t="s">
        <v>143</v>
      </c>
      <c r="C79" s="69"/>
      <c r="D79" s="57">
        <f t="shared" ref="D79:AN79" si="24">-D38*$C$16*$C$8</f>
        <v>0</v>
      </c>
      <c r="E79" s="57">
        <f t="shared" si="24"/>
        <v>0</v>
      </c>
      <c r="F79" s="57">
        <f t="shared" si="24"/>
        <v>0</v>
      </c>
      <c r="G79" s="57">
        <f t="shared" si="24"/>
        <v>0</v>
      </c>
      <c r="H79" s="57">
        <f t="shared" si="24"/>
        <v>-490000</v>
      </c>
      <c r="I79" s="57">
        <f t="shared" si="24"/>
        <v>-980000</v>
      </c>
      <c r="J79" s="57">
        <f t="shared" si="24"/>
        <v>-980000</v>
      </c>
      <c r="K79" s="57">
        <f t="shared" si="24"/>
        <v>-1470000</v>
      </c>
      <c r="L79" s="57">
        <f t="shared" si="24"/>
        <v>-1470000</v>
      </c>
      <c r="M79" s="57">
        <f t="shared" si="24"/>
        <v>-1470000</v>
      </c>
      <c r="N79" s="57">
        <f t="shared" si="24"/>
        <v>-1960000</v>
      </c>
      <c r="O79" s="57">
        <f t="shared" si="24"/>
        <v>-2450000</v>
      </c>
      <c r="P79" s="57">
        <f t="shared" si="24"/>
        <v>-2450000</v>
      </c>
      <c r="Q79" s="57">
        <f t="shared" si="24"/>
        <v>-2940000</v>
      </c>
      <c r="R79" s="57">
        <f t="shared" si="24"/>
        <v>-3430000.0000000005</v>
      </c>
      <c r="S79" s="57">
        <f t="shared" si="24"/>
        <v>-3430000.0000000005</v>
      </c>
      <c r="T79" s="57">
        <f t="shared" si="24"/>
        <v>-2940000</v>
      </c>
      <c r="U79" s="57">
        <f t="shared" si="24"/>
        <v>-2450000</v>
      </c>
      <c r="V79" s="57">
        <f t="shared" si="24"/>
        <v>-2450000</v>
      </c>
      <c r="W79" s="57">
        <f t="shared" si="24"/>
        <v>-2450000</v>
      </c>
      <c r="X79" s="57">
        <f t="shared" si="24"/>
        <v>-1960000</v>
      </c>
      <c r="Y79" s="57">
        <f t="shared" si="24"/>
        <v>-1960000</v>
      </c>
      <c r="Z79" s="57">
        <f t="shared" si="24"/>
        <v>-1470000</v>
      </c>
      <c r="AA79" s="57">
        <f t="shared" si="24"/>
        <v>-1470000</v>
      </c>
      <c r="AB79" s="57">
        <f t="shared" si="24"/>
        <v>-980000</v>
      </c>
      <c r="AC79" s="57">
        <f t="shared" si="24"/>
        <v>-980000</v>
      </c>
      <c r="AD79" s="57">
        <f t="shared" si="24"/>
        <v>-980000</v>
      </c>
      <c r="AE79" s="57">
        <f t="shared" si="24"/>
        <v>-980000</v>
      </c>
      <c r="AF79" s="57">
        <f t="shared" si="24"/>
        <v>-980000</v>
      </c>
      <c r="AG79" s="57">
        <f t="shared" si="24"/>
        <v>-980000</v>
      </c>
      <c r="AH79" s="57">
        <f t="shared" si="24"/>
        <v>-980000</v>
      </c>
      <c r="AI79" s="57">
        <f t="shared" si="24"/>
        <v>-490000</v>
      </c>
      <c r="AJ79" s="57">
        <f t="shared" si="24"/>
        <v>-490000</v>
      </c>
      <c r="AK79" s="57">
        <f t="shared" si="24"/>
        <v>-490000</v>
      </c>
      <c r="AL79" s="57">
        <f t="shared" si="24"/>
        <v>0</v>
      </c>
      <c r="AM79" s="57">
        <f t="shared" si="24"/>
        <v>0</v>
      </c>
      <c r="AN79" s="57">
        <f t="shared" si="24"/>
        <v>0</v>
      </c>
    </row>
    <row r="80" spans="1:40" ht="13.5" customHeight="1" x14ac:dyDescent="0.3">
      <c r="B80" s="69" t="s">
        <v>144</v>
      </c>
      <c r="C80" s="69"/>
      <c r="D80" s="57">
        <f t="shared" ref="D80:AN80" si="25">-D38*$C$8*$C$17</f>
        <v>0</v>
      </c>
      <c r="E80" s="57">
        <f t="shared" si="25"/>
        <v>0</v>
      </c>
      <c r="F80" s="57">
        <f t="shared" si="25"/>
        <v>0</v>
      </c>
      <c r="G80" s="57">
        <f t="shared" si="25"/>
        <v>0</v>
      </c>
      <c r="H80" s="57">
        <f t="shared" si="25"/>
        <v>-78400</v>
      </c>
      <c r="I80" s="57">
        <f t="shared" si="25"/>
        <v>-156800</v>
      </c>
      <c r="J80" s="57">
        <f t="shared" si="25"/>
        <v>-156800</v>
      </c>
      <c r="K80" s="57">
        <f t="shared" si="25"/>
        <v>-235200</v>
      </c>
      <c r="L80" s="57">
        <f t="shared" si="25"/>
        <v>-235200</v>
      </c>
      <c r="M80" s="57">
        <f t="shared" si="25"/>
        <v>-235200</v>
      </c>
      <c r="N80" s="57">
        <f t="shared" si="25"/>
        <v>-313600</v>
      </c>
      <c r="O80" s="57">
        <f t="shared" si="25"/>
        <v>-392000</v>
      </c>
      <c r="P80" s="25">
        <f t="shared" si="25"/>
        <v>-392000</v>
      </c>
      <c r="Q80" s="25">
        <f t="shared" si="25"/>
        <v>-470400</v>
      </c>
      <c r="R80" s="25">
        <f t="shared" si="25"/>
        <v>-548800.00000000012</v>
      </c>
      <c r="S80" s="25">
        <f t="shared" si="25"/>
        <v>-548800.00000000012</v>
      </c>
      <c r="T80" s="25">
        <f t="shared" si="25"/>
        <v>-470400</v>
      </c>
      <c r="U80" s="25">
        <f t="shared" si="25"/>
        <v>-392000</v>
      </c>
      <c r="V80" s="25">
        <f t="shared" si="25"/>
        <v>-392000</v>
      </c>
      <c r="W80" s="25">
        <f t="shared" si="25"/>
        <v>-392000</v>
      </c>
      <c r="X80" s="25">
        <f t="shared" si="25"/>
        <v>-313600</v>
      </c>
      <c r="Y80" s="25">
        <f t="shared" si="25"/>
        <v>-313600</v>
      </c>
      <c r="Z80" s="25">
        <f t="shared" si="25"/>
        <v>-235200</v>
      </c>
      <c r="AA80" s="25">
        <f t="shared" si="25"/>
        <v>-235200</v>
      </c>
      <c r="AB80" s="25">
        <f t="shared" si="25"/>
        <v>-156800</v>
      </c>
      <c r="AC80" s="25">
        <f t="shared" si="25"/>
        <v>-156800</v>
      </c>
      <c r="AD80" s="25">
        <f t="shared" si="25"/>
        <v>-156800</v>
      </c>
      <c r="AE80" s="25">
        <f t="shared" si="25"/>
        <v>-156800</v>
      </c>
      <c r="AF80" s="25">
        <f t="shared" si="25"/>
        <v>-156800</v>
      </c>
      <c r="AG80" s="25">
        <f t="shared" si="25"/>
        <v>-156800</v>
      </c>
      <c r="AH80" s="25">
        <f t="shared" si="25"/>
        <v>-156800</v>
      </c>
      <c r="AI80" s="25">
        <f t="shared" si="25"/>
        <v>-78400</v>
      </c>
      <c r="AJ80" s="25">
        <f t="shared" si="25"/>
        <v>-78400</v>
      </c>
      <c r="AK80" s="25">
        <f t="shared" si="25"/>
        <v>-78400</v>
      </c>
      <c r="AL80" s="25">
        <f t="shared" si="25"/>
        <v>0</v>
      </c>
      <c r="AM80" s="25">
        <f t="shared" si="25"/>
        <v>0</v>
      </c>
      <c r="AN80" s="25">
        <f t="shared" si="25"/>
        <v>0</v>
      </c>
    </row>
    <row r="81" spans="2:40" ht="13.5" customHeight="1" x14ac:dyDescent="0.3">
      <c r="B81" s="69"/>
      <c r="C81" s="69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</row>
    <row r="82" spans="2:40" ht="13.5" customHeight="1" x14ac:dyDescent="0.3">
      <c r="B82" s="69" t="s">
        <v>146</v>
      </c>
      <c r="C82" s="69"/>
      <c r="D82" s="57">
        <f t="shared" ref="D82:AN82" si="26">-$C$23*D48</f>
        <v>0</v>
      </c>
      <c r="E82" s="57">
        <f t="shared" si="26"/>
        <v>-27396.096000000001</v>
      </c>
      <c r="F82" s="57">
        <f t="shared" si="26"/>
        <v>-31610.879999999997</v>
      </c>
      <c r="G82" s="57">
        <f t="shared" si="26"/>
        <v>-37029.888000000006</v>
      </c>
      <c r="H82" s="57">
        <f t="shared" si="26"/>
        <v>-41432.831999999995</v>
      </c>
      <c r="I82" s="57">
        <f t="shared" si="26"/>
        <v>-62920.704000000005</v>
      </c>
      <c r="J82" s="57">
        <f t="shared" si="26"/>
        <v>-66169.600000000006</v>
      </c>
      <c r="K82" s="57">
        <f t="shared" si="26"/>
        <v>-92198.400000000009</v>
      </c>
      <c r="L82" s="57">
        <f t="shared" si="26"/>
        <v>-104115.20000000007</v>
      </c>
      <c r="M82" s="57">
        <f t="shared" si="26"/>
        <v>-103914.49600000001</v>
      </c>
      <c r="N82" s="57">
        <f t="shared" si="26"/>
        <v>-134371.32800000013</v>
      </c>
      <c r="O82" s="57">
        <f t="shared" si="26"/>
        <v>-152948.99200000003</v>
      </c>
      <c r="P82" s="57">
        <f t="shared" si="26"/>
        <v>-163260.16</v>
      </c>
      <c r="Q82" s="57">
        <f t="shared" si="26"/>
        <v>-197718.52800000014</v>
      </c>
      <c r="R82" s="57">
        <f t="shared" si="26"/>
        <v>-234999.29600000023</v>
      </c>
      <c r="S82" s="57">
        <f t="shared" si="26"/>
        <v>-224487.42400000006</v>
      </c>
      <c r="T82" s="57">
        <f t="shared" si="26"/>
        <v>-207327.23200000019</v>
      </c>
      <c r="U82" s="57">
        <f t="shared" si="26"/>
        <v>-188285.44000000029</v>
      </c>
      <c r="V82" s="57">
        <f t="shared" si="26"/>
        <v>-194958.84800000011</v>
      </c>
      <c r="W82" s="57">
        <f t="shared" si="26"/>
        <v>-201632.25599999964</v>
      </c>
      <c r="X82" s="57">
        <f t="shared" si="26"/>
        <v>-179454.46400000007</v>
      </c>
      <c r="Y82" s="57">
        <f t="shared" si="26"/>
        <v>-150088.95999999999</v>
      </c>
      <c r="Z82" s="57">
        <f t="shared" si="26"/>
        <v>-123219.71200000048</v>
      </c>
      <c r="AA82" s="57">
        <f t="shared" si="26"/>
        <v>-162068.48000000001</v>
      </c>
      <c r="AB82" s="57">
        <f t="shared" si="26"/>
        <v>-135500.28800000012</v>
      </c>
      <c r="AC82" s="57">
        <f t="shared" si="26"/>
        <v>-138410.49599999964</v>
      </c>
      <c r="AD82" s="57">
        <f t="shared" si="26"/>
        <v>-62720.000000000597</v>
      </c>
      <c r="AE82" s="57">
        <f t="shared" si="26"/>
        <v>-62720</v>
      </c>
      <c r="AF82" s="57">
        <f t="shared" si="26"/>
        <v>-62720</v>
      </c>
      <c r="AG82" s="57">
        <f t="shared" si="26"/>
        <v>-62720</v>
      </c>
      <c r="AH82" s="57">
        <f t="shared" si="26"/>
        <v>-62720</v>
      </c>
      <c r="AI82" s="57">
        <f t="shared" si="26"/>
        <v>-31360</v>
      </c>
      <c r="AJ82" s="57">
        <f t="shared" si="26"/>
        <v>-31360</v>
      </c>
      <c r="AK82" s="57">
        <f t="shared" si="26"/>
        <v>-31360</v>
      </c>
      <c r="AL82" s="57">
        <f t="shared" si="26"/>
        <v>0</v>
      </c>
      <c r="AM82" s="57">
        <f t="shared" si="26"/>
        <v>0</v>
      </c>
      <c r="AN82" s="57">
        <f t="shared" si="26"/>
        <v>0</v>
      </c>
    </row>
    <row r="83" spans="2:40" s="57" customFormat="1" ht="14.25" customHeight="1" x14ac:dyDescent="0.3">
      <c r="B83" s="57" t="s">
        <v>145</v>
      </c>
      <c r="D83" s="57">
        <f t="shared" ref="D83:AN83" si="27">-D38*$C$8*$C$22</f>
        <v>0</v>
      </c>
      <c r="E83" s="57">
        <f t="shared" si="27"/>
        <v>0</v>
      </c>
      <c r="F83" s="57">
        <f t="shared" si="27"/>
        <v>0</v>
      </c>
      <c r="G83" s="57">
        <f t="shared" si="27"/>
        <v>0</v>
      </c>
      <c r="H83" s="57">
        <f t="shared" si="27"/>
        <v>-19600</v>
      </c>
      <c r="I83" s="57">
        <f t="shared" si="27"/>
        <v>-39200</v>
      </c>
      <c r="J83" s="57">
        <f t="shared" si="27"/>
        <v>-39200</v>
      </c>
      <c r="K83" s="57">
        <f t="shared" si="27"/>
        <v>-58800</v>
      </c>
      <c r="L83" s="57">
        <f t="shared" si="27"/>
        <v>-58800</v>
      </c>
      <c r="M83" s="57">
        <f t="shared" si="27"/>
        <v>-58800</v>
      </c>
      <c r="N83" s="57">
        <f t="shared" si="27"/>
        <v>-78400</v>
      </c>
      <c r="O83" s="57">
        <f t="shared" si="27"/>
        <v>-98000</v>
      </c>
      <c r="P83" s="57">
        <f t="shared" si="27"/>
        <v>-98000</v>
      </c>
      <c r="Q83" s="57">
        <f t="shared" si="27"/>
        <v>-117600</v>
      </c>
      <c r="R83" s="57">
        <f t="shared" si="27"/>
        <v>-137200.00000000003</v>
      </c>
      <c r="S83" s="57">
        <f t="shared" si="27"/>
        <v>-137200.00000000003</v>
      </c>
      <c r="T83" s="57">
        <f t="shared" si="27"/>
        <v>-117600</v>
      </c>
      <c r="U83" s="57">
        <f t="shared" si="27"/>
        <v>-98000</v>
      </c>
      <c r="V83" s="57">
        <f t="shared" si="27"/>
        <v>-98000</v>
      </c>
      <c r="W83" s="57">
        <f t="shared" si="27"/>
        <v>-98000</v>
      </c>
      <c r="X83" s="57">
        <f t="shared" si="27"/>
        <v>-78400</v>
      </c>
      <c r="Y83" s="57">
        <f t="shared" si="27"/>
        <v>-78400</v>
      </c>
      <c r="Z83" s="57">
        <f t="shared" si="27"/>
        <v>-58800</v>
      </c>
      <c r="AA83" s="57">
        <f t="shared" si="27"/>
        <v>-58800</v>
      </c>
      <c r="AB83" s="57">
        <f t="shared" si="27"/>
        <v>-39200</v>
      </c>
      <c r="AC83" s="57">
        <f t="shared" si="27"/>
        <v>-39200</v>
      </c>
      <c r="AD83" s="57">
        <f t="shared" si="27"/>
        <v>-39200</v>
      </c>
      <c r="AE83" s="57">
        <f t="shared" si="27"/>
        <v>-39200</v>
      </c>
      <c r="AF83" s="57">
        <f t="shared" si="27"/>
        <v>-39200</v>
      </c>
      <c r="AG83" s="57">
        <f t="shared" si="27"/>
        <v>-39200</v>
      </c>
      <c r="AH83" s="57">
        <f t="shared" si="27"/>
        <v>-39200</v>
      </c>
      <c r="AI83" s="57">
        <f t="shared" si="27"/>
        <v>-19600</v>
      </c>
      <c r="AJ83" s="57">
        <f t="shared" si="27"/>
        <v>-19600</v>
      </c>
      <c r="AK83" s="57">
        <f t="shared" si="27"/>
        <v>-19600</v>
      </c>
      <c r="AL83" s="57">
        <f t="shared" si="27"/>
        <v>0</v>
      </c>
      <c r="AM83" s="57">
        <f t="shared" si="27"/>
        <v>0</v>
      </c>
      <c r="AN83" s="57">
        <f t="shared" si="27"/>
        <v>0</v>
      </c>
    </row>
    <row r="84" spans="2:40" ht="13.5" customHeight="1" x14ac:dyDescent="0.3">
      <c r="B84" s="70"/>
      <c r="C84" s="70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</row>
    <row r="85" spans="2:40" ht="13.5" customHeight="1" x14ac:dyDescent="0.3">
      <c r="B85" s="69"/>
      <c r="C85" s="69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</row>
    <row r="86" spans="2:40" ht="13.5" customHeight="1" x14ac:dyDescent="0.3">
      <c r="B86" s="72"/>
      <c r="C86" s="72"/>
      <c r="D86" s="73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</row>
    <row r="87" spans="2:40" s="74" customFormat="1" ht="13.5" customHeight="1" x14ac:dyDescent="0.3">
      <c r="B87" s="74" t="s">
        <v>147</v>
      </c>
      <c r="D87" s="74">
        <f t="shared" ref="D87:AN87" si="28">D76+D75+D77+D78+D79+D80+D81+D82+D83+D84</f>
        <v>-2046470.5882352942</v>
      </c>
      <c r="E87" s="74">
        <f t="shared" si="28"/>
        <v>571035.71576470591</v>
      </c>
      <c r="F87" s="74">
        <f t="shared" si="28"/>
        <v>672190.53176470578</v>
      </c>
      <c r="G87" s="74">
        <f t="shared" si="28"/>
        <v>802246.72376470605</v>
      </c>
      <c r="H87" s="74">
        <f t="shared" si="28"/>
        <v>319917.37976470572</v>
      </c>
      <c r="I87" s="74">
        <f t="shared" si="28"/>
        <v>247626.30776470585</v>
      </c>
      <c r="J87" s="74">
        <f t="shared" si="28"/>
        <v>325599.81176470581</v>
      </c>
      <c r="K87" s="74">
        <f t="shared" si="28"/>
        <v>362291.011764706</v>
      </c>
      <c r="L87" s="74">
        <f t="shared" si="28"/>
        <v>648294.21176470781</v>
      </c>
      <c r="M87" s="74">
        <f t="shared" si="28"/>
        <v>643477.31576470635</v>
      </c>
      <c r="N87" s="74">
        <f t="shared" si="28"/>
        <v>786441.2837647089</v>
      </c>
      <c r="O87" s="74">
        <f t="shared" si="28"/>
        <v>644305.21976470668</v>
      </c>
      <c r="P87" s="74">
        <f t="shared" si="28"/>
        <v>891773.25176470599</v>
      </c>
      <c r="Q87" s="74">
        <f t="shared" si="28"/>
        <v>1130774.0837647084</v>
      </c>
      <c r="R87" s="74">
        <f t="shared" si="28"/>
        <v>1437512.5157647107</v>
      </c>
      <c r="S87" s="74">
        <f t="shared" si="28"/>
        <v>1185227.5877647065</v>
      </c>
      <c r="T87" s="74">
        <f t="shared" si="28"/>
        <v>1361382.9797647097</v>
      </c>
      <c r="U87" s="74">
        <f t="shared" si="28"/>
        <v>1492379.9717647126</v>
      </c>
      <c r="V87" s="74">
        <f t="shared" si="28"/>
        <v>1652541.7637647083</v>
      </c>
      <c r="W87" s="74">
        <f t="shared" si="28"/>
        <v>1812703.555764697</v>
      </c>
      <c r="X87" s="74">
        <f t="shared" si="28"/>
        <v>1868436.5477647069</v>
      </c>
      <c r="Y87" s="74">
        <f t="shared" si="28"/>
        <v>1163664.4517647061</v>
      </c>
      <c r="Z87" s="74">
        <f t="shared" si="28"/>
        <v>1106802.4997647174</v>
      </c>
      <c r="AA87" s="74">
        <f t="shared" si="28"/>
        <v>2039172.931764706</v>
      </c>
      <c r="AB87" s="74">
        <f t="shared" si="28"/>
        <v>1989536.3237647088</v>
      </c>
      <c r="AC87" s="74">
        <f t="shared" si="28"/>
        <v>2059381.3157646973</v>
      </c>
      <c r="AD87" s="74">
        <f t="shared" si="28"/>
        <v>242809.41176472011</v>
      </c>
      <c r="AE87" s="74">
        <f t="shared" si="28"/>
        <v>242809.41176470579</v>
      </c>
      <c r="AF87" s="74">
        <f t="shared" si="28"/>
        <v>242809.41176470579</v>
      </c>
      <c r="AG87" s="74">
        <f t="shared" si="28"/>
        <v>242809.41176470579</v>
      </c>
      <c r="AH87" s="74">
        <f t="shared" si="28"/>
        <v>242809.41176470579</v>
      </c>
      <c r="AI87" s="74">
        <f t="shared" si="28"/>
        <v>78169.411764705903</v>
      </c>
      <c r="AJ87" s="74">
        <f t="shared" si="28"/>
        <v>78169.411764705903</v>
      </c>
      <c r="AK87" s="74">
        <f t="shared" si="28"/>
        <v>78169.411764705903</v>
      </c>
      <c r="AL87" s="74">
        <f t="shared" si="28"/>
        <v>0</v>
      </c>
      <c r="AM87" s="74">
        <f t="shared" si="28"/>
        <v>0</v>
      </c>
      <c r="AN87" s="74">
        <f t="shared" si="28"/>
        <v>0</v>
      </c>
    </row>
    <row r="88" spans="2:40" s="74" customFormat="1" ht="13.5" customHeight="1" x14ac:dyDescent="0.3">
      <c r="B88" s="74" t="s">
        <v>148</v>
      </c>
      <c r="D88" s="74">
        <f>D87</f>
        <v>-2046470.5882352942</v>
      </c>
      <c r="E88" s="74">
        <f t="shared" ref="E88:AN88" si="29">D88+E87</f>
        <v>-1475434.8724705884</v>
      </c>
      <c r="F88" s="74">
        <f t="shared" si="29"/>
        <v>-803244.34070588264</v>
      </c>
      <c r="G88" s="74">
        <f t="shared" si="29"/>
        <v>-997.61694117658772</v>
      </c>
      <c r="H88" s="74">
        <f t="shared" si="29"/>
        <v>318919.76282352913</v>
      </c>
      <c r="I88" s="74">
        <f t="shared" si="29"/>
        <v>566546.07058823504</v>
      </c>
      <c r="J88" s="74">
        <f t="shared" si="29"/>
        <v>892145.88235294085</v>
      </c>
      <c r="K88" s="74">
        <f t="shared" si="29"/>
        <v>1254436.8941176469</v>
      </c>
      <c r="L88" s="74">
        <f t="shared" si="29"/>
        <v>1902731.1058823545</v>
      </c>
      <c r="M88" s="74">
        <f t="shared" si="29"/>
        <v>2546208.4216470607</v>
      </c>
      <c r="N88" s="74">
        <f t="shared" si="29"/>
        <v>3332649.7054117694</v>
      </c>
      <c r="O88" s="74">
        <f t="shared" si="29"/>
        <v>3976954.9251764761</v>
      </c>
      <c r="P88" s="74">
        <f t="shared" si="29"/>
        <v>4868728.1769411825</v>
      </c>
      <c r="Q88" s="74">
        <f t="shared" si="29"/>
        <v>5999502.2607058911</v>
      </c>
      <c r="R88" s="74">
        <f t="shared" si="29"/>
        <v>7437014.7764706016</v>
      </c>
      <c r="S88" s="74">
        <f t="shared" si="29"/>
        <v>8622242.364235308</v>
      </c>
      <c r="T88" s="74">
        <f t="shared" si="29"/>
        <v>9983625.3440000173</v>
      </c>
      <c r="U88" s="74">
        <f t="shared" si="29"/>
        <v>11476005.315764729</v>
      </c>
      <c r="V88" s="74">
        <f t="shared" si="29"/>
        <v>13128547.079529438</v>
      </c>
      <c r="W88" s="74">
        <f t="shared" si="29"/>
        <v>14941250.635294136</v>
      </c>
      <c r="X88" s="74">
        <f t="shared" si="29"/>
        <v>16809687.183058843</v>
      </c>
      <c r="Y88" s="74">
        <f t="shared" si="29"/>
        <v>17973351.63482355</v>
      </c>
      <c r="Z88" s="74">
        <f t="shared" si="29"/>
        <v>19080154.134588268</v>
      </c>
      <c r="AA88" s="74">
        <f t="shared" si="29"/>
        <v>21119327.066352975</v>
      </c>
      <c r="AB88" s="74">
        <f t="shared" si="29"/>
        <v>23108863.390117683</v>
      </c>
      <c r="AC88" s="74">
        <f t="shared" si="29"/>
        <v>25168244.705882378</v>
      </c>
      <c r="AD88" s="74">
        <f t="shared" si="29"/>
        <v>25411054.117647097</v>
      </c>
      <c r="AE88" s="74">
        <f t="shared" si="29"/>
        <v>25653863.529411804</v>
      </c>
      <c r="AF88" s="74">
        <f t="shared" si="29"/>
        <v>25896672.941176511</v>
      </c>
      <c r="AG88" s="74">
        <f t="shared" si="29"/>
        <v>26139482.352941219</v>
      </c>
      <c r="AH88" s="74">
        <f t="shared" si="29"/>
        <v>26382291.764705926</v>
      </c>
      <c r="AI88" s="74">
        <f t="shared" si="29"/>
        <v>26460461.176470634</v>
      </c>
      <c r="AJ88" s="74">
        <f t="shared" si="29"/>
        <v>26538630.588235341</v>
      </c>
      <c r="AK88" s="74">
        <f t="shared" si="29"/>
        <v>26616800.000000048</v>
      </c>
      <c r="AL88" s="74">
        <f t="shared" si="29"/>
        <v>26616800.000000048</v>
      </c>
      <c r="AM88" s="74">
        <f t="shared" si="29"/>
        <v>26616800.000000048</v>
      </c>
      <c r="AN88" s="74">
        <f t="shared" si="29"/>
        <v>26616800.000000048</v>
      </c>
    </row>
    <row r="89" spans="2:40" ht="13.5" customHeight="1" x14ac:dyDescent="0.3"/>
    <row r="90" spans="2:40" ht="13.5" customHeight="1" x14ac:dyDescent="0.3">
      <c r="B90" s="88" t="s">
        <v>149</v>
      </c>
      <c r="C90" s="89"/>
      <c r="D90" s="115">
        <f>IRR(D87:AN87)</f>
        <v>0.29007897140674843</v>
      </c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  <c r="AL90" s="116"/>
      <c r="AM90" s="116"/>
    </row>
    <row r="91" spans="2:40" ht="13.5" customHeight="1" x14ac:dyDescent="0.3">
      <c r="B91" s="78" t="s">
        <v>150</v>
      </c>
      <c r="C91" s="64"/>
      <c r="D91" s="59">
        <f>(1+D90)^12 -1</f>
        <v>20.25179188329469</v>
      </c>
    </row>
    <row r="92" spans="2:40" ht="13.5" customHeight="1" x14ac:dyDescent="0.3">
      <c r="B92" s="28"/>
      <c r="C92" s="61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</row>
    <row r="93" spans="2:40" ht="13.5" customHeight="1" x14ac:dyDescent="0.3">
      <c r="B93" s="78" t="s">
        <v>151</v>
      </c>
      <c r="C93" s="64"/>
      <c r="D93" s="79">
        <f>AN88</f>
        <v>26616800.000000048</v>
      </c>
      <c r="E93" s="80"/>
    </row>
    <row r="94" spans="2:40" ht="13.5" customHeight="1" x14ac:dyDescent="0.3">
      <c r="B94" s="28" t="s">
        <v>152</v>
      </c>
      <c r="C94" s="61"/>
      <c r="D94" s="79">
        <f>-MIN(D88:AM88)</f>
        <v>2046470.5882352942</v>
      </c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</row>
    <row r="95" spans="2:40" ht="13.5" customHeight="1" x14ac:dyDescent="0.35">
      <c r="B95" s="81" t="s">
        <v>153</v>
      </c>
      <c r="C95" s="82"/>
      <c r="D95" s="83">
        <f>D94/C8</f>
        <v>2.088235294117647E-2</v>
      </c>
      <c r="E95" s="31"/>
      <c r="F95" s="31"/>
      <c r="G95" s="84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</row>
    <row r="96" spans="2:40" ht="13.5" customHeight="1" x14ac:dyDescent="0.3">
      <c r="B96" s="28" t="s">
        <v>154</v>
      </c>
      <c r="C96" s="61"/>
      <c r="D96" s="85">
        <f>D93/AM47</f>
        <v>0.28291666666666704</v>
      </c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</row>
    <row r="97" spans="1:40" ht="13.5" customHeight="1" x14ac:dyDescent="0.3">
      <c r="B97" s="28" t="s">
        <v>155</v>
      </c>
      <c r="C97" s="61"/>
      <c r="D97" s="85">
        <v>0.12659999999999999</v>
      </c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</row>
    <row r="98" spans="1:40" ht="14.25" customHeight="1" x14ac:dyDescent="0.35">
      <c r="B98" s="31" t="s">
        <v>156</v>
      </c>
      <c r="D98" s="86">
        <f>(1+D97)^(1/12) - 1</f>
        <v>9.9831901409603852E-3</v>
      </c>
      <c r="E98" s="31"/>
      <c r="F98" s="31"/>
      <c r="G98" s="87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</row>
    <row r="99" spans="1:40" ht="13.5" customHeight="1" x14ac:dyDescent="0.3">
      <c r="A99" s="25" t="s">
        <v>110</v>
      </c>
      <c r="B99" s="88" t="s">
        <v>157</v>
      </c>
      <c r="C99" s="89"/>
      <c r="D99" s="88">
        <f>D87+NPV(D98,E87:AN87)</f>
        <v>22235914.09113</v>
      </c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</row>
    <row r="100" spans="1:40" ht="13.5" customHeight="1" x14ac:dyDescent="0.3">
      <c r="B100" s="28"/>
      <c r="C100" s="61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</row>
    <row r="101" spans="1:40" ht="13.5" customHeight="1" x14ac:dyDescent="0.35">
      <c r="B101" s="78"/>
      <c r="C101" s="64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</row>
    <row r="102" spans="1:40" ht="13.5" customHeight="1" x14ac:dyDescent="0.3">
      <c r="B102" s="75"/>
      <c r="C102" s="91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</row>
    <row r="103" spans="1:40" ht="13.5" customHeight="1" x14ac:dyDescent="0.3">
      <c r="B103" s="75"/>
      <c r="C103" s="91"/>
      <c r="D103" s="92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</row>
    <row r="104" spans="1:40" ht="13.5" customHeight="1" x14ac:dyDescent="0.3">
      <c r="B104" s="78"/>
      <c r="D104" s="94"/>
    </row>
    <row r="105" spans="1:40" ht="13.5" customHeight="1" x14ac:dyDescent="0.35">
      <c r="B105" s="78"/>
      <c r="C105" s="64"/>
      <c r="D105" s="31"/>
    </row>
    <row r="106" spans="1:40" ht="14.25" customHeight="1" x14ac:dyDescent="0.35">
      <c r="B106" s="31"/>
      <c r="D106" s="31"/>
    </row>
    <row r="107" spans="1:40" ht="14.25" customHeight="1" x14ac:dyDescent="0.35">
      <c r="B107" s="31"/>
      <c r="D107" s="31"/>
    </row>
    <row r="108" spans="1:40" ht="14.25" customHeight="1" x14ac:dyDescent="0.35">
      <c r="D108" s="31"/>
    </row>
    <row r="109" spans="1:40" ht="14.25" customHeight="1" x14ac:dyDescent="0.3">
      <c r="G109" s="58"/>
      <c r="H109" s="58"/>
      <c r="I109" s="58"/>
      <c r="J109" s="58"/>
      <c r="K109" s="58"/>
    </row>
    <row r="110" spans="1:40" ht="14.25" customHeight="1" x14ac:dyDescent="0.3">
      <c r="G110" s="58"/>
      <c r="H110" s="58"/>
      <c r="I110" s="58"/>
      <c r="J110" s="58"/>
      <c r="K110" s="58"/>
    </row>
    <row r="111" spans="1:40" ht="14.25" customHeight="1" x14ac:dyDescent="0.3">
      <c r="G111" s="58"/>
      <c r="H111" s="58"/>
      <c r="I111" s="58"/>
      <c r="J111" s="58"/>
      <c r="K111" s="58"/>
    </row>
    <row r="112" spans="1:40" ht="14.25" customHeight="1" x14ac:dyDescent="0.3">
      <c r="G112" s="58"/>
      <c r="H112" s="58"/>
      <c r="I112" s="58"/>
      <c r="J112" s="58"/>
      <c r="K112" s="58"/>
    </row>
    <row r="113" spans="5:11" ht="14.25" customHeight="1" x14ac:dyDescent="0.3">
      <c r="G113" s="58"/>
      <c r="H113" s="58"/>
      <c r="I113" s="58"/>
      <c r="J113" s="58"/>
      <c r="K113" s="58"/>
    </row>
    <row r="114" spans="5:11" ht="14.25" customHeight="1" x14ac:dyDescent="0.3">
      <c r="G114" s="58"/>
      <c r="H114" s="58"/>
      <c r="I114" s="58"/>
      <c r="J114" s="58"/>
      <c r="K114" s="58"/>
    </row>
    <row r="115" spans="5:11" ht="14.25" customHeight="1" x14ac:dyDescent="0.3">
      <c r="G115" s="58"/>
      <c r="H115" s="58"/>
      <c r="I115" s="58"/>
      <c r="J115" s="58"/>
      <c r="K115" s="58"/>
    </row>
    <row r="116" spans="5:11" ht="14.25" customHeight="1" x14ac:dyDescent="0.3"/>
    <row r="117" spans="5:11" ht="14.25" customHeight="1" x14ac:dyDescent="0.3"/>
    <row r="118" spans="5:11" ht="14.25" customHeight="1" x14ac:dyDescent="0.3">
      <c r="F118" s="131"/>
    </row>
    <row r="119" spans="5:11" ht="14.25" customHeight="1" x14ac:dyDescent="0.3"/>
    <row r="120" spans="5:11" ht="14.25" customHeight="1" x14ac:dyDescent="0.3">
      <c r="E120" s="132"/>
      <c r="F120" s="133"/>
      <c r="G120" s="134"/>
      <c r="H120" s="134"/>
      <c r="I120" s="134"/>
      <c r="J120" s="134"/>
      <c r="K120" s="134"/>
    </row>
    <row r="121" spans="5:11" ht="14.25" customHeight="1" x14ac:dyDescent="0.3">
      <c r="F121" s="134"/>
      <c r="G121" s="135"/>
      <c r="H121" s="135"/>
      <c r="I121" s="135"/>
      <c r="J121" s="135"/>
      <c r="K121" s="135"/>
    </row>
    <row r="122" spans="5:11" ht="14.25" customHeight="1" x14ac:dyDescent="0.3">
      <c r="F122" s="134"/>
      <c r="G122" s="135"/>
      <c r="H122" s="135"/>
      <c r="I122" s="135"/>
      <c r="J122" s="135"/>
      <c r="K122" s="135"/>
    </row>
    <row r="123" spans="5:11" ht="14.25" customHeight="1" x14ac:dyDescent="0.3">
      <c r="F123" s="134"/>
      <c r="G123" s="135"/>
      <c r="H123" s="135"/>
      <c r="I123" s="135"/>
      <c r="J123" s="135"/>
      <c r="K123" s="135"/>
    </row>
    <row r="124" spans="5:11" ht="14.25" customHeight="1" x14ac:dyDescent="0.3">
      <c r="F124" s="134"/>
      <c r="G124" s="135"/>
      <c r="H124" s="135"/>
      <c r="I124" s="135"/>
      <c r="J124" s="135"/>
      <c r="K124" s="135"/>
    </row>
    <row r="125" spans="5:11" ht="14.25" customHeight="1" x14ac:dyDescent="0.3">
      <c r="F125" s="134"/>
      <c r="G125" s="135"/>
      <c r="H125" s="135"/>
      <c r="I125" s="135"/>
      <c r="J125" s="135"/>
      <c r="K125" s="135"/>
    </row>
    <row r="126" spans="5:11" ht="14.25" customHeight="1" x14ac:dyDescent="0.3"/>
    <row r="127" spans="5:11" ht="14.25" customHeight="1" x14ac:dyDescent="0.3"/>
    <row r="128" spans="5:11" ht="14.25" customHeight="1" x14ac:dyDescent="0.3"/>
    <row r="129" ht="13.5" customHeight="1" x14ac:dyDescent="0.3"/>
  </sheetData>
  <conditionalFormatting sqref="G121:K125">
    <cfRule type="colorScale" priority="3">
      <colorScale>
        <cfvo type="min"/>
        <cfvo type="percentile" val="50"/>
        <cfvo type="max"/>
        <color rgb="FFC00000"/>
        <color rgb="FFFFC000"/>
        <color rgb="FF00B050"/>
      </colorScale>
    </cfRule>
  </conditionalFormatting>
  <conditionalFormatting sqref="K10:O16">
    <cfRule type="colorScale" priority="2">
      <colorScale>
        <cfvo type="min"/>
        <cfvo type="max"/>
        <color rgb="FF8FAADC"/>
        <color rgb="FF002060"/>
      </colorScale>
    </cfRule>
  </conditionalFormatting>
  <conditionalFormatting sqref="U13:Z18">
    <cfRule type="colorScale" priority="1">
      <colorScale>
        <cfvo type="min"/>
        <cfvo type="max"/>
        <color rgb="FF8FAADC"/>
        <color rgb="FF002060"/>
      </colorScale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F3167-8B83-407F-970D-E84B105062D1}">
  <sheetPr>
    <tabColor rgb="FF002060"/>
  </sheetPr>
  <dimension ref="A1:AO128"/>
  <sheetViews>
    <sheetView showGridLines="0" workbookViewId="0"/>
  </sheetViews>
  <sheetFormatPr defaultColWidth="8.81640625" defaultRowHeight="14" x14ac:dyDescent="0.3"/>
  <cols>
    <col min="1" max="1" width="1.54296875" style="25" customWidth="1"/>
    <col min="2" max="2" width="37.36328125" style="25" customWidth="1"/>
    <col min="3" max="3" width="17.453125" style="25" customWidth="1"/>
    <col min="4" max="4" width="25.453125" style="25" customWidth="1"/>
    <col min="5" max="5" width="22.6328125" style="25" customWidth="1"/>
    <col min="6" max="7" width="23" style="25" customWidth="1"/>
    <col min="8" max="8" width="22.6328125" style="25" customWidth="1"/>
    <col min="9" max="12" width="20.6328125" style="25" customWidth="1"/>
    <col min="13" max="13" width="22.6328125" style="25" customWidth="1"/>
    <col min="14" max="14" width="21.26953125" style="25" customWidth="1"/>
    <col min="15" max="16" width="20.26953125" style="25" customWidth="1"/>
    <col min="17" max="19" width="18.1796875" style="25" customWidth="1"/>
    <col min="20" max="20" width="17.6328125" style="25" customWidth="1"/>
    <col min="21" max="22" width="18.1796875" style="25" customWidth="1"/>
    <col min="23" max="33" width="20.26953125" style="25" customWidth="1"/>
    <col min="34" max="39" width="18.1796875" style="25" customWidth="1"/>
    <col min="40" max="40" width="18.81640625" style="25" customWidth="1"/>
    <col min="41" max="16384" width="8.81640625" style="25"/>
  </cols>
  <sheetData>
    <row r="1" spans="1:14" s="21" customFormat="1" ht="6.75" customHeight="1" x14ac:dyDescent="0.3"/>
    <row r="2" spans="1:14" s="21" customFormat="1" ht="36" customHeight="1" x14ac:dyDescent="0.3">
      <c r="A2" s="22"/>
      <c r="C2" s="23"/>
      <c r="D2" s="24"/>
      <c r="E2" s="24"/>
      <c r="F2" s="24"/>
      <c r="H2" s="24"/>
      <c r="I2" s="24"/>
      <c r="J2" s="24"/>
      <c r="K2" s="23"/>
      <c r="L2" s="23"/>
      <c r="M2" s="24"/>
      <c r="N2" s="24"/>
    </row>
    <row r="3" spans="1:14" s="21" customFormat="1" ht="6" customHeight="1" x14ac:dyDescent="0.3">
      <c r="G3" s="24"/>
    </row>
    <row r="6" spans="1:14" s="21" customFormat="1" ht="13.5" customHeight="1" x14ac:dyDescent="0.35">
      <c r="A6" s="25"/>
      <c r="B6" s="26" t="s">
        <v>94</v>
      </c>
      <c r="C6" s="26"/>
      <c r="E6" s="27"/>
    </row>
    <row r="7" spans="1:14" ht="13.5" customHeight="1" x14ac:dyDescent="0.3"/>
    <row r="8" spans="1:14" ht="13.5" customHeight="1" x14ac:dyDescent="0.35">
      <c r="B8" s="28" t="s">
        <v>95</v>
      </c>
      <c r="C8" s="29">
        <f>C9*C10</f>
        <v>80500000</v>
      </c>
      <c r="D8" s="30"/>
      <c r="E8" s="31"/>
      <c r="F8" s="31"/>
      <c r="H8" s="25" t="s">
        <v>96</v>
      </c>
    </row>
    <row r="9" spans="1:14" ht="13.5" customHeight="1" x14ac:dyDescent="0.35">
      <c r="B9" s="28" t="s">
        <v>97</v>
      </c>
      <c r="C9" s="32">
        <v>350</v>
      </c>
      <c r="D9" s="30"/>
      <c r="E9" s="31"/>
      <c r="F9" s="31"/>
      <c r="H9" s="25" t="s">
        <v>98</v>
      </c>
    </row>
    <row r="10" spans="1:14" ht="13.5" customHeight="1" x14ac:dyDescent="0.35">
      <c r="B10" s="28" t="s">
        <v>99</v>
      </c>
      <c r="C10" s="29">
        <v>230000</v>
      </c>
      <c r="D10" s="30"/>
      <c r="E10" s="31"/>
      <c r="F10" s="31"/>
    </row>
    <row r="11" spans="1:14" ht="13.5" customHeight="1" x14ac:dyDescent="0.35">
      <c r="B11" s="25" t="s">
        <v>100</v>
      </c>
      <c r="C11" s="29">
        <f>C8-(C8*C19)</f>
        <v>77280000</v>
      </c>
      <c r="E11" s="33">
        <f>C8*C13</f>
        <v>49105000</v>
      </c>
      <c r="F11" s="31"/>
    </row>
    <row r="12" spans="1:14" ht="13.5" customHeight="1" x14ac:dyDescent="0.35">
      <c r="C12" s="34"/>
      <c r="E12" s="31"/>
      <c r="F12" s="31"/>
    </row>
    <row r="13" spans="1:14" ht="13.5" customHeight="1" x14ac:dyDescent="0.3">
      <c r="B13" s="28" t="s">
        <v>101</v>
      </c>
      <c r="C13" s="35">
        <f>C14+C15+C17+(C16*C9/C8)</f>
        <v>0.61</v>
      </c>
      <c r="D13" s="30"/>
    </row>
    <row r="14" spans="1:14" ht="13.5" customHeight="1" x14ac:dyDescent="0.3">
      <c r="B14" s="28" t="s">
        <v>102</v>
      </c>
      <c r="C14" s="35">
        <v>0</v>
      </c>
      <c r="D14" s="30"/>
    </row>
    <row r="15" spans="1:14" ht="13.5" customHeight="1" x14ac:dyDescent="0.3">
      <c r="B15" s="28" t="s">
        <v>176</v>
      </c>
      <c r="C15" s="136">
        <v>0.1</v>
      </c>
      <c r="D15" s="30"/>
    </row>
    <row r="16" spans="1:14" ht="13.5" customHeight="1" x14ac:dyDescent="0.3">
      <c r="B16" s="28" t="s">
        <v>103</v>
      </c>
      <c r="C16" s="36">
        <v>117300</v>
      </c>
      <c r="D16" s="30"/>
    </row>
    <row r="17" spans="1:41" ht="13.5" customHeight="1" x14ac:dyDescent="0.3">
      <c r="B17" s="28" t="s">
        <v>104</v>
      </c>
      <c r="C17" s="35">
        <v>0</v>
      </c>
      <c r="D17" s="30"/>
    </row>
    <row r="18" spans="1:41" ht="13.5" customHeight="1" x14ac:dyDescent="0.3">
      <c r="C18" s="35"/>
    </row>
    <row r="19" spans="1:41" ht="13.5" customHeight="1" x14ac:dyDescent="0.3">
      <c r="B19" s="25" t="s">
        <v>105</v>
      </c>
      <c r="C19" s="35">
        <v>0.04</v>
      </c>
    </row>
    <row r="20" spans="1:41" ht="13.5" customHeight="1" x14ac:dyDescent="0.3">
      <c r="B20" s="28" t="s">
        <v>106</v>
      </c>
      <c r="C20" s="35">
        <v>0.03</v>
      </c>
      <c r="D20" s="30"/>
    </row>
    <row r="21" spans="1:41" ht="13.5" customHeight="1" x14ac:dyDescent="0.3">
      <c r="B21" s="28" t="s">
        <v>107</v>
      </c>
      <c r="C21" s="35">
        <v>0</v>
      </c>
      <c r="D21" s="30"/>
    </row>
    <row r="22" spans="1:41" ht="13.5" customHeight="1" x14ac:dyDescent="0.3">
      <c r="B22" s="28" t="s">
        <v>108</v>
      </c>
      <c r="C22" s="35">
        <v>0.04</v>
      </c>
      <c r="D22" s="30"/>
    </row>
    <row r="23" spans="1:41" ht="13.5" customHeight="1" x14ac:dyDescent="0.3">
      <c r="B23" s="28" t="s">
        <v>162</v>
      </c>
      <c r="C23" s="37">
        <v>0.02</v>
      </c>
      <c r="D23" s="30"/>
    </row>
    <row r="24" spans="1:41" s="38" customFormat="1" ht="13.5" customHeight="1" x14ac:dyDescent="0.3">
      <c r="B24" s="28" t="s">
        <v>109</v>
      </c>
      <c r="C24" s="41">
        <v>0.01</v>
      </c>
      <c r="D24" s="30"/>
      <c r="E24" s="39"/>
      <c r="H24" s="39"/>
      <c r="K24" s="39"/>
      <c r="N24" s="39"/>
      <c r="Q24" s="39"/>
      <c r="T24" s="39"/>
      <c r="W24" s="39"/>
      <c r="Z24" s="39"/>
      <c r="AC24" s="39"/>
      <c r="AF24" s="39"/>
      <c r="AI24" s="39"/>
      <c r="AL24" s="39"/>
      <c r="AO24" s="39"/>
    </row>
    <row r="25" spans="1:41" s="40" customFormat="1" ht="13.5" customHeight="1" x14ac:dyDescent="0.3"/>
    <row r="26" spans="1:41" s="38" customFormat="1" ht="13.5" customHeight="1" x14ac:dyDescent="0.3">
      <c r="B26" s="28"/>
      <c r="C26" s="41"/>
      <c r="D26" s="30"/>
      <c r="E26" s="39"/>
      <c r="H26" s="39"/>
      <c r="K26" s="39"/>
      <c r="N26" s="39"/>
      <c r="Q26" s="39"/>
      <c r="T26" s="39"/>
      <c r="W26" s="39"/>
      <c r="Z26" s="39"/>
      <c r="AC26" s="39"/>
      <c r="AF26" s="39"/>
      <c r="AI26" s="39"/>
      <c r="AL26" s="39"/>
      <c r="AO26" s="39"/>
    </row>
    <row r="27" spans="1:41" s="21" customFormat="1" ht="13.5" customHeight="1" x14ac:dyDescent="0.3">
      <c r="A27" s="38"/>
      <c r="B27" s="42"/>
      <c r="C27" s="43"/>
      <c r="D27" s="44"/>
    </row>
    <row r="28" spans="1:41" s="46" customFormat="1" ht="13.5" customHeight="1" x14ac:dyDescent="0.3">
      <c r="A28" s="45"/>
      <c r="D28" s="46">
        <v>0</v>
      </c>
      <c r="E28" s="46">
        <v>1</v>
      </c>
      <c r="F28" s="46">
        <v>2</v>
      </c>
      <c r="G28" s="46">
        <v>3</v>
      </c>
      <c r="H28" s="46">
        <v>4</v>
      </c>
      <c r="I28" s="46">
        <v>5</v>
      </c>
      <c r="J28" s="46">
        <v>6</v>
      </c>
      <c r="K28" s="46">
        <v>7</v>
      </c>
      <c r="L28" s="46">
        <v>8</v>
      </c>
      <c r="M28" s="46">
        <v>9</v>
      </c>
      <c r="N28" s="46">
        <v>10</v>
      </c>
      <c r="O28" s="46">
        <v>11</v>
      </c>
      <c r="P28" s="46">
        <v>12</v>
      </c>
      <c r="Q28" s="46">
        <v>13</v>
      </c>
      <c r="R28" s="46">
        <v>14</v>
      </c>
      <c r="S28" s="46">
        <v>15</v>
      </c>
      <c r="T28" s="46">
        <v>16</v>
      </c>
      <c r="U28" s="46">
        <v>17</v>
      </c>
      <c r="V28" s="46">
        <v>18</v>
      </c>
      <c r="W28" s="46">
        <v>19</v>
      </c>
      <c r="X28" s="46">
        <v>20</v>
      </c>
      <c r="Y28" s="46">
        <v>21</v>
      </c>
      <c r="Z28" s="46">
        <v>22</v>
      </c>
      <c r="AA28" s="46">
        <v>23</v>
      </c>
      <c r="AB28" s="46">
        <v>24</v>
      </c>
      <c r="AC28" s="46">
        <v>25</v>
      </c>
      <c r="AD28" s="46">
        <v>26</v>
      </c>
      <c r="AE28" s="46">
        <v>27</v>
      </c>
      <c r="AF28" s="46">
        <v>28</v>
      </c>
      <c r="AG28" s="46">
        <f t="shared" ref="AG28:AN28" si="0">AF28+1</f>
        <v>29</v>
      </c>
      <c r="AH28" s="46">
        <f t="shared" si="0"/>
        <v>30</v>
      </c>
      <c r="AI28" s="46">
        <f t="shared" si="0"/>
        <v>31</v>
      </c>
      <c r="AJ28" s="46">
        <f t="shared" si="0"/>
        <v>32</v>
      </c>
      <c r="AK28" s="46">
        <f t="shared" si="0"/>
        <v>33</v>
      </c>
      <c r="AL28" s="46">
        <f t="shared" si="0"/>
        <v>34</v>
      </c>
      <c r="AM28" s="46">
        <f t="shared" si="0"/>
        <v>35</v>
      </c>
      <c r="AN28" s="46">
        <f t="shared" si="0"/>
        <v>36</v>
      </c>
    </row>
    <row r="29" spans="1:41" ht="13.5" customHeight="1" x14ac:dyDescent="0.3">
      <c r="D29" s="30"/>
    </row>
    <row r="30" spans="1:41" s="47" customFormat="1" ht="13.5" customHeight="1" x14ac:dyDescent="0.3">
      <c r="B30" s="48" t="s">
        <v>111</v>
      </c>
      <c r="C30" s="49"/>
      <c r="D30" s="35">
        <v>0</v>
      </c>
      <c r="E30" s="35">
        <v>0.13</v>
      </c>
      <c r="F30" s="35">
        <v>0.1</v>
      </c>
      <c r="G30" s="35">
        <v>0.08</v>
      </c>
      <c r="H30" s="35">
        <v>0.06</v>
      </c>
      <c r="I30" s="35">
        <v>0.06</v>
      </c>
      <c r="J30" s="35">
        <v>0.05</v>
      </c>
      <c r="K30" s="35">
        <v>0.05</v>
      </c>
      <c r="L30" s="35">
        <v>0.05</v>
      </c>
      <c r="M30" s="35">
        <v>0.04</v>
      </c>
      <c r="N30" s="35">
        <v>0.04</v>
      </c>
      <c r="O30" s="35">
        <v>0.04</v>
      </c>
      <c r="P30" s="35">
        <v>0.04</v>
      </c>
      <c r="Q30" s="35">
        <v>0.03</v>
      </c>
      <c r="R30" s="35">
        <v>0.03</v>
      </c>
      <c r="S30" s="35">
        <v>0.03</v>
      </c>
      <c r="T30" s="35">
        <v>0.03</v>
      </c>
      <c r="U30" s="35">
        <v>0.03</v>
      </c>
      <c r="V30" s="35">
        <v>0.02</v>
      </c>
      <c r="W30" s="35">
        <v>0.02</v>
      </c>
      <c r="X30" s="35">
        <v>0.02</v>
      </c>
      <c r="Y30" s="35">
        <v>0.01</v>
      </c>
      <c r="Z30" s="35">
        <v>0.01</v>
      </c>
      <c r="AA30" s="35">
        <v>0.01</v>
      </c>
      <c r="AB30" s="35">
        <v>0.01</v>
      </c>
      <c r="AC30" s="35">
        <v>0.01</v>
      </c>
      <c r="AD30" s="35">
        <v>0</v>
      </c>
      <c r="AE30" s="35">
        <v>0</v>
      </c>
      <c r="AF30" s="35">
        <v>0</v>
      </c>
      <c r="AG30" s="35">
        <v>0</v>
      </c>
      <c r="AH30" s="35">
        <v>0</v>
      </c>
      <c r="AI30" s="35">
        <v>0</v>
      </c>
      <c r="AJ30" s="35">
        <v>0</v>
      </c>
      <c r="AK30" s="35">
        <v>0</v>
      </c>
      <c r="AL30" s="35">
        <v>0</v>
      </c>
      <c r="AM30" s="35">
        <v>0</v>
      </c>
      <c r="AN30" s="35">
        <v>0</v>
      </c>
    </row>
    <row r="31" spans="1:41" s="47" customFormat="1" ht="13.5" customHeight="1" x14ac:dyDescent="0.3">
      <c r="B31" s="48"/>
      <c r="C31" s="49"/>
      <c r="D31" s="50"/>
      <c r="E31" s="50"/>
      <c r="F31" s="4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</row>
    <row r="32" spans="1:41" s="51" customFormat="1" ht="13.5" customHeight="1" x14ac:dyDescent="0.3">
      <c r="B32" s="52" t="s">
        <v>112</v>
      </c>
      <c r="C32" s="53"/>
      <c r="D32" s="52">
        <f>D30</f>
        <v>0</v>
      </c>
      <c r="E32" s="52">
        <f t="shared" ref="E32:AN32" si="1">E30+D32</f>
        <v>0.13</v>
      </c>
      <c r="F32" s="52">
        <f t="shared" si="1"/>
        <v>0.23</v>
      </c>
      <c r="G32" s="52">
        <f t="shared" si="1"/>
        <v>0.31</v>
      </c>
      <c r="H32" s="52">
        <f t="shared" si="1"/>
        <v>0.37</v>
      </c>
      <c r="I32" s="52">
        <f t="shared" si="1"/>
        <v>0.43</v>
      </c>
      <c r="J32" s="52">
        <f t="shared" si="1"/>
        <v>0.48</v>
      </c>
      <c r="K32" s="52">
        <f t="shared" si="1"/>
        <v>0.53</v>
      </c>
      <c r="L32" s="52">
        <f t="shared" si="1"/>
        <v>0.58000000000000007</v>
      </c>
      <c r="M32" s="52">
        <f t="shared" si="1"/>
        <v>0.62000000000000011</v>
      </c>
      <c r="N32" s="52">
        <f t="shared" si="1"/>
        <v>0.66000000000000014</v>
      </c>
      <c r="O32" s="52">
        <f t="shared" si="1"/>
        <v>0.70000000000000018</v>
      </c>
      <c r="P32" s="52">
        <f t="shared" si="1"/>
        <v>0.74000000000000021</v>
      </c>
      <c r="Q32" s="52">
        <f t="shared" si="1"/>
        <v>0.77000000000000024</v>
      </c>
      <c r="R32" s="52">
        <f t="shared" si="1"/>
        <v>0.80000000000000027</v>
      </c>
      <c r="S32" s="52">
        <f t="shared" si="1"/>
        <v>0.83000000000000029</v>
      </c>
      <c r="T32" s="52">
        <f t="shared" si="1"/>
        <v>0.86000000000000032</v>
      </c>
      <c r="U32" s="52">
        <f t="shared" si="1"/>
        <v>0.89000000000000035</v>
      </c>
      <c r="V32" s="52">
        <f t="shared" si="1"/>
        <v>0.91000000000000036</v>
      </c>
      <c r="W32" s="52">
        <f t="shared" si="1"/>
        <v>0.93000000000000038</v>
      </c>
      <c r="X32" s="52">
        <f t="shared" si="1"/>
        <v>0.9500000000000004</v>
      </c>
      <c r="Y32" s="52">
        <f t="shared" si="1"/>
        <v>0.96000000000000041</v>
      </c>
      <c r="Z32" s="52">
        <f t="shared" si="1"/>
        <v>0.97000000000000042</v>
      </c>
      <c r="AA32" s="52">
        <f t="shared" si="1"/>
        <v>0.98000000000000043</v>
      </c>
      <c r="AB32" s="52">
        <f t="shared" si="1"/>
        <v>0.99000000000000044</v>
      </c>
      <c r="AC32" s="52">
        <f t="shared" si="1"/>
        <v>1.0000000000000004</v>
      </c>
      <c r="AD32" s="52">
        <f t="shared" si="1"/>
        <v>1.0000000000000004</v>
      </c>
      <c r="AE32" s="52">
        <f t="shared" si="1"/>
        <v>1.0000000000000004</v>
      </c>
      <c r="AF32" s="52">
        <f t="shared" si="1"/>
        <v>1.0000000000000004</v>
      </c>
      <c r="AG32" s="52">
        <f t="shared" si="1"/>
        <v>1.0000000000000004</v>
      </c>
      <c r="AH32" s="52">
        <f t="shared" si="1"/>
        <v>1.0000000000000004</v>
      </c>
      <c r="AI32" s="52">
        <f t="shared" si="1"/>
        <v>1.0000000000000004</v>
      </c>
      <c r="AJ32" s="52">
        <f t="shared" si="1"/>
        <v>1.0000000000000004</v>
      </c>
      <c r="AK32" s="52">
        <f t="shared" si="1"/>
        <v>1.0000000000000004</v>
      </c>
      <c r="AL32" s="52">
        <f t="shared" si="1"/>
        <v>1.0000000000000004</v>
      </c>
      <c r="AM32" s="52">
        <f t="shared" si="1"/>
        <v>1.0000000000000004</v>
      </c>
      <c r="AN32" s="52">
        <f t="shared" si="1"/>
        <v>1.0000000000000004</v>
      </c>
    </row>
    <row r="33" spans="1:40" s="54" customFormat="1" ht="13.5" customHeight="1" x14ac:dyDescent="0.3">
      <c r="B33" s="55" t="s">
        <v>113</v>
      </c>
      <c r="C33" s="56"/>
      <c r="D33" s="55">
        <f t="shared" ref="D33:AN33" si="2">$C$9*D30</f>
        <v>0</v>
      </c>
      <c r="E33" s="55">
        <f t="shared" si="2"/>
        <v>45.5</v>
      </c>
      <c r="F33" s="55">
        <f t="shared" si="2"/>
        <v>35</v>
      </c>
      <c r="G33" s="55">
        <f t="shared" si="2"/>
        <v>28</v>
      </c>
      <c r="H33" s="55">
        <f t="shared" si="2"/>
        <v>21</v>
      </c>
      <c r="I33" s="55">
        <f t="shared" si="2"/>
        <v>21</v>
      </c>
      <c r="J33" s="55">
        <f t="shared" si="2"/>
        <v>17.5</v>
      </c>
      <c r="K33" s="55">
        <f t="shared" si="2"/>
        <v>17.5</v>
      </c>
      <c r="L33" s="55">
        <f t="shared" si="2"/>
        <v>17.5</v>
      </c>
      <c r="M33" s="55">
        <f t="shared" si="2"/>
        <v>14</v>
      </c>
      <c r="N33" s="55">
        <f t="shared" si="2"/>
        <v>14</v>
      </c>
      <c r="O33" s="55">
        <f t="shared" si="2"/>
        <v>14</v>
      </c>
      <c r="P33" s="55">
        <f t="shared" si="2"/>
        <v>14</v>
      </c>
      <c r="Q33" s="55">
        <f t="shared" si="2"/>
        <v>10.5</v>
      </c>
      <c r="R33" s="55">
        <f t="shared" si="2"/>
        <v>10.5</v>
      </c>
      <c r="S33" s="55">
        <f t="shared" si="2"/>
        <v>10.5</v>
      </c>
      <c r="T33" s="55">
        <f t="shared" si="2"/>
        <v>10.5</v>
      </c>
      <c r="U33" s="55">
        <f t="shared" si="2"/>
        <v>10.5</v>
      </c>
      <c r="V33" s="55">
        <f t="shared" si="2"/>
        <v>7</v>
      </c>
      <c r="W33" s="55">
        <f t="shared" si="2"/>
        <v>7</v>
      </c>
      <c r="X33" s="55">
        <f t="shared" si="2"/>
        <v>7</v>
      </c>
      <c r="Y33" s="55">
        <f t="shared" si="2"/>
        <v>3.5</v>
      </c>
      <c r="Z33" s="55">
        <f t="shared" si="2"/>
        <v>3.5</v>
      </c>
      <c r="AA33" s="55">
        <f t="shared" si="2"/>
        <v>3.5</v>
      </c>
      <c r="AB33" s="55">
        <f t="shared" si="2"/>
        <v>3.5</v>
      </c>
      <c r="AC33" s="55">
        <f t="shared" si="2"/>
        <v>3.5</v>
      </c>
      <c r="AD33" s="55">
        <f t="shared" si="2"/>
        <v>0</v>
      </c>
      <c r="AE33" s="55">
        <f t="shared" si="2"/>
        <v>0</v>
      </c>
      <c r="AF33" s="55">
        <f t="shared" si="2"/>
        <v>0</v>
      </c>
      <c r="AG33" s="55">
        <f t="shared" si="2"/>
        <v>0</v>
      </c>
      <c r="AH33" s="55">
        <f t="shared" si="2"/>
        <v>0</v>
      </c>
      <c r="AI33" s="55">
        <f t="shared" si="2"/>
        <v>0</v>
      </c>
      <c r="AJ33" s="55">
        <f t="shared" si="2"/>
        <v>0</v>
      </c>
      <c r="AK33" s="55">
        <f t="shared" si="2"/>
        <v>0</v>
      </c>
      <c r="AL33" s="55">
        <f t="shared" si="2"/>
        <v>0</v>
      </c>
      <c r="AM33" s="55">
        <f t="shared" si="2"/>
        <v>0</v>
      </c>
      <c r="AN33" s="55">
        <f t="shared" si="2"/>
        <v>0</v>
      </c>
    </row>
    <row r="34" spans="1:40" s="54" customFormat="1" ht="13.5" customHeight="1" x14ac:dyDescent="0.3">
      <c r="B34" s="55" t="s">
        <v>114</v>
      </c>
      <c r="C34" s="56"/>
      <c r="D34" s="55">
        <f>D33</f>
        <v>0</v>
      </c>
      <c r="E34" s="55">
        <f t="shared" ref="E34:AN34" si="3">E33+D34</f>
        <v>45.5</v>
      </c>
      <c r="F34" s="55">
        <f t="shared" si="3"/>
        <v>80.5</v>
      </c>
      <c r="G34" s="55">
        <f t="shared" si="3"/>
        <v>108.5</v>
      </c>
      <c r="H34" s="55">
        <f t="shared" si="3"/>
        <v>129.5</v>
      </c>
      <c r="I34" s="55">
        <f t="shared" si="3"/>
        <v>150.5</v>
      </c>
      <c r="J34" s="55">
        <f t="shared" si="3"/>
        <v>168</v>
      </c>
      <c r="K34" s="55">
        <f t="shared" si="3"/>
        <v>185.5</v>
      </c>
      <c r="L34" s="55">
        <f t="shared" si="3"/>
        <v>203</v>
      </c>
      <c r="M34" s="55">
        <f t="shared" si="3"/>
        <v>217</v>
      </c>
      <c r="N34" s="55">
        <f t="shared" si="3"/>
        <v>231</v>
      </c>
      <c r="O34" s="55">
        <f t="shared" si="3"/>
        <v>245</v>
      </c>
      <c r="P34" s="55">
        <f t="shared" si="3"/>
        <v>259</v>
      </c>
      <c r="Q34" s="55">
        <f t="shared" si="3"/>
        <v>269.5</v>
      </c>
      <c r="R34" s="55">
        <f t="shared" si="3"/>
        <v>280</v>
      </c>
      <c r="S34" s="55">
        <f t="shared" si="3"/>
        <v>290.5</v>
      </c>
      <c r="T34" s="55">
        <f t="shared" si="3"/>
        <v>301</v>
      </c>
      <c r="U34" s="55">
        <f t="shared" si="3"/>
        <v>311.5</v>
      </c>
      <c r="V34" s="55">
        <f t="shared" si="3"/>
        <v>318.5</v>
      </c>
      <c r="W34" s="55">
        <f t="shared" si="3"/>
        <v>325.5</v>
      </c>
      <c r="X34" s="55">
        <f t="shared" si="3"/>
        <v>332.5</v>
      </c>
      <c r="Y34" s="55">
        <f t="shared" si="3"/>
        <v>336</v>
      </c>
      <c r="Z34" s="55">
        <f t="shared" si="3"/>
        <v>339.5</v>
      </c>
      <c r="AA34" s="55">
        <f t="shared" si="3"/>
        <v>343</v>
      </c>
      <c r="AB34" s="55">
        <f t="shared" si="3"/>
        <v>346.5</v>
      </c>
      <c r="AC34" s="55">
        <f t="shared" si="3"/>
        <v>350</v>
      </c>
      <c r="AD34" s="55">
        <f t="shared" si="3"/>
        <v>350</v>
      </c>
      <c r="AE34" s="55">
        <f t="shared" si="3"/>
        <v>350</v>
      </c>
      <c r="AF34" s="55">
        <f t="shared" si="3"/>
        <v>350</v>
      </c>
      <c r="AG34" s="55">
        <f t="shared" si="3"/>
        <v>350</v>
      </c>
      <c r="AH34" s="55">
        <f t="shared" si="3"/>
        <v>350</v>
      </c>
      <c r="AI34" s="55">
        <f t="shared" si="3"/>
        <v>350</v>
      </c>
      <c r="AJ34" s="55">
        <f t="shared" si="3"/>
        <v>350</v>
      </c>
      <c r="AK34" s="55">
        <f t="shared" si="3"/>
        <v>350</v>
      </c>
      <c r="AL34" s="55">
        <f t="shared" si="3"/>
        <v>350</v>
      </c>
      <c r="AM34" s="55">
        <f t="shared" si="3"/>
        <v>350</v>
      </c>
      <c r="AN34" s="55">
        <f t="shared" si="3"/>
        <v>350</v>
      </c>
    </row>
    <row r="35" spans="1:40" s="57" customFormat="1" ht="13.5" customHeight="1" x14ac:dyDescent="0.3">
      <c r="B35" s="57" t="s">
        <v>115</v>
      </c>
      <c r="D35" s="57">
        <f>D32*C8</f>
        <v>0</v>
      </c>
      <c r="E35" s="57">
        <f t="shared" ref="E35:AN35" si="4">E32*$C$8</f>
        <v>10465000</v>
      </c>
      <c r="F35" s="57">
        <f t="shared" si="4"/>
        <v>18515000</v>
      </c>
      <c r="G35" s="57">
        <f t="shared" si="4"/>
        <v>24955000</v>
      </c>
      <c r="H35" s="57">
        <f t="shared" si="4"/>
        <v>29785000</v>
      </c>
      <c r="I35" s="57">
        <f t="shared" si="4"/>
        <v>34615000</v>
      </c>
      <c r="J35" s="57">
        <f t="shared" si="4"/>
        <v>38640000</v>
      </c>
      <c r="K35" s="57">
        <f t="shared" si="4"/>
        <v>42665000</v>
      </c>
      <c r="L35" s="57">
        <f t="shared" si="4"/>
        <v>46690000.000000007</v>
      </c>
      <c r="M35" s="57">
        <f t="shared" si="4"/>
        <v>49910000.000000007</v>
      </c>
      <c r="N35" s="57">
        <f t="shared" si="4"/>
        <v>53130000.000000015</v>
      </c>
      <c r="O35" s="57">
        <f t="shared" si="4"/>
        <v>56350000.000000015</v>
      </c>
      <c r="P35" s="57">
        <f t="shared" si="4"/>
        <v>59570000.000000015</v>
      </c>
      <c r="Q35" s="57">
        <f t="shared" si="4"/>
        <v>61985000.000000022</v>
      </c>
      <c r="R35" s="57">
        <f t="shared" si="4"/>
        <v>64400000.000000022</v>
      </c>
      <c r="S35" s="57">
        <f t="shared" si="4"/>
        <v>66815000.000000022</v>
      </c>
      <c r="T35" s="57">
        <f t="shared" si="4"/>
        <v>69230000.00000003</v>
      </c>
      <c r="U35" s="57">
        <f t="shared" si="4"/>
        <v>71645000.00000003</v>
      </c>
      <c r="V35" s="57">
        <f t="shared" si="4"/>
        <v>73255000.00000003</v>
      </c>
      <c r="W35" s="57">
        <f t="shared" si="4"/>
        <v>74865000.00000003</v>
      </c>
      <c r="X35" s="57">
        <f t="shared" si="4"/>
        <v>76475000.00000003</v>
      </c>
      <c r="Y35" s="57">
        <f t="shared" si="4"/>
        <v>77280000.00000003</v>
      </c>
      <c r="Z35" s="57">
        <f t="shared" si="4"/>
        <v>78085000.00000003</v>
      </c>
      <c r="AA35" s="57">
        <f t="shared" si="4"/>
        <v>78890000.00000003</v>
      </c>
      <c r="AB35" s="57">
        <f t="shared" si="4"/>
        <v>79695000.00000003</v>
      </c>
      <c r="AC35" s="57">
        <f t="shared" si="4"/>
        <v>80500000.00000003</v>
      </c>
      <c r="AD35" s="57">
        <f t="shared" si="4"/>
        <v>80500000.00000003</v>
      </c>
      <c r="AE35" s="57">
        <f t="shared" si="4"/>
        <v>80500000.00000003</v>
      </c>
      <c r="AF35" s="57">
        <f t="shared" si="4"/>
        <v>80500000.00000003</v>
      </c>
      <c r="AG35" s="57">
        <f t="shared" si="4"/>
        <v>80500000.00000003</v>
      </c>
      <c r="AH35" s="57">
        <f t="shared" si="4"/>
        <v>80500000.00000003</v>
      </c>
      <c r="AI35" s="57">
        <f t="shared" si="4"/>
        <v>80500000.00000003</v>
      </c>
      <c r="AJ35" s="57">
        <f t="shared" si="4"/>
        <v>80500000.00000003</v>
      </c>
      <c r="AK35" s="57">
        <f t="shared" si="4"/>
        <v>80500000.00000003</v>
      </c>
      <c r="AL35" s="57">
        <f t="shared" si="4"/>
        <v>80500000.00000003</v>
      </c>
      <c r="AM35" s="57">
        <f t="shared" si="4"/>
        <v>80500000.00000003</v>
      </c>
      <c r="AN35" s="57">
        <f t="shared" si="4"/>
        <v>80500000.00000003</v>
      </c>
    </row>
    <row r="36" spans="1:40" ht="13.5" customHeight="1" x14ac:dyDescent="0.3"/>
    <row r="37" spans="1:40" s="47" customFormat="1" ht="13.5" customHeight="1" x14ac:dyDescent="0.3">
      <c r="B37" s="48" t="s">
        <v>116</v>
      </c>
      <c r="C37" s="49"/>
      <c r="D37" s="35">
        <v>0</v>
      </c>
      <c r="E37" s="35">
        <v>0</v>
      </c>
      <c r="F37" s="35">
        <v>0</v>
      </c>
      <c r="G37" s="35">
        <v>0</v>
      </c>
      <c r="H37" s="35">
        <v>0.02</v>
      </c>
      <c r="I37" s="35">
        <v>0.03</v>
      </c>
      <c r="J37" s="35">
        <v>0.04</v>
      </c>
      <c r="K37" s="35">
        <v>0.05</v>
      </c>
      <c r="L37" s="35">
        <v>0.06</v>
      </c>
      <c r="M37" s="35">
        <v>7.0000000000000007E-2</v>
      </c>
      <c r="N37" s="35">
        <v>0.08</v>
      </c>
      <c r="O37" s="35">
        <v>0.08</v>
      </c>
      <c r="P37" s="35">
        <v>0.09</v>
      </c>
      <c r="Q37" s="35">
        <v>0.09</v>
      </c>
      <c r="R37" s="35">
        <v>0.08</v>
      </c>
      <c r="S37" s="35">
        <v>0.08</v>
      </c>
      <c r="T37" s="35">
        <v>7.0000000000000007E-2</v>
      </c>
      <c r="U37" s="35">
        <v>0.06</v>
      </c>
      <c r="V37" s="35">
        <v>0.05</v>
      </c>
      <c r="W37" s="35">
        <v>0.03</v>
      </c>
      <c r="X37" s="35">
        <v>0.01</v>
      </c>
      <c r="Y37" s="35">
        <v>0.01</v>
      </c>
      <c r="Z37" s="35">
        <v>0</v>
      </c>
      <c r="AA37" s="35">
        <v>0</v>
      </c>
      <c r="AB37" s="35">
        <v>0</v>
      </c>
      <c r="AC37" s="35">
        <v>0</v>
      </c>
      <c r="AD37" s="35">
        <v>0</v>
      </c>
      <c r="AE37" s="35">
        <v>0</v>
      </c>
      <c r="AF37" s="35">
        <v>0</v>
      </c>
      <c r="AG37" s="35">
        <v>0</v>
      </c>
      <c r="AH37" s="35">
        <v>0</v>
      </c>
      <c r="AI37" s="35">
        <v>0</v>
      </c>
      <c r="AJ37" s="35">
        <v>0</v>
      </c>
      <c r="AK37" s="35">
        <v>0</v>
      </c>
      <c r="AL37" s="35">
        <v>0</v>
      </c>
      <c r="AM37" s="35">
        <v>0</v>
      </c>
      <c r="AN37" s="35">
        <v>0</v>
      </c>
    </row>
    <row r="38" spans="1:40" s="51" customFormat="1" ht="13.5" customHeight="1" x14ac:dyDescent="0.3">
      <c r="B38" s="52" t="s">
        <v>117</v>
      </c>
      <c r="C38" s="53"/>
      <c r="D38" s="52">
        <f>D37</f>
        <v>0</v>
      </c>
      <c r="E38" s="52">
        <f t="shared" ref="E38:AN38" si="5">E37+D38</f>
        <v>0</v>
      </c>
      <c r="F38" s="52">
        <f t="shared" si="5"/>
        <v>0</v>
      </c>
      <c r="G38" s="52">
        <f t="shared" si="5"/>
        <v>0</v>
      </c>
      <c r="H38" s="52">
        <f t="shared" si="5"/>
        <v>0.02</v>
      </c>
      <c r="I38" s="52">
        <f t="shared" si="5"/>
        <v>0.05</v>
      </c>
      <c r="J38" s="52">
        <f t="shared" si="5"/>
        <v>0.09</v>
      </c>
      <c r="K38" s="52">
        <f t="shared" si="5"/>
        <v>0.14000000000000001</v>
      </c>
      <c r="L38" s="52">
        <f t="shared" si="5"/>
        <v>0.2</v>
      </c>
      <c r="M38" s="52">
        <f t="shared" si="5"/>
        <v>0.27</v>
      </c>
      <c r="N38" s="52">
        <f t="shared" si="5"/>
        <v>0.35000000000000003</v>
      </c>
      <c r="O38" s="52">
        <f t="shared" si="5"/>
        <v>0.43000000000000005</v>
      </c>
      <c r="P38" s="52">
        <f t="shared" si="5"/>
        <v>0.52</v>
      </c>
      <c r="Q38" s="52">
        <f t="shared" si="5"/>
        <v>0.61</v>
      </c>
      <c r="R38" s="52">
        <f t="shared" si="5"/>
        <v>0.69</v>
      </c>
      <c r="S38" s="52">
        <f t="shared" si="5"/>
        <v>0.76999999999999991</v>
      </c>
      <c r="T38" s="52">
        <f t="shared" si="5"/>
        <v>0.83999999999999986</v>
      </c>
      <c r="U38" s="52">
        <f t="shared" si="5"/>
        <v>0.89999999999999991</v>
      </c>
      <c r="V38" s="52">
        <f t="shared" si="5"/>
        <v>0.95</v>
      </c>
      <c r="W38" s="52">
        <f t="shared" si="5"/>
        <v>0.98</v>
      </c>
      <c r="X38" s="52">
        <f t="shared" si="5"/>
        <v>0.99</v>
      </c>
      <c r="Y38" s="52">
        <f t="shared" si="5"/>
        <v>1</v>
      </c>
      <c r="Z38" s="52">
        <f t="shared" si="5"/>
        <v>1</v>
      </c>
      <c r="AA38" s="52">
        <f t="shared" si="5"/>
        <v>1</v>
      </c>
      <c r="AB38" s="52">
        <f t="shared" si="5"/>
        <v>1</v>
      </c>
      <c r="AC38" s="52">
        <f t="shared" si="5"/>
        <v>1</v>
      </c>
      <c r="AD38" s="52">
        <f t="shared" si="5"/>
        <v>1</v>
      </c>
      <c r="AE38" s="52">
        <f t="shared" si="5"/>
        <v>1</v>
      </c>
      <c r="AF38" s="52">
        <f t="shared" si="5"/>
        <v>1</v>
      </c>
      <c r="AG38" s="52">
        <f t="shared" si="5"/>
        <v>1</v>
      </c>
      <c r="AH38" s="52">
        <f t="shared" si="5"/>
        <v>1</v>
      </c>
      <c r="AI38" s="52">
        <f t="shared" si="5"/>
        <v>1</v>
      </c>
      <c r="AJ38" s="52">
        <f t="shared" si="5"/>
        <v>1</v>
      </c>
      <c r="AK38" s="52">
        <f t="shared" si="5"/>
        <v>1</v>
      </c>
      <c r="AL38" s="52">
        <f t="shared" si="5"/>
        <v>1</v>
      </c>
      <c r="AM38" s="52">
        <f t="shared" si="5"/>
        <v>1</v>
      </c>
      <c r="AN38" s="52">
        <f t="shared" si="5"/>
        <v>1</v>
      </c>
    </row>
    <row r="39" spans="1:40" s="58" customFormat="1" ht="13.5" hidden="1" customHeight="1" x14ac:dyDescent="0.25">
      <c r="B39" s="58" t="s">
        <v>118</v>
      </c>
      <c r="D39" s="58">
        <v>0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58">
        <v>0</v>
      </c>
      <c r="Z39" s="58">
        <v>0</v>
      </c>
      <c r="AA39" s="58">
        <v>0</v>
      </c>
      <c r="AB39" s="58">
        <v>0</v>
      </c>
      <c r="AC39" s="58">
        <v>0</v>
      </c>
      <c r="AD39" s="58">
        <v>0</v>
      </c>
      <c r="AE39" s="58">
        <v>0</v>
      </c>
      <c r="AF39" s="58">
        <v>0</v>
      </c>
      <c r="AG39" s="58">
        <v>0</v>
      </c>
      <c r="AH39" s="58">
        <v>0</v>
      </c>
      <c r="AI39" s="58">
        <v>0</v>
      </c>
      <c r="AJ39" s="58">
        <v>0</v>
      </c>
      <c r="AK39" s="58">
        <v>0</v>
      </c>
      <c r="AL39" s="58">
        <v>0</v>
      </c>
      <c r="AM39" s="58">
        <v>0</v>
      </c>
      <c r="AN39" s="58">
        <v>0</v>
      </c>
    </row>
    <row r="40" spans="1:40" s="57" customFormat="1" ht="13.5" customHeight="1" x14ac:dyDescent="0.3">
      <c r="B40" s="57" t="s">
        <v>119</v>
      </c>
      <c r="D40" s="57">
        <f t="shared" ref="D40:AN40" si="6">$C$15*$C$8/37</f>
        <v>217567.56756756757</v>
      </c>
      <c r="E40" s="57">
        <f t="shared" si="6"/>
        <v>217567.56756756757</v>
      </c>
      <c r="F40" s="57">
        <f t="shared" si="6"/>
        <v>217567.56756756757</v>
      </c>
      <c r="G40" s="57">
        <f t="shared" si="6"/>
        <v>217567.56756756757</v>
      </c>
      <c r="H40" s="57">
        <f t="shared" si="6"/>
        <v>217567.56756756757</v>
      </c>
      <c r="I40" s="57">
        <f t="shared" si="6"/>
        <v>217567.56756756757</v>
      </c>
      <c r="J40" s="57">
        <f t="shared" si="6"/>
        <v>217567.56756756757</v>
      </c>
      <c r="K40" s="57">
        <f t="shared" si="6"/>
        <v>217567.56756756757</v>
      </c>
      <c r="L40" s="57">
        <f t="shared" si="6"/>
        <v>217567.56756756757</v>
      </c>
      <c r="M40" s="57">
        <f t="shared" si="6"/>
        <v>217567.56756756757</v>
      </c>
      <c r="N40" s="57">
        <f t="shared" si="6"/>
        <v>217567.56756756757</v>
      </c>
      <c r="O40" s="57">
        <f t="shared" si="6"/>
        <v>217567.56756756757</v>
      </c>
      <c r="P40" s="57">
        <f t="shared" si="6"/>
        <v>217567.56756756757</v>
      </c>
      <c r="Q40" s="57">
        <f t="shared" si="6"/>
        <v>217567.56756756757</v>
      </c>
      <c r="R40" s="57">
        <f t="shared" si="6"/>
        <v>217567.56756756757</v>
      </c>
      <c r="S40" s="57">
        <f t="shared" si="6"/>
        <v>217567.56756756757</v>
      </c>
      <c r="T40" s="57">
        <f t="shared" si="6"/>
        <v>217567.56756756757</v>
      </c>
      <c r="U40" s="57">
        <f t="shared" si="6"/>
        <v>217567.56756756757</v>
      </c>
      <c r="V40" s="57">
        <f t="shared" si="6"/>
        <v>217567.56756756757</v>
      </c>
      <c r="W40" s="57">
        <f t="shared" si="6"/>
        <v>217567.56756756757</v>
      </c>
      <c r="X40" s="57">
        <f t="shared" si="6"/>
        <v>217567.56756756757</v>
      </c>
      <c r="Y40" s="57">
        <f t="shared" si="6"/>
        <v>217567.56756756757</v>
      </c>
      <c r="Z40" s="57">
        <f t="shared" si="6"/>
        <v>217567.56756756757</v>
      </c>
      <c r="AA40" s="57">
        <f t="shared" si="6"/>
        <v>217567.56756756757</v>
      </c>
      <c r="AB40" s="57">
        <f t="shared" si="6"/>
        <v>217567.56756756757</v>
      </c>
      <c r="AC40" s="57">
        <f t="shared" si="6"/>
        <v>217567.56756756757</v>
      </c>
      <c r="AD40" s="57">
        <f t="shared" si="6"/>
        <v>217567.56756756757</v>
      </c>
      <c r="AE40" s="57">
        <f t="shared" si="6"/>
        <v>217567.56756756757</v>
      </c>
      <c r="AF40" s="57">
        <f t="shared" si="6"/>
        <v>217567.56756756757</v>
      </c>
      <c r="AG40" s="57">
        <f t="shared" si="6"/>
        <v>217567.56756756757</v>
      </c>
      <c r="AH40" s="57">
        <f t="shared" si="6"/>
        <v>217567.56756756757</v>
      </c>
      <c r="AI40" s="57">
        <f t="shared" si="6"/>
        <v>217567.56756756757</v>
      </c>
      <c r="AJ40" s="57">
        <f t="shared" si="6"/>
        <v>217567.56756756757</v>
      </c>
      <c r="AK40" s="57">
        <f t="shared" si="6"/>
        <v>217567.56756756757</v>
      </c>
      <c r="AL40" s="57">
        <f t="shared" si="6"/>
        <v>217567.56756756757</v>
      </c>
      <c r="AM40" s="57">
        <f t="shared" si="6"/>
        <v>217567.56756756757</v>
      </c>
      <c r="AN40" s="57">
        <f t="shared" si="6"/>
        <v>217567.56756756757</v>
      </c>
    </row>
    <row r="41" spans="1:40" s="57" customFormat="1" ht="13.5" customHeight="1" x14ac:dyDescent="0.3">
      <c r="A41" s="58"/>
      <c r="B41" s="59" t="s">
        <v>120</v>
      </c>
      <c r="C41" s="58"/>
      <c r="D41" s="57">
        <f t="shared" ref="D41:AN41" si="7">D40+(D39*$C$8)+(D37*$C$16*$C$9)</f>
        <v>217567.56756756757</v>
      </c>
      <c r="E41" s="57">
        <f t="shared" si="7"/>
        <v>217567.56756756757</v>
      </c>
      <c r="F41" s="57">
        <f t="shared" si="7"/>
        <v>217567.56756756757</v>
      </c>
      <c r="G41" s="57">
        <f t="shared" si="7"/>
        <v>217567.56756756757</v>
      </c>
      <c r="H41" s="57">
        <f t="shared" si="7"/>
        <v>1038667.5675675676</v>
      </c>
      <c r="I41" s="57">
        <f t="shared" si="7"/>
        <v>1449217.5675675676</v>
      </c>
      <c r="J41" s="57">
        <f t="shared" si="7"/>
        <v>1859767.5675675676</v>
      </c>
      <c r="K41" s="57">
        <f t="shared" si="7"/>
        <v>2270317.5675675673</v>
      </c>
      <c r="L41" s="57">
        <f t="shared" si="7"/>
        <v>2680867.5675675673</v>
      </c>
      <c r="M41" s="57">
        <f t="shared" si="7"/>
        <v>3091417.5675675673</v>
      </c>
      <c r="N41" s="57">
        <f t="shared" si="7"/>
        <v>3501967.5675675673</v>
      </c>
      <c r="O41" s="57">
        <f t="shared" si="7"/>
        <v>3501967.5675675673</v>
      </c>
      <c r="P41" s="57">
        <f t="shared" si="7"/>
        <v>3912517.5675675673</v>
      </c>
      <c r="Q41" s="57">
        <f t="shared" si="7"/>
        <v>3912517.5675675673</v>
      </c>
      <c r="R41" s="57">
        <f t="shared" si="7"/>
        <v>3501967.5675675673</v>
      </c>
      <c r="S41" s="57">
        <f t="shared" si="7"/>
        <v>3501967.5675675673</v>
      </c>
      <c r="T41" s="57">
        <f t="shared" si="7"/>
        <v>3091417.5675675673</v>
      </c>
      <c r="U41" s="57">
        <f t="shared" si="7"/>
        <v>2680867.5675675673</v>
      </c>
      <c r="V41" s="57">
        <f t="shared" si="7"/>
        <v>2270317.5675675673</v>
      </c>
      <c r="W41" s="57">
        <f t="shared" si="7"/>
        <v>1449217.5675675676</v>
      </c>
      <c r="X41" s="57">
        <f t="shared" si="7"/>
        <v>628117.56756756757</v>
      </c>
      <c r="Y41" s="57">
        <f t="shared" si="7"/>
        <v>628117.56756756757</v>
      </c>
      <c r="Z41" s="57">
        <f t="shared" si="7"/>
        <v>217567.56756756757</v>
      </c>
      <c r="AA41" s="57">
        <f t="shared" si="7"/>
        <v>217567.56756756757</v>
      </c>
      <c r="AB41" s="57">
        <f t="shared" si="7"/>
        <v>217567.56756756757</v>
      </c>
      <c r="AC41" s="57">
        <f t="shared" si="7"/>
        <v>217567.56756756757</v>
      </c>
      <c r="AD41" s="57">
        <f t="shared" si="7"/>
        <v>217567.56756756757</v>
      </c>
      <c r="AE41" s="57">
        <f t="shared" si="7"/>
        <v>217567.56756756757</v>
      </c>
      <c r="AF41" s="57">
        <f t="shared" si="7"/>
        <v>217567.56756756757</v>
      </c>
      <c r="AG41" s="57">
        <f t="shared" si="7"/>
        <v>217567.56756756757</v>
      </c>
      <c r="AH41" s="57">
        <f t="shared" si="7"/>
        <v>217567.56756756757</v>
      </c>
      <c r="AI41" s="57">
        <f t="shared" si="7"/>
        <v>217567.56756756757</v>
      </c>
      <c r="AJ41" s="57">
        <f t="shared" si="7"/>
        <v>217567.56756756757</v>
      </c>
      <c r="AK41" s="57">
        <f t="shared" si="7"/>
        <v>217567.56756756757</v>
      </c>
      <c r="AL41" s="57">
        <f t="shared" si="7"/>
        <v>217567.56756756757</v>
      </c>
      <c r="AM41" s="57">
        <f t="shared" si="7"/>
        <v>217567.56756756757</v>
      </c>
      <c r="AN41" s="57">
        <f t="shared" si="7"/>
        <v>217567.56756756757</v>
      </c>
    </row>
    <row r="42" spans="1:40" s="57" customFormat="1" ht="13.5" customHeight="1" x14ac:dyDescent="0.3">
      <c r="A42" s="58"/>
      <c r="B42" s="59" t="s">
        <v>121</v>
      </c>
      <c r="C42" s="58"/>
      <c r="D42" s="57">
        <f>D41</f>
        <v>217567.56756756757</v>
      </c>
      <c r="E42" s="57">
        <f t="shared" ref="E42:AN42" si="8">E41+D42</f>
        <v>435135.13513513515</v>
      </c>
      <c r="F42" s="57">
        <f t="shared" si="8"/>
        <v>652702.70270270272</v>
      </c>
      <c r="G42" s="57">
        <f t="shared" si="8"/>
        <v>870270.2702702703</v>
      </c>
      <c r="H42" s="57">
        <f t="shared" si="8"/>
        <v>1908937.8378378379</v>
      </c>
      <c r="I42" s="57">
        <f t="shared" si="8"/>
        <v>3358155.4054054054</v>
      </c>
      <c r="J42" s="57">
        <f t="shared" si="8"/>
        <v>5217922.9729729732</v>
      </c>
      <c r="K42" s="57">
        <f t="shared" si="8"/>
        <v>7488240.5405405406</v>
      </c>
      <c r="L42" s="57">
        <f t="shared" si="8"/>
        <v>10169108.108108107</v>
      </c>
      <c r="M42" s="57">
        <f t="shared" si="8"/>
        <v>13260525.675675675</v>
      </c>
      <c r="N42" s="57">
        <f t="shared" si="8"/>
        <v>16762493.243243244</v>
      </c>
      <c r="O42" s="57">
        <f t="shared" si="8"/>
        <v>20264460.810810812</v>
      </c>
      <c r="P42" s="57">
        <f t="shared" si="8"/>
        <v>24176978.37837838</v>
      </c>
      <c r="Q42" s="57">
        <f t="shared" si="8"/>
        <v>28089495.945945948</v>
      </c>
      <c r="R42" s="57">
        <f t="shared" si="8"/>
        <v>31591463.513513517</v>
      </c>
      <c r="S42" s="57">
        <f t="shared" si="8"/>
        <v>35093431.081081085</v>
      </c>
      <c r="T42" s="57">
        <f t="shared" si="8"/>
        <v>38184848.648648649</v>
      </c>
      <c r="U42" s="57">
        <f t="shared" si="8"/>
        <v>40865716.216216214</v>
      </c>
      <c r="V42" s="57">
        <f t="shared" si="8"/>
        <v>43136033.783783779</v>
      </c>
      <c r="W42" s="57">
        <f t="shared" si="8"/>
        <v>44585251.351351343</v>
      </c>
      <c r="X42" s="57">
        <f t="shared" si="8"/>
        <v>45213368.918918908</v>
      </c>
      <c r="Y42" s="57">
        <f t="shared" si="8"/>
        <v>45841486.486486472</v>
      </c>
      <c r="Z42" s="57">
        <f t="shared" si="8"/>
        <v>46059054.054054037</v>
      </c>
      <c r="AA42" s="57">
        <f t="shared" si="8"/>
        <v>46276621.621621601</v>
      </c>
      <c r="AB42" s="57">
        <f t="shared" si="8"/>
        <v>46494189.189189166</v>
      </c>
      <c r="AC42" s="57">
        <f t="shared" si="8"/>
        <v>46711756.75675673</v>
      </c>
      <c r="AD42" s="57">
        <f t="shared" si="8"/>
        <v>46929324.324324295</v>
      </c>
      <c r="AE42" s="57">
        <f t="shared" si="8"/>
        <v>47146891.891891859</v>
      </c>
      <c r="AF42" s="57">
        <f t="shared" si="8"/>
        <v>47364459.459459424</v>
      </c>
      <c r="AG42" s="57">
        <f t="shared" si="8"/>
        <v>47582027.027026989</v>
      </c>
      <c r="AH42" s="57">
        <f t="shared" si="8"/>
        <v>47799594.594594553</v>
      </c>
      <c r="AI42" s="57">
        <f t="shared" si="8"/>
        <v>48017162.162162118</v>
      </c>
      <c r="AJ42" s="57">
        <f t="shared" si="8"/>
        <v>48234729.729729682</v>
      </c>
      <c r="AK42" s="57">
        <f t="shared" si="8"/>
        <v>48452297.297297247</v>
      </c>
      <c r="AL42" s="57">
        <f t="shared" si="8"/>
        <v>48669864.864864811</v>
      </c>
      <c r="AM42" s="57">
        <f t="shared" si="8"/>
        <v>48887432.432432376</v>
      </c>
      <c r="AN42" s="57">
        <f t="shared" si="8"/>
        <v>49104999.99999994</v>
      </c>
    </row>
    <row r="43" spans="1:40" ht="13.5" customHeight="1" x14ac:dyDescent="0.3"/>
    <row r="44" spans="1:40" s="51" customFormat="1" ht="13.5" customHeight="1" x14ac:dyDescent="0.3">
      <c r="B44" s="60" t="s">
        <v>122</v>
      </c>
      <c r="C44" s="49"/>
      <c r="D44" s="59">
        <f t="shared" ref="D44:AN44" si="9">D42/$E$11</f>
        <v>4.430660168365087E-3</v>
      </c>
      <c r="E44" s="59">
        <f t="shared" si="9"/>
        <v>8.8613203367301739E-3</v>
      </c>
      <c r="F44" s="59">
        <f t="shared" si="9"/>
        <v>1.3291980505095259E-2</v>
      </c>
      <c r="G44" s="59">
        <f t="shared" si="9"/>
        <v>1.7722640673460348E-2</v>
      </c>
      <c r="H44" s="59">
        <f t="shared" si="9"/>
        <v>3.8874612317235269E-2</v>
      </c>
      <c r="I44" s="59">
        <f t="shared" si="9"/>
        <v>6.8387239698715116E-2</v>
      </c>
      <c r="J44" s="59">
        <f t="shared" si="9"/>
        <v>0.10626052281789987</v>
      </c>
      <c r="K44" s="59">
        <f t="shared" si="9"/>
        <v>0.15249446167478956</v>
      </c>
      <c r="L44" s="59">
        <f t="shared" si="9"/>
        <v>0.20708905626938412</v>
      </c>
      <c r="M44" s="59">
        <f t="shared" si="9"/>
        <v>0.27004430660168366</v>
      </c>
      <c r="N44" s="59">
        <f t="shared" si="9"/>
        <v>0.34136021267168809</v>
      </c>
      <c r="O44" s="59">
        <f t="shared" si="9"/>
        <v>0.41267611874169252</v>
      </c>
      <c r="P44" s="59">
        <f t="shared" si="9"/>
        <v>0.4923526805494019</v>
      </c>
      <c r="Q44" s="59">
        <f t="shared" si="9"/>
        <v>0.57202924235711128</v>
      </c>
      <c r="R44" s="59">
        <f t="shared" si="9"/>
        <v>0.64334514842711565</v>
      </c>
      <c r="S44" s="59">
        <f t="shared" si="9"/>
        <v>0.71466105449712014</v>
      </c>
      <c r="T44" s="59">
        <f t="shared" si="9"/>
        <v>0.77761630482941957</v>
      </c>
      <c r="U44" s="59">
        <f t="shared" si="9"/>
        <v>0.83221089942401416</v>
      </c>
      <c r="V44" s="59">
        <f t="shared" si="9"/>
        <v>0.87844483828090369</v>
      </c>
      <c r="W44" s="59">
        <f t="shared" si="9"/>
        <v>0.90795746566238356</v>
      </c>
      <c r="X44" s="59">
        <f t="shared" si="9"/>
        <v>0.92074878156845352</v>
      </c>
      <c r="Y44" s="59">
        <f t="shared" si="9"/>
        <v>0.93354009747452338</v>
      </c>
      <c r="Z44" s="59">
        <f t="shared" si="9"/>
        <v>0.9379707576428884</v>
      </c>
      <c r="AA44" s="59">
        <f t="shared" si="9"/>
        <v>0.94240141781125342</v>
      </c>
      <c r="AB44" s="59">
        <f t="shared" si="9"/>
        <v>0.94683207797961844</v>
      </c>
      <c r="AC44" s="59">
        <f t="shared" si="9"/>
        <v>0.95126273814798357</v>
      </c>
      <c r="AD44" s="59">
        <f t="shared" si="9"/>
        <v>0.95569339831634859</v>
      </c>
      <c r="AE44" s="59">
        <f t="shared" si="9"/>
        <v>0.96012405848471361</v>
      </c>
      <c r="AF44" s="59">
        <f t="shared" si="9"/>
        <v>0.96455471865307862</v>
      </c>
      <c r="AG44" s="59">
        <f t="shared" si="9"/>
        <v>0.96898537882144364</v>
      </c>
      <c r="AH44" s="59">
        <f t="shared" si="9"/>
        <v>0.97341603898980866</v>
      </c>
      <c r="AI44" s="59">
        <f t="shared" si="9"/>
        <v>0.97784669915817368</v>
      </c>
      <c r="AJ44" s="59">
        <f t="shared" si="9"/>
        <v>0.9822773593265387</v>
      </c>
      <c r="AK44" s="59">
        <f t="shared" si="9"/>
        <v>0.98670801949490372</v>
      </c>
      <c r="AL44" s="59">
        <f t="shared" si="9"/>
        <v>0.99113867966326874</v>
      </c>
      <c r="AM44" s="59">
        <f t="shared" si="9"/>
        <v>0.99556933983163376</v>
      </c>
      <c r="AN44" s="59">
        <f t="shared" si="9"/>
        <v>0.99999999999999878</v>
      </c>
    </row>
    <row r="45" spans="1:40" s="51" customFormat="1" ht="13.5" customHeight="1" x14ac:dyDescent="0.3">
      <c r="B45" s="52" t="s">
        <v>123</v>
      </c>
      <c r="C45" s="53"/>
      <c r="D45" s="52">
        <f>D44</f>
        <v>4.430660168365087E-3</v>
      </c>
      <c r="E45" s="52">
        <f t="shared" ref="E45:AN45" si="10">E44-D44</f>
        <v>4.430660168365087E-3</v>
      </c>
      <c r="F45" s="52">
        <f t="shared" si="10"/>
        <v>4.4306601683650852E-3</v>
      </c>
      <c r="G45" s="52">
        <f t="shared" si="10"/>
        <v>4.4306601683650887E-3</v>
      </c>
      <c r="H45" s="52">
        <f t="shared" si="10"/>
        <v>2.1151971643774921E-2</v>
      </c>
      <c r="I45" s="52">
        <f t="shared" si="10"/>
        <v>2.9512627381479847E-2</v>
      </c>
      <c r="J45" s="52">
        <f t="shared" si="10"/>
        <v>3.7873283119184753E-2</v>
      </c>
      <c r="K45" s="52">
        <f t="shared" si="10"/>
        <v>4.6233938856889686E-2</v>
      </c>
      <c r="L45" s="52">
        <f t="shared" si="10"/>
        <v>5.4594594594594564E-2</v>
      </c>
      <c r="M45" s="52">
        <f t="shared" si="10"/>
        <v>6.2955250332299539E-2</v>
      </c>
      <c r="N45" s="52">
        <f t="shared" si="10"/>
        <v>7.1315906070004431E-2</v>
      </c>
      <c r="O45" s="52">
        <f t="shared" si="10"/>
        <v>7.1315906070004431E-2</v>
      </c>
      <c r="P45" s="52">
        <f t="shared" si="10"/>
        <v>7.9676561807709378E-2</v>
      </c>
      <c r="Q45" s="52">
        <f t="shared" si="10"/>
        <v>7.9676561807709378E-2</v>
      </c>
      <c r="R45" s="52">
        <f t="shared" si="10"/>
        <v>7.1315906070004376E-2</v>
      </c>
      <c r="S45" s="52">
        <f t="shared" si="10"/>
        <v>7.1315906070004487E-2</v>
      </c>
      <c r="T45" s="52">
        <f t="shared" si="10"/>
        <v>6.2955250332299428E-2</v>
      </c>
      <c r="U45" s="52">
        <f t="shared" si="10"/>
        <v>5.4594594594594592E-2</v>
      </c>
      <c r="V45" s="52">
        <f t="shared" si="10"/>
        <v>4.6233938856889534E-2</v>
      </c>
      <c r="W45" s="52">
        <f t="shared" si="10"/>
        <v>2.9512627381479861E-2</v>
      </c>
      <c r="X45" s="52">
        <f t="shared" si="10"/>
        <v>1.2791315906069967E-2</v>
      </c>
      <c r="Y45" s="52">
        <f t="shared" si="10"/>
        <v>1.2791315906069856E-2</v>
      </c>
      <c r="Z45" s="52">
        <f t="shared" si="10"/>
        <v>4.4306601683650193E-3</v>
      </c>
      <c r="AA45" s="52">
        <f t="shared" si="10"/>
        <v>4.4306601683650193E-3</v>
      </c>
      <c r="AB45" s="52">
        <f t="shared" si="10"/>
        <v>4.4306601683650193E-3</v>
      </c>
      <c r="AC45" s="52">
        <f t="shared" si="10"/>
        <v>4.4306601683651303E-3</v>
      </c>
      <c r="AD45" s="52">
        <f t="shared" si="10"/>
        <v>4.4306601683650193E-3</v>
      </c>
      <c r="AE45" s="52">
        <f t="shared" si="10"/>
        <v>4.4306601683650193E-3</v>
      </c>
      <c r="AF45" s="52">
        <f t="shared" si="10"/>
        <v>4.4306601683650193E-3</v>
      </c>
      <c r="AG45" s="52">
        <f t="shared" si="10"/>
        <v>4.4306601683650193E-3</v>
      </c>
      <c r="AH45" s="52">
        <f t="shared" si="10"/>
        <v>4.4306601683650193E-3</v>
      </c>
      <c r="AI45" s="52">
        <f t="shared" si="10"/>
        <v>4.4306601683650193E-3</v>
      </c>
      <c r="AJ45" s="52">
        <f t="shared" si="10"/>
        <v>4.4306601683650193E-3</v>
      </c>
      <c r="AK45" s="52">
        <f t="shared" si="10"/>
        <v>4.4306601683650193E-3</v>
      </c>
      <c r="AL45" s="52">
        <f t="shared" si="10"/>
        <v>4.4306601683650193E-3</v>
      </c>
      <c r="AM45" s="52">
        <f t="shared" si="10"/>
        <v>4.4306601683650193E-3</v>
      </c>
      <c r="AN45" s="52">
        <f t="shared" si="10"/>
        <v>4.4306601683650193E-3</v>
      </c>
    </row>
    <row r="46" spans="1:40" s="57" customFormat="1" ht="13.5" customHeight="1" x14ac:dyDescent="0.3">
      <c r="B46" s="57" t="s">
        <v>124</v>
      </c>
      <c r="D46" s="57">
        <f t="shared" ref="D46:AN46" si="11">D44*$C$11*D32</f>
        <v>0</v>
      </c>
      <c r="E46" s="57">
        <f t="shared" si="11"/>
        <v>89024.368630926023</v>
      </c>
      <c r="F46" s="57">
        <f t="shared" si="11"/>
        <v>236256.97828976519</v>
      </c>
      <c r="G46" s="57">
        <f t="shared" si="11"/>
        <v>424577.75808595488</v>
      </c>
      <c r="H46" s="57">
        <f t="shared" si="11"/>
        <v>1111565.1147540982</v>
      </c>
      <c r="I46" s="57">
        <f t="shared" si="11"/>
        <v>2272535.3300841828</v>
      </c>
      <c r="J46" s="57">
        <f t="shared" si="11"/>
        <v>3941670.3376163049</v>
      </c>
      <c r="K46" s="57">
        <f t="shared" si="11"/>
        <v>6245929.1590607008</v>
      </c>
      <c r="L46" s="57">
        <f t="shared" si="11"/>
        <v>9282228.5157288443</v>
      </c>
      <c r="M46" s="57">
        <f t="shared" si="11"/>
        <v>12938794.888790432</v>
      </c>
      <c r="N46" s="57">
        <f t="shared" si="11"/>
        <v>17411009.375276919</v>
      </c>
      <c r="O46" s="57">
        <f t="shared" si="11"/>
        <v>22324127.319450602</v>
      </c>
      <c r="P46" s="57">
        <f t="shared" si="11"/>
        <v>28156271.213114765</v>
      </c>
      <c r="Q46" s="57">
        <f t="shared" si="11"/>
        <v>34038943.284005329</v>
      </c>
      <c r="R46" s="57">
        <f t="shared" si="11"/>
        <v>39774170.456358008</v>
      </c>
      <c r="S46" s="57">
        <f t="shared" si="11"/>
        <v>45840075.221976094</v>
      </c>
      <c r="T46" s="57">
        <f t="shared" si="11"/>
        <v>51681001.712007105</v>
      </c>
      <c r="U46" s="57">
        <f t="shared" si="11"/>
        <v>57238799.893664181</v>
      </c>
      <c r="V46" s="57">
        <f t="shared" si="11"/>
        <v>61776457.56313692</v>
      </c>
      <c r="W46" s="57">
        <f t="shared" si="11"/>
        <v>65255266.240141802</v>
      </c>
      <c r="X46" s="57">
        <f t="shared" si="11"/>
        <v>67597692.54762961</v>
      </c>
      <c r="Y46" s="57">
        <f t="shared" si="11"/>
        <v>69258219.583517954</v>
      </c>
      <c r="Z46" s="57">
        <f t="shared" si="11"/>
        <v>70311788.746123165</v>
      </c>
      <c r="AA46" s="57">
        <f t="shared" si="11"/>
        <v>71372205.93708463</v>
      </c>
      <c r="AB46" s="57">
        <f t="shared" si="11"/>
        <v>72439471.15640229</v>
      </c>
      <c r="AC46" s="57">
        <f t="shared" si="11"/>
        <v>73513584.404076204</v>
      </c>
      <c r="AD46" s="57">
        <f t="shared" si="11"/>
        <v>73855985.821887448</v>
      </c>
      <c r="AE46" s="57">
        <f t="shared" si="11"/>
        <v>74198387.239698693</v>
      </c>
      <c r="AF46" s="57">
        <f t="shared" si="11"/>
        <v>74540788.657509953</v>
      </c>
      <c r="AG46" s="57">
        <f t="shared" si="11"/>
        <v>74883190.075321198</v>
      </c>
      <c r="AH46" s="57">
        <f t="shared" si="11"/>
        <v>75225591.493132442</v>
      </c>
      <c r="AI46" s="57">
        <f t="shared" si="11"/>
        <v>75567992.910943687</v>
      </c>
      <c r="AJ46" s="57">
        <f t="shared" si="11"/>
        <v>75910394.328754947</v>
      </c>
      <c r="AK46" s="57">
        <f t="shared" si="11"/>
        <v>76252795.746566191</v>
      </c>
      <c r="AL46" s="57">
        <f t="shared" si="11"/>
        <v>76595197.164377436</v>
      </c>
      <c r="AM46" s="57">
        <f t="shared" si="11"/>
        <v>76937598.582188681</v>
      </c>
      <c r="AN46" s="57">
        <f t="shared" si="11"/>
        <v>77279999.99999994</v>
      </c>
    </row>
    <row r="47" spans="1:40" s="57" customFormat="1" ht="13.5" customHeight="1" x14ac:dyDescent="0.3">
      <c r="B47" s="57" t="s">
        <v>125</v>
      </c>
      <c r="D47" s="57">
        <f>D46</f>
        <v>0</v>
      </c>
      <c r="E47" s="57">
        <f t="shared" ref="E47:AN47" si="12">E46-D46</f>
        <v>89024.368630926023</v>
      </c>
      <c r="F47" s="57">
        <f t="shared" si="12"/>
        <v>147232.60965883918</v>
      </c>
      <c r="G47" s="57">
        <f t="shared" si="12"/>
        <v>188320.77979618969</v>
      </c>
      <c r="H47" s="57">
        <f t="shared" si="12"/>
        <v>686987.3566681433</v>
      </c>
      <c r="I47" s="57">
        <f t="shared" si="12"/>
        <v>1160970.2153300846</v>
      </c>
      <c r="J47" s="57">
        <f t="shared" si="12"/>
        <v>1669135.0075321221</v>
      </c>
      <c r="K47" s="57">
        <f t="shared" si="12"/>
        <v>2304258.8214443959</v>
      </c>
      <c r="L47" s="57">
        <f t="shared" si="12"/>
        <v>3036299.3566681435</v>
      </c>
      <c r="M47" s="57">
        <f t="shared" si="12"/>
        <v>3656566.373061588</v>
      </c>
      <c r="N47" s="57">
        <f t="shared" si="12"/>
        <v>4472214.4864864871</v>
      </c>
      <c r="O47" s="57">
        <f t="shared" si="12"/>
        <v>4913117.9441736825</v>
      </c>
      <c r="P47" s="57">
        <f t="shared" si="12"/>
        <v>5832143.8936641626</v>
      </c>
      <c r="Q47" s="57">
        <f t="shared" si="12"/>
        <v>5882672.0708905645</v>
      </c>
      <c r="R47" s="57">
        <f t="shared" si="12"/>
        <v>5735227.1723526791</v>
      </c>
      <c r="S47" s="57">
        <f t="shared" si="12"/>
        <v>6065904.7656180859</v>
      </c>
      <c r="T47" s="57">
        <f t="shared" si="12"/>
        <v>5840926.4900310114</v>
      </c>
      <c r="U47" s="57">
        <f t="shared" si="12"/>
        <v>5557798.1816570759</v>
      </c>
      <c r="V47" s="57">
        <f t="shared" si="12"/>
        <v>4537657.6694727391</v>
      </c>
      <c r="W47" s="57">
        <f t="shared" si="12"/>
        <v>3478808.6770048812</v>
      </c>
      <c r="X47" s="57">
        <f t="shared" si="12"/>
        <v>2342426.3074878082</v>
      </c>
      <c r="Y47" s="57">
        <f t="shared" si="12"/>
        <v>1660527.035888344</v>
      </c>
      <c r="Z47" s="57">
        <f t="shared" si="12"/>
        <v>1053569.1626052111</v>
      </c>
      <c r="AA47" s="57">
        <f t="shared" si="12"/>
        <v>1060417.1909614652</v>
      </c>
      <c r="AB47" s="57">
        <f t="shared" si="12"/>
        <v>1067265.2193176597</v>
      </c>
      <c r="AC47" s="57">
        <f t="shared" si="12"/>
        <v>1074113.2476739138</v>
      </c>
      <c r="AD47" s="57">
        <f t="shared" si="12"/>
        <v>342401.41781124473</v>
      </c>
      <c r="AE47" s="57">
        <f t="shared" si="12"/>
        <v>342401.41781124473</v>
      </c>
      <c r="AF47" s="57">
        <f t="shared" si="12"/>
        <v>342401.41781125963</v>
      </c>
      <c r="AG47" s="57">
        <f t="shared" si="12"/>
        <v>342401.41781124473</v>
      </c>
      <c r="AH47" s="57">
        <f t="shared" si="12"/>
        <v>342401.41781124473</v>
      </c>
      <c r="AI47" s="57">
        <f t="shared" si="12"/>
        <v>342401.41781124473</v>
      </c>
      <c r="AJ47" s="57">
        <f t="shared" si="12"/>
        <v>342401.41781125963</v>
      </c>
      <c r="AK47" s="57">
        <f t="shared" si="12"/>
        <v>342401.41781124473</v>
      </c>
      <c r="AL47" s="57">
        <f t="shared" si="12"/>
        <v>342401.41781124473</v>
      </c>
      <c r="AM47" s="57">
        <f t="shared" si="12"/>
        <v>342401.41781124473</v>
      </c>
      <c r="AN47" s="57">
        <f t="shared" si="12"/>
        <v>342401.41781125963</v>
      </c>
    </row>
    <row r="48" spans="1:40" ht="13.5" customHeight="1" x14ac:dyDescent="0.3">
      <c r="B48" s="28"/>
      <c r="C48" s="61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</row>
    <row r="49" spans="1:40" s="63" customFormat="1" ht="13.5" customHeight="1" x14ac:dyDescent="0.3">
      <c r="A49" s="25" t="s">
        <v>110</v>
      </c>
      <c r="B49" s="62" t="s">
        <v>126</v>
      </c>
      <c r="C49" s="62"/>
    </row>
    <row r="51" spans="1:40" s="57" customFormat="1" ht="13.5" customHeight="1" x14ac:dyDescent="0.3">
      <c r="B51" s="57" t="s">
        <v>127</v>
      </c>
      <c r="D51" s="57">
        <f t="shared" ref="D51:AN51" si="13">D47</f>
        <v>0</v>
      </c>
      <c r="E51" s="57">
        <f t="shared" si="13"/>
        <v>89024.368630926023</v>
      </c>
      <c r="F51" s="57">
        <f t="shared" si="13"/>
        <v>147232.60965883918</v>
      </c>
      <c r="G51" s="57">
        <f t="shared" si="13"/>
        <v>188320.77979618969</v>
      </c>
      <c r="H51" s="57">
        <f t="shared" si="13"/>
        <v>686987.3566681433</v>
      </c>
      <c r="I51" s="57">
        <f t="shared" si="13"/>
        <v>1160970.2153300846</v>
      </c>
      <c r="J51" s="57">
        <f t="shared" si="13"/>
        <v>1669135.0075321221</v>
      </c>
      <c r="K51" s="57">
        <f t="shared" si="13"/>
        <v>2304258.8214443959</v>
      </c>
      <c r="L51" s="57">
        <f t="shared" si="13"/>
        <v>3036299.3566681435</v>
      </c>
      <c r="M51" s="57">
        <f t="shared" si="13"/>
        <v>3656566.373061588</v>
      </c>
      <c r="N51" s="57">
        <f t="shared" si="13"/>
        <v>4472214.4864864871</v>
      </c>
      <c r="O51" s="57">
        <f t="shared" si="13"/>
        <v>4913117.9441736825</v>
      </c>
      <c r="P51" s="57">
        <f t="shared" si="13"/>
        <v>5832143.8936641626</v>
      </c>
      <c r="Q51" s="57">
        <f t="shared" si="13"/>
        <v>5882672.0708905645</v>
      </c>
      <c r="R51" s="57">
        <f t="shared" si="13"/>
        <v>5735227.1723526791</v>
      </c>
      <c r="S51" s="57">
        <f t="shared" si="13"/>
        <v>6065904.7656180859</v>
      </c>
      <c r="T51" s="57">
        <f t="shared" si="13"/>
        <v>5840926.4900310114</v>
      </c>
      <c r="U51" s="57">
        <f t="shared" si="13"/>
        <v>5557798.1816570759</v>
      </c>
      <c r="V51" s="57">
        <f t="shared" si="13"/>
        <v>4537657.6694727391</v>
      </c>
      <c r="W51" s="57">
        <f t="shared" si="13"/>
        <v>3478808.6770048812</v>
      </c>
      <c r="X51" s="57">
        <f t="shared" si="13"/>
        <v>2342426.3074878082</v>
      </c>
      <c r="Y51" s="57">
        <f t="shared" si="13"/>
        <v>1660527.035888344</v>
      </c>
      <c r="Z51" s="57">
        <f t="shared" si="13"/>
        <v>1053569.1626052111</v>
      </c>
      <c r="AA51" s="57">
        <f t="shared" si="13"/>
        <v>1060417.1909614652</v>
      </c>
      <c r="AB51" s="57">
        <f t="shared" si="13"/>
        <v>1067265.2193176597</v>
      </c>
      <c r="AC51" s="57">
        <f t="shared" si="13"/>
        <v>1074113.2476739138</v>
      </c>
      <c r="AD51" s="57">
        <f t="shared" si="13"/>
        <v>342401.41781124473</v>
      </c>
      <c r="AE51" s="57">
        <f t="shared" si="13"/>
        <v>342401.41781124473</v>
      </c>
      <c r="AF51" s="57">
        <f t="shared" si="13"/>
        <v>342401.41781125963</v>
      </c>
      <c r="AG51" s="57">
        <f t="shared" si="13"/>
        <v>342401.41781124473</v>
      </c>
      <c r="AH51" s="57">
        <f t="shared" si="13"/>
        <v>342401.41781124473</v>
      </c>
      <c r="AI51" s="57">
        <f t="shared" si="13"/>
        <v>342401.41781124473</v>
      </c>
      <c r="AJ51" s="57">
        <f t="shared" si="13"/>
        <v>342401.41781125963</v>
      </c>
      <c r="AK51" s="57">
        <f t="shared" si="13"/>
        <v>342401.41781124473</v>
      </c>
      <c r="AL51" s="57">
        <f t="shared" si="13"/>
        <v>342401.41781124473</v>
      </c>
      <c r="AM51" s="57">
        <f t="shared" si="13"/>
        <v>342401.41781124473</v>
      </c>
      <c r="AN51" s="57">
        <f t="shared" si="13"/>
        <v>342401.41781125963</v>
      </c>
    </row>
    <row r="52" spans="1:40" s="57" customFormat="1" ht="13.5" customHeight="1" x14ac:dyDescent="0.3"/>
    <row r="53" spans="1:40" s="57" customFormat="1" ht="13.5" customHeight="1" x14ac:dyDescent="0.3"/>
    <row r="54" spans="1:40" s="57" customFormat="1" ht="13.5" customHeight="1" x14ac:dyDescent="0.3">
      <c r="B54" s="57" t="s">
        <v>128</v>
      </c>
      <c r="D54" s="57">
        <f t="shared" ref="D54:AN54" si="14">D45*$C$13*$C$8</f>
        <v>217567.56756756757</v>
      </c>
      <c r="E54" s="57">
        <f t="shared" si="14"/>
        <v>217567.56756756757</v>
      </c>
      <c r="F54" s="57">
        <f t="shared" si="14"/>
        <v>217567.56756756752</v>
      </c>
      <c r="G54" s="57">
        <f t="shared" si="14"/>
        <v>217567.56756756769</v>
      </c>
      <c r="H54" s="57">
        <f t="shared" si="14"/>
        <v>1038667.5675675675</v>
      </c>
      <c r="I54" s="57">
        <f t="shared" si="14"/>
        <v>1449217.567567568</v>
      </c>
      <c r="J54" s="57">
        <f t="shared" si="14"/>
        <v>1859767.5675675671</v>
      </c>
      <c r="K54" s="57">
        <f t="shared" si="14"/>
        <v>2270317.5675675678</v>
      </c>
      <c r="L54" s="57">
        <f t="shared" si="14"/>
        <v>2680867.5675675659</v>
      </c>
      <c r="M54" s="57">
        <f t="shared" si="14"/>
        <v>3091417.5675675687</v>
      </c>
      <c r="N54" s="57">
        <f t="shared" si="14"/>
        <v>3501967.5675675673</v>
      </c>
      <c r="O54" s="57">
        <f t="shared" si="14"/>
        <v>3501967.5675675673</v>
      </c>
      <c r="P54" s="57">
        <f t="shared" si="14"/>
        <v>3912517.5675675687</v>
      </c>
      <c r="Q54" s="57">
        <f t="shared" si="14"/>
        <v>3912517.5675675687</v>
      </c>
      <c r="R54" s="57">
        <f t="shared" si="14"/>
        <v>3501967.567567565</v>
      </c>
      <c r="S54" s="57">
        <f t="shared" si="14"/>
        <v>3501967.5675675701</v>
      </c>
      <c r="T54" s="57">
        <f t="shared" si="14"/>
        <v>3091417.5675675632</v>
      </c>
      <c r="U54" s="57">
        <f t="shared" si="14"/>
        <v>2680867.5675675673</v>
      </c>
      <c r="V54" s="57">
        <f t="shared" si="14"/>
        <v>2270317.5675675604</v>
      </c>
      <c r="W54" s="57">
        <f t="shared" si="14"/>
        <v>1449217.5675675685</v>
      </c>
      <c r="X54" s="57">
        <f t="shared" si="14"/>
        <v>628117.56756756571</v>
      </c>
      <c r="Y54" s="57">
        <f t="shared" si="14"/>
        <v>628117.56756756024</v>
      </c>
      <c r="Z54" s="57">
        <f t="shared" si="14"/>
        <v>217567.56756756426</v>
      </c>
      <c r="AA54" s="57">
        <f t="shared" si="14"/>
        <v>217567.56756756426</v>
      </c>
      <c r="AB54" s="57">
        <f t="shared" si="14"/>
        <v>217567.56756756426</v>
      </c>
      <c r="AC54" s="57">
        <f t="shared" si="14"/>
        <v>217567.5675675697</v>
      </c>
      <c r="AD54" s="57">
        <f t="shared" si="14"/>
        <v>217567.56756756426</v>
      </c>
      <c r="AE54" s="57">
        <f t="shared" si="14"/>
        <v>217567.56756756426</v>
      </c>
      <c r="AF54" s="57">
        <f t="shared" si="14"/>
        <v>217567.56756756426</v>
      </c>
      <c r="AG54" s="57">
        <f t="shared" si="14"/>
        <v>217567.56756756426</v>
      </c>
      <c r="AH54" s="57">
        <f t="shared" si="14"/>
        <v>217567.56756756426</v>
      </c>
      <c r="AI54" s="57">
        <f t="shared" si="14"/>
        <v>217567.56756756426</v>
      </c>
      <c r="AJ54" s="57">
        <f t="shared" si="14"/>
        <v>217567.56756756426</v>
      </c>
      <c r="AK54" s="57">
        <f t="shared" si="14"/>
        <v>217567.56756756426</v>
      </c>
      <c r="AL54" s="57">
        <f t="shared" si="14"/>
        <v>217567.56756756426</v>
      </c>
      <c r="AM54" s="57">
        <f t="shared" si="14"/>
        <v>217567.56756756426</v>
      </c>
      <c r="AN54" s="57">
        <f t="shared" si="14"/>
        <v>217567.56756756426</v>
      </c>
    </row>
    <row r="55" spans="1:40" ht="13.5" customHeight="1" x14ac:dyDescent="0.3">
      <c r="B55" s="25" t="s">
        <v>129</v>
      </c>
      <c r="C55" s="64"/>
    </row>
    <row r="56" spans="1:40" s="51" customFormat="1" ht="13.5" customHeight="1" x14ac:dyDescent="0.3">
      <c r="B56" s="51" t="s">
        <v>130</v>
      </c>
      <c r="C56" s="65"/>
    </row>
    <row r="58" spans="1:40" s="57" customFormat="1" ht="13.5" customHeight="1" x14ac:dyDescent="0.3">
      <c r="B58" s="57" t="s">
        <v>131</v>
      </c>
      <c r="D58" s="57">
        <f t="shared" ref="D58:AN58" si="15">D51-D54</f>
        <v>-217567.56756756757</v>
      </c>
      <c r="E58" s="57">
        <f t="shared" si="15"/>
        <v>-128543.19893664155</v>
      </c>
      <c r="F58" s="57">
        <f t="shared" si="15"/>
        <v>-70334.957908728335</v>
      </c>
      <c r="G58" s="57">
        <f t="shared" si="15"/>
        <v>-29246.787771378004</v>
      </c>
      <c r="H58" s="57">
        <f t="shared" si="15"/>
        <v>-351680.21089942416</v>
      </c>
      <c r="I58" s="57">
        <f t="shared" si="15"/>
        <v>-288247.35223748349</v>
      </c>
      <c r="J58" s="57">
        <f t="shared" si="15"/>
        <v>-190632.56003544503</v>
      </c>
      <c r="K58" s="57">
        <f t="shared" si="15"/>
        <v>33941.253876828123</v>
      </c>
      <c r="L58" s="57">
        <f t="shared" si="15"/>
        <v>355431.78910057759</v>
      </c>
      <c r="M58" s="57">
        <f t="shared" si="15"/>
        <v>565148.8054940193</v>
      </c>
      <c r="N58" s="57">
        <f t="shared" si="15"/>
        <v>970246.91891891975</v>
      </c>
      <c r="O58" s="57">
        <f t="shared" si="15"/>
        <v>1411150.3766061151</v>
      </c>
      <c r="P58" s="57">
        <f t="shared" si="15"/>
        <v>1919626.3260965939</v>
      </c>
      <c r="Q58" s="57">
        <f t="shared" si="15"/>
        <v>1970154.5033229957</v>
      </c>
      <c r="R58" s="57">
        <f t="shared" si="15"/>
        <v>2233259.6047851141</v>
      </c>
      <c r="S58" s="57">
        <f t="shared" si="15"/>
        <v>2563937.1980505157</v>
      </c>
      <c r="T58" s="57">
        <f t="shared" si="15"/>
        <v>2749508.9224634483</v>
      </c>
      <c r="U58" s="57">
        <f t="shared" si="15"/>
        <v>2876930.6140895085</v>
      </c>
      <c r="V58" s="57">
        <f t="shared" si="15"/>
        <v>2267340.1019051787</v>
      </c>
      <c r="W58" s="57">
        <f t="shared" si="15"/>
        <v>2029591.1094373127</v>
      </c>
      <c r="X58" s="57">
        <f t="shared" si="15"/>
        <v>1714308.7399202425</v>
      </c>
      <c r="Y58" s="57">
        <f t="shared" si="15"/>
        <v>1032409.4683207838</v>
      </c>
      <c r="Z58" s="57">
        <f t="shared" si="15"/>
        <v>836001.59503764682</v>
      </c>
      <c r="AA58" s="57">
        <f t="shared" si="15"/>
        <v>842849.62339390093</v>
      </c>
      <c r="AB58" s="57">
        <f t="shared" si="15"/>
        <v>849697.65175009542</v>
      </c>
      <c r="AC58" s="57">
        <f t="shared" si="15"/>
        <v>856545.68010634417</v>
      </c>
      <c r="AD58" s="57">
        <f t="shared" si="15"/>
        <v>124833.85024368047</v>
      </c>
      <c r="AE58" s="57">
        <f t="shared" si="15"/>
        <v>124833.85024368047</v>
      </c>
      <c r="AF58" s="57">
        <f t="shared" si="15"/>
        <v>124833.85024369537</v>
      </c>
      <c r="AG58" s="57">
        <f t="shared" si="15"/>
        <v>124833.85024368047</v>
      </c>
      <c r="AH58" s="57">
        <f t="shared" si="15"/>
        <v>124833.85024368047</v>
      </c>
      <c r="AI58" s="57">
        <f t="shared" si="15"/>
        <v>124833.85024368047</v>
      </c>
      <c r="AJ58" s="57">
        <f t="shared" si="15"/>
        <v>124833.85024369537</v>
      </c>
      <c r="AK58" s="57">
        <f t="shared" si="15"/>
        <v>124833.85024368047</v>
      </c>
      <c r="AL58" s="57">
        <f t="shared" si="15"/>
        <v>124833.85024368047</v>
      </c>
      <c r="AM58" s="57">
        <f t="shared" si="15"/>
        <v>124833.85024368047</v>
      </c>
      <c r="AN58" s="57">
        <f t="shared" si="15"/>
        <v>124833.85024369537</v>
      </c>
    </row>
    <row r="59" spans="1:40" s="51" customFormat="1" ht="13.5" customHeight="1" x14ac:dyDescent="0.3">
      <c r="B59" s="51" t="s">
        <v>132</v>
      </c>
      <c r="C59" s="65"/>
      <c r="E59" s="51">
        <f t="shared" ref="E59:AK59" si="16">IFERROR(E58/E51,0)</f>
        <v>-1.4439102564102562</v>
      </c>
      <c r="F59" s="51">
        <f t="shared" si="16"/>
        <v>-0.47771317829457316</v>
      </c>
      <c r="G59" s="51">
        <f t="shared" si="16"/>
        <v>-0.15530303030303061</v>
      </c>
      <c r="H59" s="51">
        <f t="shared" si="16"/>
        <v>-0.51191656947670305</v>
      </c>
      <c r="I59" s="51">
        <f t="shared" si="16"/>
        <v>-0.24828143601903657</v>
      </c>
      <c r="J59" s="51">
        <f t="shared" si="16"/>
        <v>-0.11421038991765102</v>
      </c>
      <c r="K59" s="51">
        <f t="shared" si="16"/>
        <v>1.4729792313674411E-2</v>
      </c>
      <c r="L59" s="51">
        <f t="shared" si="16"/>
        <v>0.11706085182938204</v>
      </c>
      <c r="M59" s="51">
        <f t="shared" si="16"/>
        <v>0.15455723972564697</v>
      </c>
      <c r="N59" s="51">
        <f t="shared" si="16"/>
        <v>0.21694999688648126</v>
      </c>
      <c r="O59" s="51">
        <f t="shared" si="16"/>
        <v>0.2872209445489815</v>
      </c>
      <c r="P59" s="51">
        <f t="shared" si="16"/>
        <v>0.32914591290897482</v>
      </c>
      <c r="Q59" s="51">
        <f t="shared" si="16"/>
        <v>0.33490809611366601</v>
      </c>
      <c r="R59" s="51">
        <f t="shared" si="16"/>
        <v>0.38939339936712503</v>
      </c>
      <c r="S59" s="51">
        <f t="shared" si="16"/>
        <v>0.42268009425124287</v>
      </c>
      <c r="T59" s="51">
        <f t="shared" si="16"/>
        <v>0.47073164285771557</v>
      </c>
      <c r="U59" s="51">
        <f t="shared" si="16"/>
        <v>0.51763855398429426</v>
      </c>
      <c r="V59" s="51">
        <f t="shared" si="16"/>
        <v>0.49967191601049893</v>
      </c>
      <c r="W59" s="51">
        <f t="shared" si="16"/>
        <v>0.58341555914040999</v>
      </c>
      <c r="X59" s="51">
        <f t="shared" si="16"/>
        <v>0.73185172760409889</v>
      </c>
      <c r="Y59" s="51">
        <f t="shared" si="16"/>
        <v>0.62173601875049767</v>
      </c>
      <c r="Z59" s="51">
        <f t="shared" si="16"/>
        <v>0.79349474596468395</v>
      </c>
      <c r="AA59" s="51">
        <f t="shared" si="16"/>
        <v>0.79482832848994189</v>
      </c>
      <c r="AB59" s="51">
        <f t="shared" si="16"/>
        <v>0.79614479734787669</v>
      </c>
      <c r="AC59" s="51">
        <f t="shared" si="16"/>
        <v>0.79744447986398892</v>
      </c>
      <c r="AD59" s="51">
        <f t="shared" si="16"/>
        <v>0.36458333333332604</v>
      </c>
      <c r="AE59" s="51">
        <f t="shared" si="16"/>
        <v>0.36458333333332604</v>
      </c>
      <c r="AF59" s="51">
        <f t="shared" si="16"/>
        <v>0.36458333333335369</v>
      </c>
      <c r="AG59" s="51">
        <f t="shared" si="16"/>
        <v>0.36458333333332604</v>
      </c>
      <c r="AH59" s="51">
        <f t="shared" si="16"/>
        <v>0.36458333333332604</v>
      </c>
      <c r="AI59" s="51">
        <f t="shared" si="16"/>
        <v>0.36458333333332604</v>
      </c>
      <c r="AJ59" s="51">
        <f t="shared" si="16"/>
        <v>0.36458333333335369</v>
      </c>
      <c r="AK59" s="51">
        <f t="shared" si="16"/>
        <v>0.36458333333332604</v>
      </c>
    </row>
    <row r="60" spans="1:40" ht="13.5" customHeight="1" x14ac:dyDescent="0.3">
      <c r="C60" s="64"/>
    </row>
    <row r="61" spans="1:40" s="57" customFormat="1" ht="13.5" customHeight="1" x14ac:dyDescent="0.3">
      <c r="B61" s="57" t="s">
        <v>133</v>
      </c>
      <c r="D61" s="57">
        <f t="shared" ref="D61:AD61" si="17">$C$20*$C$8/27</f>
        <v>89444.444444444438</v>
      </c>
      <c r="E61" s="57">
        <f t="shared" si="17"/>
        <v>89444.444444444438</v>
      </c>
      <c r="F61" s="57">
        <f t="shared" si="17"/>
        <v>89444.444444444438</v>
      </c>
      <c r="G61" s="57">
        <f t="shared" si="17"/>
        <v>89444.444444444438</v>
      </c>
      <c r="H61" s="57">
        <f t="shared" si="17"/>
        <v>89444.444444444438</v>
      </c>
      <c r="I61" s="57">
        <f t="shared" si="17"/>
        <v>89444.444444444438</v>
      </c>
      <c r="J61" s="57">
        <f t="shared" si="17"/>
        <v>89444.444444444438</v>
      </c>
      <c r="K61" s="57">
        <f t="shared" si="17"/>
        <v>89444.444444444438</v>
      </c>
      <c r="L61" s="57">
        <f t="shared" si="17"/>
        <v>89444.444444444438</v>
      </c>
      <c r="M61" s="57">
        <f t="shared" si="17"/>
        <v>89444.444444444438</v>
      </c>
      <c r="N61" s="57">
        <f t="shared" si="17"/>
        <v>89444.444444444438</v>
      </c>
      <c r="O61" s="57">
        <f t="shared" si="17"/>
        <v>89444.444444444438</v>
      </c>
      <c r="P61" s="57">
        <f t="shared" si="17"/>
        <v>89444.444444444438</v>
      </c>
      <c r="Q61" s="57">
        <f t="shared" si="17"/>
        <v>89444.444444444438</v>
      </c>
      <c r="R61" s="57">
        <f t="shared" si="17"/>
        <v>89444.444444444438</v>
      </c>
      <c r="S61" s="57">
        <f t="shared" si="17"/>
        <v>89444.444444444438</v>
      </c>
      <c r="T61" s="57">
        <f t="shared" si="17"/>
        <v>89444.444444444438</v>
      </c>
      <c r="U61" s="57">
        <f t="shared" si="17"/>
        <v>89444.444444444438</v>
      </c>
      <c r="V61" s="57">
        <f t="shared" si="17"/>
        <v>89444.444444444438</v>
      </c>
      <c r="W61" s="57">
        <f t="shared" si="17"/>
        <v>89444.444444444438</v>
      </c>
      <c r="X61" s="57">
        <f t="shared" si="17"/>
        <v>89444.444444444438</v>
      </c>
      <c r="Y61" s="57">
        <f t="shared" si="17"/>
        <v>89444.444444444438</v>
      </c>
      <c r="Z61" s="57">
        <f t="shared" si="17"/>
        <v>89444.444444444438</v>
      </c>
      <c r="AA61" s="57">
        <f t="shared" si="17"/>
        <v>89444.444444444438</v>
      </c>
      <c r="AB61" s="57">
        <f t="shared" si="17"/>
        <v>89444.444444444438</v>
      </c>
      <c r="AC61" s="57">
        <f t="shared" si="17"/>
        <v>89444.444444444438</v>
      </c>
      <c r="AD61" s="57">
        <f t="shared" si="17"/>
        <v>89444.444444444438</v>
      </c>
      <c r="AE61" s="57">
        <v>0</v>
      </c>
      <c r="AF61" s="57">
        <v>0</v>
      </c>
      <c r="AG61" s="57">
        <v>0</v>
      </c>
      <c r="AH61" s="57">
        <v>0</v>
      </c>
      <c r="AI61" s="57">
        <v>0</v>
      </c>
      <c r="AJ61" s="57">
        <v>0</v>
      </c>
      <c r="AK61" s="57">
        <v>0</v>
      </c>
      <c r="AL61" s="57">
        <v>0</v>
      </c>
      <c r="AM61" s="57">
        <v>0</v>
      </c>
      <c r="AN61" s="57">
        <v>0</v>
      </c>
    </row>
    <row r="62" spans="1:40" s="57" customFormat="1" ht="13.5" customHeight="1" x14ac:dyDescent="0.3">
      <c r="B62" s="57" t="s">
        <v>134</v>
      </c>
      <c r="D62" s="57">
        <f>$C$23*$C$8*0.075</f>
        <v>120750</v>
      </c>
      <c r="E62" s="57">
        <f>$C$23*$C$8*0.075</f>
        <v>120750</v>
      </c>
      <c r="F62" s="57">
        <f>$C$23*$C$8*0.075</f>
        <v>120750</v>
      </c>
      <c r="G62" s="57">
        <f>$C$23*$C$8*0.075</f>
        <v>120750</v>
      </c>
      <c r="H62" s="57">
        <f t="shared" ref="H62:S62" si="18">$C$23*$C$8*0.025</f>
        <v>40250</v>
      </c>
      <c r="I62" s="57">
        <f t="shared" si="18"/>
        <v>40250</v>
      </c>
      <c r="J62" s="57">
        <f t="shared" si="18"/>
        <v>40250</v>
      </c>
      <c r="K62" s="57">
        <f t="shared" si="18"/>
        <v>40250</v>
      </c>
      <c r="L62" s="57">
        <f t="shared" si="18"/>
        <v>40250</v>
      </c>
      <c r="M62" s="57">
        <f t="shared" si="18"/>
        <v>40250</v>
      </c>
      <c r="N62" s="57">
        <f t="shared" si="18"/>
        <v>40250</v>
      </c>
      <c r="O62" s="57">
        <f t="shared" si="18"/>
        <v>40250</v>
      </c>
      <c r="P62" s="57">
        <f t="shared" si="18"/>
        <v>40250</v>
      </c>
      <c r="Q62" s="57">
        <f t="shared" si="18"/>
        <v>40250</v>
      </c>
      <c r="R62" s="57">
        <f t="shared" si="18"/>
        <v>40250</v>
      </c>
      <c r="S62" s="57">
        <f t="shared" si="18"/>
        <v>40250</v>
      </c>
      <c r="T62" s="57">
        <f t="shared" ref="T62:Y62" si="19">$C$23*$C$8*0.0666666666666667</f>
        <v>107333.33333333337</v>
      </c>
      <c r="U62" s="57">
        <f t="shared" si="19"/>
        <v>107333.33333333337</v>
      </c>
      <c r="V62" s="57">
        <f t="shared" si="19"/>
        <v>107333.33333333337</v>
      </c>
      <c r="W62" s="57">
        <f t="shared" si="19"/>
        <v>107333.33333333337</v>
      </c>
      <c r="X62" s="57">
        <f t="shared" si="19"/>
        <v>107333.33333333337</v>
      </c>
      <c r="Y62" s="57">
        <f t="shared" si="19"/>
        <v>107333.33333333337</v>
      </c>
      <c r="Z62" s="57">
        <v>0</v>
      </c>
      <c r="AA62" s="57">
        <v>0</v>
      </c>
      <c r="AB62" s="57">
        <v>0</v>
      </c>
      <c r="AC62" s="57">
        <v>0</v>
      </c>
      <c r="AD62" s="57">
        <v>0</v>
      </c>
      <c r="AE62" s="57">
        <v>0</v>
      </c>
      <c r="AF62" s="57">
        <v>0</v>
      </c>
      <c r="AG62" s="57">
        <v>0</v>
      </c>
      <c r="AH62" s="57">
        <v>0</v>
      </c>
      <c r="AI62" s="57">
        <v>0</v>
      </c>
      <c r="AJ62" s="57">
        <v>0</v>
      </c>
      <c r="AK62" s="57">
        <v>0</v>
      </c>
      <c r="AL62" s="57">
        <v>0</v>
      </c>
      <c r="AM62" s="57">
        <v>0</v>
      </c>
      <c r="AN62" s="57">
        <v>0</v>
      </c>
    </row>
    <row r="63" spans="1:40" s="51" customFormat="1" ht="13.5" customHeight="1" x14ac:dyDescent="0.3">
      <c r="B63" s="51" t="s">
        <v>135</v>
      </c>
      <c r="C63" s="65"/>
      <c r="D63" s="51">
        <f>$C$24*$C$8*0.175</f>
        <v>140875</v>
      </c>
      <c r="E63" s="51">
        <f>$C$24*$C$8*0.175</f>
        <v>140875</v>
      </c>
      <c r="F63" s="51">
        <f>$C$24*$C$8*0.175</f>
        <v>140875</v>
      </c>
      <c r="G63" s="51">
        <f>$C$24*$C$8*0.175</f>
        <v>140875</v>
      </c>
      <c r="H63" s="51">
        <f t="shared" ref="H63:Y63" si="20">$C$24*$C$8*0.0166666666666667</f>
        <v>13416.666666666695</v>
      </c>
      <c r="I63" s="51">
        <f t="shared" si="20"/>
        <v>13416.666666666695</v>
      </c>
      <c r="J63" s="51">
        <f t="shared" si="20"/>
        <v>13416.666666666695</v>
      </c>
      <c r="K63" s="51">
        <f t="shared" si="20"/>
        <v>13416.666666666695</v>
      </c>
      <c r="L63" s="51">
        <f t="shared" si="20"/>
        <v>13416.666666666695</v>
      </c>
      <c r="M63" s="51">
        <f t="shared" si="20"/>
        <v>13416.666666666695</v>
      </c>
      <c r="N63" s="51">
        <f t="shared" si="20"/>
        <v>13416.666666666695</v>
      </c>
      <c r="O63" s="51">
        <f t="shared" si="20"/>
        <v>13416.666666666695</v>
      </c>
      <c r="P63" s="51">
        <f t="shared" si="20"/>
        <v>13416.666666666695</v>
      </c>
      <c r="Q63" s="51">
        <f t="shared" si="20"/>
        <v>13416.666666666695</v>
      </c>
      <c r="R63" s="51">
        <f t="shared" si="20"/>
        <v>13416.666666666695</v>
      </c>
      <c r="S63" s="51">
        <f t="shared" si="20"/>
        <v>13416.666666666695</v>
      </c>
      <c r="T63" s="51">
        <f t="shared" si="20"/>
        <v>13416.666666666695</v>
      </c>
      <c r="U63" s="51">
        <f t="shared" si="20"/>
        <v>13416.666666666695</v>
      </c>
      <c r="V63" s="51">
        <f t="shared" si="20"/>
        <v>13416.666666666695</v>
      </c>
      <c r="W63" s="51">
        <f t="shared" si="20"/>
        <v>13416.666666666695</v>
      </c>
      <c r="X63" s="51">
        <f t="shared" si="20"/>
        <v>13416.666666666695</v>
      </c>
      <c r="Y63" s="51">
        <f t="shared" si="20"/>
        <v>13416.666666666695</v>
      </c>
      <c r="Z63" s="51">
        <v>0</v>
      </c>
      <c r="AA63" s="51">
        <v>0</v>
      </c>
      <c r="AB63" s="51">
        <v>0</v>
      </c>
      <c r="AC63" s="51">
        <v>0</v>
      </c>
      <c r="AD63" s="51">
        <v>0</v>
      </c>
      <c r="AE63" s="51">
        <v>0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0</v>
      </c>
      <c r="AM63" s="51">
        <v>0</v>
      </c>
      <c r="AN63" s="51">
        <v>0</v>
      </c>
    </row>
    <row r="64" spans="1:40" ht="13.5" customHeight="1" x14ac:dyDescent="0.3">
      <c r="C64" s="64"/>
    </row>
    <row r="65" spans="1:40" s="38" customFormat="1" ht="13.5" customHeight="1" x14ac:dyDescent="0.3">
      <c r="B65" s="38" t="s">
        <v>136</v>
      </c>
      <c r="C65" s="66"/>
      <c r="D65" s="38">
        <f t="shared" ref="D65:AN65" si="21">D37*$C$8*$C$21</f>
        <v>0</v>
      </c>
      <c r="E65" s="38">
        <f t="shared" si="21"/>
        <v>0</v>
      </c>
      <c r="F65" s="38">
        <f t="shared" si="21"/>
        <v>0</v>
      </c>
      <c r="G65" s="38">
        <f t="shared" si="21"/>
        <v>0</v>
      </c>
      <c r="H65" s="38">
        <f t="shared" si="21"/>
        <v>0</v>
      </c>
      <c r="I65" s="38">
        <f t="shared" si="21"/>
        <v>0</v>
      </c>
      <c r="J65" s="38">
        <f t="shared" si="21"/>
        <v>0</v>
      </c>
      <c r="K65" s="38">
        <f t="shared" si="21"/>
        <v>0</v>
      </c>
      <c r="L65" s="38">
        <f t="shared" si="21"/>
        <v>0</v>
      </c>
      <c r="M65" s="38">
        <f t="shared" si="21"/>
        <v>0</v>
      </c>
      <c r="N65" s="38">
        <f t="shared" si="21"/>
        <v>0</v>
      </c>
      <c r="O65" s="38">
        <f t="shared" si="21"/>
        <v>0</v>
      </c>
      <c r="P65" s="38">
        <f t="shared" si="21"/>
        <v>0</v>
      </c>
      <c r="Q65" s="38">
        <f t="shared" si="21"/>
        <v>0</v>
      </c>
      <c r="R65" s="38">
        <f t="shared" si="21"/>
        <v>0</v>
      </c>
      <c r="S65" s="38">
        <f t="shared" si="21"/>
        <v>0</v>
      </c>
      <c r="T65" s="38">
        <f t="shared" si="21"/>
        <v>0</v>
      </c>
      <c r="U65" s="38">
        <f t="shared" si="21"/>
        <v>0</v>
      </c>
      <c r="V65" s="38">
        <f t="shared" si="21"/>
        <v>0</v>
      </c>
      <c r="W65" s="38">
        <f t="shared" si="21"/>
        <v>0</v>
      </c>
      <c r="X65" s="38">
        <f t="shared" si="21"/>
        <v>0</v>
      </c>
      <c r="Y65" s="38">
        <f t="shared" si="21"/>
        <v>0</v>
      </c>
      <c r="Z65" s="38">
        <f t="shared" si="21"/>
        <v>0</v>
      </c>
      <c r="AA65" s="38">
        <f t="shared" si="21"/>
        <v>0</v>
      </c>
      <c r="AB65" s="38">
        <f t="shared" si="21"/>
        <v>0</v>
      </c>
      <c r="AC65" s="38">
        <f t="shared" si="21"/>
        <v>0</v>
      </c>
      <c r="AD65" s="38">
        <f t="shared" si="21"/>
        <v>0</v>
      </c>
      <c r="AE65" s="38">
        <f t="shared" si="21"/>
        <v>0</v>
      </c>
      <c r="AF65" s="38">
        <f t="shared" si="21"/>
        <v>0</v>
      </c>
      <c r="AG65" s="38">
        <f t="shared" si="21"/>
        <v>0</v>
      </c>
      <c r="AH65" s="38">
        <f t="shared" si="21"/>
        <v>0</v>
      </c>
      <c r="AI65" s="38">
        <f t="shared" si="21"/>
        <v>0</v>
      </c>
      <c r="AJ65" s="38">
        <f t="shared" si="21"/>
        <v>0</v>
      </c>
      <c r="AK65" s="38">
        <f t="shared" si="21"/>
        <v>0</v>
      </c>
      <c r="AL65" s="38">
        <f t="shared" si="21"/>
        <v>0</v>
      </c>
      <c r="AM65" s="38">
        <f t="shared" si="21"/>
        <v>0</v>
      </c>
      <c r="AN65" s="38">
        <f t="shared" si="21"/>
        <v>0</v>
      </c>
    </row>
    <row r="66" spans="1:40" s="51" customFormat="1" ht="13.5" customHeight="1" x14ac:dyDescent="0.3">
      <c r="C66" s="65"/>
    </row>
    <row r="68" spans="1:40" s="67" customFormat="1" ht="13.5" customHeight="1" x14ac:dyDescent="0.3">
      <c r="A68" s="67" t="s">
        <v>110</v>
      </c>
      <c r="B68" s="67" t="s">
        <v>137</v>
      </c>
      <c r="D68" s="67">
        <f t="shared" ref="D68:AN68" si="22">D58-D61-D62-D63-D65</f>
        <v>-568637.01201201207</v>
      </c>
      <c r="E68" s="67">
        <f t="shared" si="22"/>
        <v>-479612.643381086</v>
      </c>
      <c r="F68" s="67">
        <f t="shared" si="22"/>
        <v>-421404.40235317277</v>
      </c>
      <c r="G68" s="67">
        <f t="shared" si="22"/>
        <v>-380316.23221582244</v>
      </c>
      <c r="H68" s="67">
        <f t="shared" si="22"/>
        <v>-494791.32201053528</v>
      </c>
      <c r="I68" s="67">
        <f t="shared" si="22"/>
        <v>-431358.46334859461</v>
      </c>
      <c r="J68" s="67">
        <f t="shared" si="22"/>
        <v>-333743.67114655615</v>
      </c>
      <c r="K68" s="67">
        <f t="shared" si="22"/>
        <v>-109169.85723428302</v>
      </c>
      <c r="L68" s="67">
        <f t="shared" si="22"/>
        <v>212320.67798946647</v>
      </c>
      <c r="M68" s="67">
        <f t="shared" si="22"/>
        <v>422037.69438290817</v>
      </c>
      <c r="N68" s="67">
        <f t="shared" si="22"/>
        <v>827135.80780780851</v>
      </c>
      <c r="O68" s="67">
        <f t="shared" si="22"/>
        <v>1268039.2654950039</v>
      </c>
      <c r="P68" s="67">
        <f t="shared" si="22"/>
        <v>1776515.2149854826</v>
      </c>
      <c r="Q68" s="67">
        <f t="shared" si="22"/>
        <v>1827043.3922118845</v>
      </c>
      <c r="R68" s="67">
        <f t="shared" si="22"/>
        <v>2090148.4936740028</v>
      </c>
      <c r="S68" s="67">
        <f t="shared" si="22"/>
        <v>2420826.0869394047</v>
      </c>
      <c r="T68" s="67">
        <f t="shared" si="22"/>
        <v>2539314.4780190038</v>
      </c>
      <c r="U68" s="67">
        <f t="shared" si="22"/>
        <v>2666736.169645064</v>
      </c>
      <c r="V68" s="67">
        <f t="shared" si="22"/>
        <v>2057145.657460734</v>
      </c>
      <c r="W68" s="67">
        <f t="shared" si="22"/>
        <v>1819396.6649928682</v>
      </c>
      <c r="X68" s="67">
        <f t="shared" si="22"/>
        <v>1504114.295475798</v>
      </c>
      <c r="Y68" s="67">
        <f t="shared" si="22"/>
        <v>822215.02387633931</v>
      </c>
      <c r="Z68" s="67">
        <f t="shared" si="22"/>
        <v>746557.15059320233</v>
      </c>
      <c r="AA68" s="67">
        <f t="shared" si="22"/>
        <v>753405.17894945643</v>
      </c>
      <c r="AB68" s="67">
        <f t="shared" si="22"/>
        <v>760253.20730565093</v>
      </c>
      <c r="AC68" s="67">
        <f t="shared" si="22"/>
        <v>767101.23566189967</v>
      </c>
      <c r="AD68" s="67">
        <f t="shared" si="22"/>
        <v>35389.405799236032</v>
      </c>
      <c r="AE68" s="67">
        <f t="shared" si="22"/>
        <v>124833.85024368047</v>
      </c>
      <c r="AF68" s="67">
        <f t="shared" si="22"/>
        <v>124833.85024369537</v>
      </c>
      <c r="AG68" s="67">
        <f t="shared" si="22"/>
        <v>124833.85024368047</v>
      </c>
      <c r="AH68" s="67">
        <f t="shared" si="22"/>
        <v>124833.85024368047</v>
      </c>
      <c r="AI68" s="67">
        <f t="shared" si="22"/>
        <v>124833.85024368047</v>
      </c>
      <c r="AJ68" s="67">
        <f t="shared" si="22"/>
        <v>124833.85024369537</v>
      </c>
      <c r="AK68" s="67">
        <f t="shared" si="22"/>
        <v>124833.85024368047</v>
      </c>
      <c r="AL68" s="67">
        <f t="shared" si="22"/>
        <v>124833.85024368047</v>
      </c>
      <c r="AM68" s="67">
        <f t="shared" si="22"/>
        <v>124833.85024368047</v>
      </c>
      <c r="AN68" s="67">
        <f t="shared" si="22"/>
        <v>124833.85024369537</v>
      </c>
    </row>
    <row r="69" spans="1:40" s="51" customFormat="1" ht="13.5" customHeight="1" x14ac:dyDescent="0.3">
      <c r="C69" s="65"/>
    </row>
    <row r="70" spans="1:40" ht="13.5" customHeight="1" x14ac:dyDescent="0.3"/>
    <row r="71" spans="1:40" s="57" customFormat="1" ht="13.5" customHeight="1" x14ac:dyDescent="0.3">
      <c r="B71" s="57" t="s">
        <v>138</v>
      </c>
      <c r="D71" s="57">
        <f t="shared" ref="D71:AN71" si="23">$C$22*D51</f>
        <v>0</v>
      </c>
      <c r="E71" s="57">
        <f t="shared" si="23"/>
        <v>3560.9747452370411</v>
      </c>
      <c r="F71" s="57">
        <f t="shared" si="23"/>
        <v>5889.3043863535677</v>
      </c>
      <c r="G71" s="57">
        <f t="shared" si="23"/>
        <v>7532.8311918475874</v>
      </c>
      <c r="H71" s="57">
        <f t="shared" si="23"/>
        <v>27479.494266725731</v>
      </c>
      <c r="I71" s="57">
        <f t="shared" si="23"/>
        <v>46438.808613203386</v>
      </c>
      <c r="J71" s="57">
        <f t="shared" si="23"/>
        <v>66765.400301284884</v>
      </c>
      <c r="K71" s="57">
        <f t="shared" si="23"/>
        <v>92170.352857775841</v>
      </c>
      <c r="L71" s="57">
        <f t="shared" si="23"/>
        <v>121451.97426672574</v>
      </c>
      <c r="M71" s="57">
        <f t="shared" si="23"/>
        <v>146262.65492246352</v>
      </c>
      <c r="N71" s="57">
        <f t="shared" si="23"/>
        <v>178888.57945945949</v>
      </c>
      <c r="O71" s="57">
        <f t="shared" si="23"/>
        <v>196524.71776694732</v>
      </c>
      <c r="P71" s="57">
        <f t="shared" si="23"/>
        <v>233285.75574656652</v>
      </c>
      <c r="Q71" s="57">
        <f t="shared" si="23"/>
        <v>235306.88283562259</v>
      </c>
      <c r="R71" s="57">
        <f t="shared" si="23"/>
        <v>229409.08689410717</v>
      </c>
      <c r="S71" s="57">
        <f t="shared" si="23"/>
        <v>242636.19062472344</v>
      </c>
      <c r="T71" s="57">
        <f t="shared" si="23"/>
        <v>233637.05960124047</v>
      </c>
      <c r="U71" s="57">
        <f t="shared" si="23"/>
        <v>222311.92726628305</v>
      </c>
      <c r="V71" s="57">
        <f t="shared" si="23"/>
        <v>181506.30677890958</v>
      </c>
      <c r="W71" s="57">
        <f t="shared" si="23"/>
        <v>139152.34708019526</v>
      </c>
      <c r="X71" s="57">
        <f t="shared" si="23"/>
        <v>93697.052299512332</v>
      </c>
      <c r="Y71" s="57">
        <f t="shared" si="23"/>
        <v>66421.081435533764</v>
      </c>
      <c r="Z71" s="57">
        <f t="shared" si="23"/>
        <v>42142.766504208448</v>
      </c>
      <c r="AA71" s="57">
        <f t="shared" si="23"/>
        <v>42416.687638458614</v>
      </c>
      <c r="AB71" s="57">
        <f t="shared" si="23"/>
        <v>42690.608772706393</v>
      </c>
      <c r="AC71" s="57">
        <f t="shared" si="23"/>
        <v>42964.529906956552</v>
      </c>
      <c r="AD71" s="57">
        <f t="shared" si="23"/>
        <v>13696.05671244979</v>
      </c>
      <c r="AE71" s="57">
        <f t="shared" si="23"/>
        <v>13696.05671244979</v>
      </c>
      <c r="AF71" s="57">
        <f t="shared" si="23"/>
        <v>13696.056712450385</v>
      </c>
      <c r="AG71" s="57">
        <f t="shared" si="23"/>
        <v>13696.05671244979</v>
      </c>
      <c r="AH71" s="57">
        <f t="shared" si="23"/>
        <v>13696.05671244979</v>
      </c>
      <c r="AI71" s="57">
        <f t="shared" si="23"/>
        <v>13696.05671244979</v>
      </c>
      <c r="AJ71" s="57">
        <f t="shared" si="23"/>
        <v>13696.056712450385</v>
      </c>
      <c r="AK71" s="57">
        <f t="shared" si="23"/>
        <v>13696.05671244979</v>
      </c>
      <c r="AL71" s="57">
        <f t="shared" si="23"/>
        <v>13696.05671244979</v>
      </c>
      <c r="AM71" s="57">
        <f t="shared" si="23"/>
        <v>13696.05671244979</v>
      </c>
      <c r="AN71" s="57">
        <f t="shared" si="23"/>
        <v>13696.056712450385</v>
      </c>
    </row>
    <row r="72" spans="1:40" ht="13.5" customHeight="1" x14ac:dyDescent="0.3">
      <c r="C72" s="64"/>
    </row>
    <row r="73" spans="1:40" s="22" customFormat="1" ht="13.5" customHeight="1" x14ac:dyDescent="0.3">
      <c r="B73" s="68" t="s">
        <v>139</v>
      </c>
      <c r="C73" s="68"/>
      <c r="D73" s="46">
        <v>0</v>
      </c>
      <c r="E73" s="46">
        <v>1</v>
      </c>
      <c r="F73" s="46">
        <v>2</v>
      </c>
      <c r="G73" s="46">
        <v>3</v>
      </c>
      <c r="H73" s="46">
        <v>4</v>
      </c>
      <c r="I73" s="46">
        <v>5</v>
      </c>
      <c r="J73" s="46">
        <v>6</v>
      </c>
      <c r="K73" s="46">
        <v>7</v>
      </c>
      <c r="L73" s="46">
        <v>8</v>
      </c>
      <c r="M73" s="46">
        <v>9</v>
      </c>
      <c r="N73" s="46">
        <v>10</v>
      </c>
      <c r="O73" s="46">
        <v>11</v>
      </c>
      <c r="P73" s="46">
        <v>12</v>
      </c>
      <c r="Q73" s="46">
        <v>13</v>
      </c>
      <c r="R73" s="46">
        <v>14</v>
      </c>
      <c r="S73" s="46">
        <v>15</v>
      </c>
      <c r="T73" s="46">
        <v>16</v>
      </c>
      <c r="U73" s="46">
        <v>17</v>
      </c>
      <c r="V73" s="46">
        <v>18</v>
      </c>
      <c r="W73" s="46">
        <v>19</v>
      </c>
      <c r="X73" s="46">
        <v>20</v>
      </c>
      <c r="Y73" s="46">
        <v>21</v>
      </c>
      <c r="Z73" s="46">
        <v>22</v>
      </c>
      <c r="AA73" s="46">
        <v>23</v>
      </c>
      <c r="AB73" s="46">
        <v>24</v>
      </c>
      <c r="AC73" s="46">
        <v>25</v>
      </c>
      <c r="AD73" s="46">
        <v>26</v>
      </c>
      <c r="AE73" s="46">
        <v>27</v>
      </c>
      <c r="AF73" s="46">
        <v>28</v>
      </c>
      <c r="AG73" s="46">
        <f t="shared" ref="AG73:AN73" si="24">AF73+1</f>
        <v>29</v>
      </c>
      <c r="AH73" s="46">
        <f t="shared" si="24"/>
        <v>30</v>
      </c>
      <c r="AI73" s="46">
        <f t="shared" si="24"/>
        <v>31</v>
      </c>
      <c r="AJ73" s="46">
        <f t="shared" si="24"/>
        <v>32</v>
      </c>
      <c r="AK73" s="46">
        <f t="shared" si="24"/>
        <v>33</v>
      </c>
      <c r="AL73" s="46">
        <f t="shared" si="24"/>
        <v>34</v>
      </c>
      <c r="AM73" s="46">
        <f t="shared" si="24"/>
        <v>35</v>
      </c>
      <c r="AN73" s="46">
        <f t="shared" si="24"/>
        <v>36</v>
      </c>
    </row>
    <row r="74" spans="1:40" ht="13.5" customHeight="1" x14ac:dyDescent="0.3">
      <c r="B74" s="69" t="s">
        <v>140</v>
      </c>
      <c r="C74" s="69"/>
      <c r="D74" s="57">
        <f t="shared" ref="D74:AN74" si="25">D47</f>
        <v>0</v>
      </c>
      <c r="E74" s="57">
        <f t="shared" si="25"/>
        <v>89024.368630926023</v>
      </c>
      <c r="F74" s="57">
        <f t="shared" si="25"/>
        <v>147232.60965883918</v>
      </c>
      <c r="G74" s="57">
        <f t="shared" si="25"/>
        <v>188320.77979618969</v>
      </c>
      <c r="H74" s="57">
        <f t="shared" si="25"/>
        <v>686987.3566681433</v>
      </c>
      <c r="I74" s="57">
        <f t="shared" si="25"/>
        <v>1160970.2153300846</v>
      </c>
      <c r="J74" s="57">
        <f t="shared" si="25"/>
        <v>1669135.0075321221</v>
      </c>
      <c r="K74" s="57">
        <f t="shared" si="25"/>
        <v>2304258.8214443959</v>
      </c>
      <c r="L74" s="57">
        <f t="shared" si="25"/>
        <v>3036299.3566681435</v>
      </c>
      <c r="M74" s="57">
        <f t="shared" si="25"/>
        <v>3656566.373061588</v>
      </c>
      <c r="N74" s="57">
        <f t="shared" si="25"/>
        <v>4472214.4864864871</v>
      </c>
      <c r="O74" s="57">
        <f t="shared" si="25"/>
        <v>4913117.9441736825</v>
      </c>
      <c r="P74" s="57">
        <f t="shared" si="25"/>
        <v>5832143.8936641626</v>
      </c>
      <c r="Q74" s="57">
        <f t="shared" si="25"/>
        <v>5882672.0708905645</v>
      </c>
      <c r="R74" s="57">
        <f t="shared" si="25"/>
        <v>5735227.1723526791</v>
      </c>
      <c r="S74" s="57">
        <f t="shared" si="25"/>
        <v>6065904.7656180859</v>
      </c>
      <c r="T74" s="57">
        <f t="shared" si="25"/>
        <v>5840926.4900310114</v>
      </c>
      <c r="U74" s="57">
        <f t="shared" si="25"/>
        <v>5557798.1816570759</v>
      </c>
      <c r="V74" s="57">
        <f t="shared" si="25"/>
        <v>4537657.6694727391</v>
      </c>
      <c r="W74" s="57">
        <f t="shared" si="25"/>
        <v>3478808.6770048812</v>
      </c>
      <c r="X74" s="57">
        <f t="shared" si="25"/>
        <v>2342426.3074878082</v>
      </c>
      <c r="Y74" s="57">
        <f t="shared" si="25"/>
        <v>1660527.035888344</v>
      </c>
      <c r="Z74" s="57">
        <f t="shared" si="25"/>
        <v>1053569.1626052111</v>
      </c>
      <c r="AA74" s="57">
        <f t="shared" si="25"/>
        <v>1060417.1909614652</v>
      </c>
      <c r="AB74" s="57">
        <f t="shared" si="25"/>
        <v>1067265.2193176597</v>
      </c>
      <c r="AC74" s="57">
        <f t="shared" si="25"/>
        <v>1074113.2476739138</v>
      </c>
      <c r="AD74" s="57">
        <f t="shared" si="25"/>
        <v>342401.41781124473</v>
      </c>
      <c r="AE74" s="57">
        <f t="shared" si="25"/>
        <v>342401.41781124473</v>
      </c>
      <c r="AF74" s="57">
        <f t="shared" si="25"/>
        <v>342401.41781125963</v>
      </c>
      <c r="AG74" s="57">
        <f t="shared" si="25"/>
        <v>342401.41781124473</v>
      </c>
      <c r="AH74" s="57">
        <f t="shared" si="25"/>
        <v>342401.41781124473</v>
      </c>
      <c r="AI74" s="57">
        <f t="shared" si="25"/>
        <v>342401.41781124473</v>
      </c>
      <c r="AJ74" s="57">
        <f t="shared" si="25"/>
        <v>342401.41781125963</v>
      </c>
      <c r="AK74" s="57">
        <f t="shared" si="25"/>
        <v>342401.41781124473</v>
      </c>
      <c r="AL74" s="57">
        <f t="shared" si="25"/>
        <v>342401.41781124473</v>
      </c>
      <c r="AM74" s="57">
        <f t="shared" si="25"/>
        <v>342401.41781124473</v>
      </c>
      <c r="AN74" s="57">
        <f t="shared" si="25"/>
        <v>342401.41781125963</v>
      </c>
    </row>
    <row r="75" spans="1:40" s="57" customFormat="1" ht="14.25" customHeight="1" x14ac:dyDescent="0.3">
      <c r="B75" s="57" t="s">
        <v>133</v>
      </c>
      <c r="D75" s="57">
        <f t="shared" ref="D75:AD75" si="26">-$C$20*$C$8/27</f>
        <v>-89444.444444444438</v>
      </c>
      <c r="E75" s="57">
        <f t="shared" si="26"/>
        <v>-89444.444444444438</v>
      </c>
      <c r="F75" s="57">
        <f t="shared" si="26"/>
        <v>-89444.444444444438</v>
      </c>
      <c r="G75" s="57">
        <f t="shared" si="26"/>
        <v>-89444.444444444438</v>
      </c>
      <c r="H75" s="57">
        <f t="shared" si="26"/>
        <v>-89444.444444444438</v>
      </c>
      <c r="I75" s="57">
        <f t="shared" si="26"/>
        <v>-89444.444444444438</v>
      </c>
      <c r="J75" s="57">
        <f t="shared" si="26"/>
        <v>-89444.444444444438</v>
      </c>
      <c r="K75" s="57">
        <f t="shared" si="26"/>
        <v>-89444.444444444438</v>
      </c>
      <c r="L75" s="57">
        <f t="shared" si="26"/>
        <v>-89444.444444444438</v>
      </c>
      <c r="M75" s="57">
        <f t="shared" si="26"/>
        <v>-89444.444444444438</v>
      </c>
      <c r="N75" s="57">
        <f t="shared" si="26"/>
        <v>-89444.444444444438</v>
      </c>
      <c r="O75" s="57">
        <f t="shared" si="26"/>
        <v>-89444.444444444438</v>
      </c>
      <c r="P75" s="57">
        <f t="shared" si="26"/>
        <v>-89444.444444444438</v>
      </c>
      <c r="Q75" s="57">
        <f t="shared" si="26"/>
        <v>-89444.444444444438</v>
      </c>
      <c r="R75" s="57">
        <f t="shared" si="26"/>
        <v>-89444.444444444438</v>
      </c>
      <c r="S75" s="57">
        <f t="shared" si="26"/>
        <v>-89444.444444444438</v>
      </c>
      <c r="T75" s="57">
        <f t="shared" si="26"/>
        <v>-89444.444444444438</v>
      </c>
      <c r="U75" s="57">
        <f t="shared" si="26"/>
        <v>-89444.444444444438</v>
      </c>
      <c r="V75" s="57">
        <f t="shared" si="26"/>
        <v>-89444.444444444438</v>
      </c>
      <c r="W75" s="57">
        <f t="shared" si="26"/>
        <v>-89444.444444444438</v>
      </c>
      <c r="X75" s="57">
        <f t="shared" si="26"/>
        <v>-89444.444444444438</v>
      </c>
      <c r="Y75" s="57">
        <f t="shared" si="26"/>
        <v>-89444.444444444438</v>
      </c>
      <c r="Z75" s="57">
        <f t="shared" si="26"/>
        <v>-89444.444444444438</v>
      </c>
      <c r="AA75" s="57">
        <f t="shared" si="26"/>
        <v>-89444.444444444438</v>
      </c>
      <c r="AB75" s="57">
        <f t="shared" si="26"/>
        <v>-89444.444444444438</v>
      </c>
      <c r="AC75" s="57">
        <f t="shared" si="26"/>
        <v>-89444.444444444438</v>
      </c>
      <c r="AD75" s="57">
        <f t="shared" si="26"/>
        <v>-89444.444444444438</v>
      </c>
      <c r="AE75" s="57">
        <v>0</v>
      </c>
      <c r="AF75" s="57">
        <v>0</v>
      </c>
      <c r="AG75" s="57">
        <v>0</v>
      </c>
      <c r="AH75" s="57">
        <v>0</v>
      </c>
      <c r="AI75" s="57">
        <v>0</v>
      </c>
      <c r="AJ75" s="57">
        <v>0</v>
      </c>
      <c r="AK75" s="57">
        <v>0</v>
      </c>
      <c r="AL75" s="57">
        <v>0</v>
      </c>
      <c r="AM75" s="57">
        <v>0</v>
      </c>
      <c r="AN75" s="57">
        <v>0</v>
      </c>
    </row>
    <row r="76" spans="1:40" ht="13.5" customHeight="1" x14ac:dyDescent="0.3">
      <c r="B76" s="69" t="s">
        <v>141</v>
      </c>
      <c r="C76" s="69"/>
      <c r="D76" s="57">
        <f>-$C$14*$C$8</f>
        <v>0</v>
      </c>
      <c r="E76" s="57">
        <v>0</v>
      </c>
      <c r="F76" s="57">
        <v>0</v>
      </c>
      <c r="G76" s="57">
        <v>0</v>
      </c>
      <c r="H76" s="57">
        <v>0</v>
      </c>
      <c r="I76" s="57">
        <v>0</v>
      </c>
      <c r="J76" s="57">
        <v>0</v>
      </c>
      <c r="K76" s="57">
        <v>0</v>
      </c>
      <c r="L76" s="57">
        <v>0</v>
      </c>
      <c r="M76" s="57">
        <v>0</v>
      </c>
      <c r="N76" s="57">
        <v>0</v>
      </c>
      <c r="O76" s="57">
        <v>0</v>
      </c>
      <c r="P76" s="57">
        <v>0</v>
      </c>
      <c r="Q76" s="57">
        <v>0</v>
      </c>
      <c r="R76" s="57">
        <v>0</v>
      </c>
      <c r="S76" s="57">
        <v>0</v>
      </c>
      <c r="T76" s="57">
        <v>0</v>
      </c>
      <c r="U76" s="57">
        <v>0</v>
      </c>
      <c r="V76" s="57">
        <v>0</v>
      </c>
      <c r="W76" s="57">
        <v>0</v>
      </c>
      <c r="X76" s="57">
        <v>0</v>
      </c>
      <c r="Y76" s="57">
        <v>0</v>
      </c>
      <c r="Z76" s="57">
        <v>0</v>
      </c>
      <c r="AA76" s="57">
        <v>0</v>
      </c>
      <c r="AB76" s="57">
        <v>0</v>
      </c>
      <c r="AC76" s="57">
        <v>0</v>
      </c>
      <c r="AD76" s="57">
        <v>0</v>
      </c>
      <c r="AE76" s="57">
        <v>0</v>
      </c>
      <c r="AF76" s="57">
        <v>0</v>
      </c>
      <c r="AG76" s="57">
        <v>0</v>
      </c>
      <c r="AH76" s="57">
        <v>0</v>
      </c>
      <c r="AI76" s="57">
        <v>0</v>
      </c>
      <c r="AJ76" s="57">
        <v>0</v>
      </c>
      <c r="AK76" s="57">
        <v>0</v>
      </c>
      <c r="AL76" s="57">
        <v>0</v>
      </c>
      <c r="AM76" s="57">
        <v>0</v>
      </c>
      <c r="AN76" s="57">
        <v>0</v>
      </c>
    </row>
    <row r="77" spans="1:40" ht="13.5" customHeight="1" x14ac:dyDescent="0.3">
      <c r="B77" s="69" t="s">
        <v>142</v>
      </c>
      <c r="C77" s="69"/>
      <c r="D77" s="57">
        <f t="shared" ref="D77:AN77" si="27">-D39*$C$8</f>
        <v>0</v>
      </c>
      <c r="E77" s="57">
        <f t="shared" si="27"/>
        <v>0</v>
      </c>
      <c r="F77" s="57">
        <f t="shared" si="27"/>
        <v>0</v>
      </c>
      <c r="G77" s="57">
        <f t="shared" si="27"/>
        <v>0</v>
      </c>
      <c r="H77" s="57">
        <f t="shared" si="27"/>
        <v>0</v>
      </c>
      <c r="I77" s="57">
        <f t="shared" si="27"/>
        <v>0</v>
      </c>
      <c r="J77" s="57">
        <f t="shared" si="27"/>
        <v>0</v>
      </c>
      <c r="K77" s="57">
        <f t="shared" si="27"/>
        <v>0</v>
      </c>
      <c r="L77" s="57">
        <f t="shared" si="27"/>
        <v>0</v>
      </c>
      <c r="M77" s="57">
        <f t="shared" si="27"/>
        <v>0</v>
      </c>
      <c r="N77" s="57">
        <f t="shared" si="27"/>
        <v>0</v>
      </c>
      <c r="O77" s="57">
        <f t="shared" si="27"/>
        <v>0</v>
      </c>
      <c r="P77" s="28">
        <f t="shared" si="27"/>
        <v>0</v>
      </c>
      <c r="Q77" s="25">
        <f t="shared" si="27"/>
        <v>0</v>
      </c>
      <c r="R77" s="25">
        <f t="shared" si="27"/>
        <v>0</v>
      </c>
      <c r="S77" s="25">
        <f t="shared" si="27"/>
        <v>0</v>
      </c>
      <c r="T77" s="25">
        <f t="shared" si="27"/>
        <v>0</v>
      </c>
      <c r="U77" s="25">
        <f t="shared" si="27"/>
        <v>0</v>
      </c>
      <c r="V77" s="25">
        <f t="shared" si="27"/>
        <v>0</v>
      </c>
      <c r="W77" s="25">
        <f t="shared" si="27"/>
        <v>0</v>
      </c>
      <c r="X77" s="25">
        <f t="shared" si="27"/>
        <v>0</v>
      </c>
      <c r="Y77" s="25">
        <f t="shared" si="27"/>
        <v>0</v>
      </c>
      <c r="Z77" s="25">
        <f t="shared" si="27"/>
        <v>0</v>
      </c>
      <c r="AA77" s="25">
        <f t="shared" si="27"/>
        <v>0</v>
      </c>
      <c r="AB77" s="25">
        <f t="shared" si="27"/>
        <v>0</v>
      </c>
      <c r="AC77" s="25">
        <f t="shared" si="27"/>
        <v>0</v>
      </c>
      <c r="AD77" s="25">
        <f t="shared" si="27"/>
        <v>0</v>
      </c>
      <c r="AE77" s="25">
        <f t="shared" si="27"/>
        <v>0</v>
      </c>
      <c r="AF77" s="25">
        <f t="shared" si="27"/>
        <v>0</v>
      </c>
      <c r="AG77" s="25">
        <f t="shared" si="27"/>
        <v>0</v>
      </c>
      <c r="AH77" s="25">
        <f t="shared" si="27"/>
        <v>0</v>
      </c>
      <c r="AI77" s="25">
        <f t="shared" si="27"/>
        <v>0</v>
      </c>
      <c r="AJ77" s="25">
        <f t="shared" si="27"/>
        <v>0</v>
      </c>
      <c r="AK77" s="25">
        <f t="shared" si="27"/>
        <v>0</v>
      </c>
      <c r="AL77" s="25">
        <f t="shared" si="27"/>
        <v>0</v>
      </c>
      <c r="AM77" s="25">
        <f t="shared" si="27"/>
        <v>0</v>
      </c>
      <c r="AN77" s="25">
        <f t="shared" si="27"/>
        <v>0</v>
      </c>
    </row>
    <row r="78" spans="1:40" ht="13.5" customHeight="1" x14ac:dyDescent="0.3">
      <c r="B78" s="69" t="s">
        <v>143</v>
      </c>
      <c r="C78" s="69"/>
      <c r="D78" s="57">
        <f t="shared" ref="D78:AN78" si="28">-D37*$C$16*$C$9</f>
        <v>0</v>
      </c>
      <c r="E78" s="57">
        <f t="shared" si="28"/>
        <v>0</v>
      </c>
      <c r="F78" s="57">
        <f t="shared" si="28"/>
        <v>0</v>
      </c>
      <c r="G78" s="57">
        <f t="shared" si="28"/>
        <v>0</v>
      </c>
      <c r="H78" s="57">
        <f t="shared" si="28"/>
        <v>-821100</v>
      </c>
      <c r="I78" s="57">
        <f t="shared" si="28"/>
        <v>-1231650</v>
      </c>
      <c r="J78" s="57">
        <f t="shared" si="28"/>
        <v>-1642200</v>
      </c>
      <c r="K78" s="57">
        <f t="shared" si="28"/>
        <v>-2052750</v>
      </c>
      <c r="L78" s="57">
        <f t="shared" si="28"/>
        <v>-2463300</v>
      </c>
      <c r="M78" s="57">
        <f t="shared" si="28"/>
        <v>-2873850</v>
      </c>
      <c r="N78" s="57">
        <f t="shared" si="28"/>
        <v>-3284400</v>
      </c>
      <c r="O78" s="57">
        <f t="shared" si="28"/>
        <v>-3284400</v>
      </c>
      <c r="P78" s="57">
        <f t="shared" si="28"/>
        <v>-3694950</v>
      </c>
      <c r="Q78" s="57">
        <f t="shared" si="28"/>
        <v>-3694950</v>
      </c>
      <c r="R78" s="57">
        <f t="shared" si="28"/>
        <v>-3284400</v>
      </c>
      <c r="S78" s="57">
        <f t="shared" si="28"/>
        <v>-3284400</v>
      </c>
      <c r="T78" s="57">
        <f t="shared" si="28"/>
        <v>-2873850</v>
      </c>
      <c r="U78" s="57">
        <f t="shared" si="28"/>
        <v>-2463300</v>
      </c>
      <c r="V78" s="57">
        <f t="shared" si="28"/>
        <v>-2052750</v>
      </c>
      <c r="W78" s="57">
        <f t="shared" si="28"/>
        <v>-1231650</v>
      </c>
      <c r="X78" s="57">
        <f t="shared" si="28"/>
        <v>-410550</v>
      </c>
      <c r="Y78" s="57">
        <f t="shared" si="28"/>
        <v>-410550</v>
      </c>
      <c r="Z78" s="57">
        <f t="shared" si="28"/>
        <v>0</v>
      </c>
      <c r="AA78" s="57">
        <f t="shared" si="28"/>
        <v>0</v>
      </c>
      <c r="AB78" s="57">
        <f t="shared" si="28"/>
        <v>0</v>
      </c>
      <c r="AC78" s="57">
        <f t="shared" si="28"/>
        <v>0</v>
      </c>
      <c r="AD78" s="57">
        <f t="shared" si="28"/>
        <v>0</v>
      </c>
      <c r="AE78" s="57">
        <f t="shared" si="28"/>
        <v>0</v>
      </c>
      <c r="AF78" s="57">
        <f t="shared" si="28"/>
        <v>0</v>
      </c>
      <c r="AG78" s="57">
        <f t="shared" si="28"/>
        <v>0</v>
      </c>
      <c r="AH78" s="57">
        <f t="shared" si="28"/>
        <v>0</v>
      </c>
      <c r="AI78" s="57">
        <f t="shared" si="28"/>
        <v>0</v>
      </c>
      <c r="AJ78" s="57">
        <f t="shared" si="28"/>
        <v>0</v>
      </c>
      <c r="AK78" s="57">
        <f t="shared" si="28"/>
        <v>0</v>
      </c>
      <c r="AL78" s="57">
        <f t="shared" si="28"/>
        <v>0</v>
      </c>
      <c r="AM78" s="57">
        <f t="shared" si="28"/>
        <v>0</v>
      </c>
      <c r="AN78" s="57">
        <f t="shared" si="28"/>
        <v>0</v>
      </c>
    </row>
    <row r="79" spans="1:40" ht="13.5" customHeight="1" x14ac:dyDescent="0.3">
      <c r="B79" s="69" t="s">
        <v>177</v>
      </c>
      <c r="C79" s="69"/>
      <c r="D79" s="57">
        <f t="shared" ref="D79:AN79" si="29">-$C$15*$C$8/37</f>
        <v>-217567.56756756757</v>
      </c>
      <c r="E79" s="57">
        <f t="shared" si="29"/>
        <v>-217567.56756756757</v>
      </c>
      <c r="F79" s="57">
        <f t="shared" si="29"/>
        <v>-217567.56756756757</v>
      </c>
      <c r="G79" s="57">
        <f t="shared" si="29"/>
        <v>-217567.56756756757</v>
      </c>
      <c r="H79" s="57">
        <f t="shared" si="29"/>
        <v>-217567.56756756757</v>
      </c>
      <c r="I79" s="57">
        <f t="shared" si="29"/>
        <v>-217567.56756756757</v>
      </c>
      <c r="J79" s="57">
        <f t="shared" si="29"/>
        <v>-217567.56756756757</v>
      </c>
      <c r="K79" s="57">
        <f t="shared" si="29"/>
        <v>-217567.56756756757</v>
      </c>
      <c r="L79" s="57">
        <f t="shared" si="29"/>
        <v>-217567.56756756757</v>
      </c>
      <c r="M79" s="57">
        <f t="shared" si="29"/>
        <v>-217567.56756756757</v>
      </c>
      <c r="N79" s="57">
        <f t="shared" si="29"/>
        <v>-217567.56756756757</v>
      </c>
      <c r="O79" s="57">
        <f t="shared" si="29"/>
        <v>-217567.56756756757</v>
      </c>
      <c r="P79" s="25">
        <f t="shared" si="29"/>
        <v>-217567.56756756757</v>
      </c>
      <c r="Q79" s="25">
        <f t="shared" si="29"/>
        <v>-217567.56756756757</v>
      </c>
      <c r="R79" s="25">
        <f t="shared" si="29"/>
        <v>-217567.56756756757</v>
      </c>
      <c r="S79" s="25">
        <f t="shared" si="29"/>
        <v>-217567.56756756757</v>
      </c>
      <c r="T79" s="25">
        <f t="shared" si="29"/>
        <v>-217567.56756756757</v>
      </c>
      <c r="U79" s="25">
        <f t="shared" si="29"/>
        <v>-217567.56756756757</v>
      </c>
      <c r="V79" s="25">
        <f t="shared" si="29"/>
        <v>-217567.56756756757</v>
      </c>
      <c r="W79" s="25">
        <f t="shared" si="29"/>
        <v>-217567.56756756757</v>
      </c>
      <c r="X79" s="25">
        <f t="shared" si="29"/>
        <v>-217567.56756756757</v>
      </c>
      <c r="Y79" s="25">
        <f t="shared" si="29"/>
        <v>-217567.56756756757</v>
      </c>
      <c r="Z79" s="25">
        <f t="shared" si="29"/>
        <v>-217567.56756756757</v>
      </c>
      <c r="AA79" s="25">
        <f t="shared" si="29"/>
        <v>-217567.56756756757</v>
      </c>
      <c r="AB79" s="25">
        <f t="shared" si="29"/>
        <v>-217567.56756756757</v>
      </c>
      <c r="AC79" s="25">
        <f t="shared" si="29"/>
        <v>-217567.56756756757</v>
      </c>
      <c r="AD79" s="25">
        <f t="shared" si="29"/>
        <v>-217567.56756756757</v>
      </c>
      <c r="AE79" s="25">
        <f t="shared" si="29"/>
        <v>-217567.56756756757</v>
      </c>
      <c r="AF79" s="25">
        <f t="shared" si="29"/>
        <v>-217567.56756756757</v>
      </c>
      <c r="AG79" s="25">
        <f t="shared" si="29"/>
        <v>-217567.56756756757</v>
      </c>
      <c r="AH79" s="25">
        <f t="shared" si="29"/>
        <v>-217567.56756756757</v>
      </c>
      <c r="AI79" s="25">
        <f t="shared" si="29"/>
        <v>-217567.56756756757</v>
      </c>
      <c r="AJ79" s="25">
        <f t="shared" si="29"/>
        <v>-217567.56756756757</v>
      </c>
      <c r="AK79" s="25">
        <f t="shared" si="29"/>
        <v>-217567.56756756757</v>
      </c>
      <c r="AL79" s="25">
        <f t="shared" si="29"/>
        <v>-217567.56756756757</v>
      </c>
      <c r="AM79" s="25">
        <f t="shared" si="29"/>
        <v>-217567.56756756757</v>
      </c>
      <c r="AN79" s="25">
        <f t="shared" si="29"/>
        <v>-217567.56756756757</v>
      </c>
    </row>
    <row r="80" spans="1:40" ht="13.5" customHeight="1" x14ac:dyDescent="0.3">
      <c r="B80" s="69" t="s">
        <v>134</v>
      </c>
      <c r="C80" s="69"/>
      <c r="D80" s="57">
        <f>-$C$23*$C$8*0.075</f>
        <v>-120750</v>
      </c>
      <c r="E80" s="57">
        <f>-$C$23*$C$8*0.075</f>
        <v>-120750</v>
      </c>
      <c r="F80" s="57">
        <f>-$C$23*$C$8*0.075</f>
        <v>-120750</v>
      </c>
      <c r="G80" s="57">
        <f>-$C$23*$C$8*0.075</f>
        <v>-120750</v>
      </c>
      <c r="H80" s="57">
        <f t="shared" ref="H80:S80" si="30">-$C$23*$C$8*0.025</f>
        <v>-40250</v>
      </c>
      <c r="I80" s="57">
        <f t="shared" si="30"/>
        <v>-40250</v>
      </c>
      <c r="J80" s="57">
        <f t="shared" si="30"/>
        <v>-40250</v>
      </c>
      <c r="K80" s="57">
        <f t="shared" si="30"/>
        <v>-40250</v>
      </c>
      <c r="L80" s="57">
        <f t="shared" si="30"/>
        <v>-40250</v>
      </c>
      <c r="M80" s="57">
        <f t="shared" si="30"/>
        <v>-40250</v>
      </c>
      <c r="N80" s="57">
        <f t="shared" si="30"/>
        <v>-40250</v>
      </c>
      <c r="O80" s="57">
        <f t="shared" si="30"/>
        <v>-40250</v>
      </c>
      <c r="P80" s="57">
        <f t="shared" si="30"/>
        <v>-40250</v>
      </c>
      <c r="Q80" s="57">
        <f t="shared" si="30"/>
        <v>-40250</v>
      </c>
      <c r="R80" s="57">
        <f t="shared" si="30"/>
        <v>-40250</v>
      </c>
      <c r="S80" s="57">
        <f t="shared" si="30"/>
        <v>-40250</v>
      </c>
      <c r="T80" s="57">
        <f t="shared" ref="T80:Y80" si="31">-$C$23*$C$8*0.0666666666666667</f>
        <v>-107333.33333333337</v>
      </c>
      <c r="U80" s="57">
        <f t="shared" si="31"/>
        <v>-107333.33333333337</v>
      </c>
      <c r="V80" s="57">
        <f t="shared" si="31"/>
        <v>-107333.33333333337</v>
      </c>
      <c r="W80" s="57">
        <f t="shared" si="31"/>
        <v>-107333.33333333337</v>
      </c>
      <c r="X80" s="57">
        <f t="shared" si="31"/>
        <v>-107333.33333333337</v>
      </c>
      <c r="Y80" s="57">
        <f t="shared" si="31"/>
        <v>-107333.33333333337</v>
      </c>
      <c r="Z80" s="57">
        <v>0</v>
      </c>
      <c r="AA80" s="57">
        <v>0</v>
      </c>
      <c r="AB80" s="57">
        <v>0</v>
      </c>
      <c r="AC80" s="57">
        <v>0</v>
      </c>
      <c r="AD80" s="57">
        <v>0</v>
      </c>
      <c r="AE80" s="57">
        <v>0</v>
      </c>
      <c r="AF80" s="57">
        <v>0</v>
      </c>
      <c r="AG80" s="57">
        <v>0</v>
      </c>
      <c r="AH80" s="57">
        <v>0</v>
      </c>
      <c r="AI80" s="57">
        <v>0</v>
      </c>
      <c r="AJ80" s="57">
        <v>0</v>
      </c>
      <c r="AK80" s="57">
        <v>0</v>
      </c>
      <c r="AL80" s="57">
        <v>0</v>
      </c>
      <c r="AM80" s="57">
        <v>0</v>
      </c>
      <c r="AN80" s="57">
        <v>0</v>
      </c>
    </row>
    <row r="81" spans="1:40" ht="13.5" customHeight="1" x14ac:dyDescent="0.3">
      <c r="B81" s="69" t="s">
        <v>135</v>
      </c>
      <c r="C81" s="69"/>
      <c r="D81" s="57">
        <f>-$C$24*$C$8*0.175</f>
        <v>-140875</v>
      </c>
      <c r="E81" s="57">
        <f>-$C$24*$C$8*0.175</f>
        <v>-140875</v>
      </c>
      <c r="F81" s="57">
        <f>-$C$24*$C$8*0.175</f>
        <v>-140875</v>
      </c>
      <c r="G81" s="57">
        <f>-$C$24*$C$8*0.175</f>
        <v>-140875</v>
      </c>
      <c r="H81" s="57">
        <f t="shared" ref="H81:Y81" si="32">-$C$24*$C$8*0.0166666666666667</f>
        <v>-13416.666666666695</v>
      </c>
      <c r="I81" s="57">
        <f t="shared" si="32"/>
        <v>-13416.666666666695</v>
      </c>
      <c r="J81" s="57">
        <f t="shared" si="32"/>
        <v>-13416.666666666695</v>
      </c>
      <c r="K81" s="57">
        <f t="shared" si="32"/>
        <v>-13416.666666666695</v>
      </c>
      <c r="L81" s="57">
        <f t="shared" si="32"/>
        <v>-13416.666666666695</v>
      </c>
      <c r="M81" s="57">
        <f t="shared" si="32"/>
        <v>-13416.666666666695</v>
      </c>
      <c r="N81" s="57">
        <f t="shared" si="32"/>
        <v>-13416.666666666695</v>
      </c>
      <c r="O81" s="57">
        <f t="shared" si="32"/>
        <v>-13416.666666666695</v>
      </c>
      <c r="P81" s="57">
        <f t="shared" si="32"/>
        <v>-13416.666666666695</v>
      </c>
      <c r="Q81" s="57">
        <f t="shared" si="32"/>
        <v>-13416.666666666695</v>
      </c>
      <c r="R81" s="57">
        <f t="shared" si="32"/>
        <v>-13416.666666666695</v>
      </c>
      <c r="S81" s="57">
        <f t="shared" si="32"/>
        <v>-13416.666666666695</v>
      </c>
      <c r="T81" s="57">
        <f t="shared" si="32"/>
        <v>-13416.666666666695</v>
      </c>
      <c r="U81" s="57">
        <f t="shared" si="32"/>
        <v>-13416.666666666695</v>
      </c>
      <c r="V81" s="57">
        <f t="shared" si="32"/>
        <v>-13416.666666666695</v>
      </c>
      <c r="W81" s="57">
        <f t="shared" si="32"/>
        <v>-13416.666666666695</v>
      </c>
      <c r="X81" s="57">
        <f t="shared" si="32"/>
        <v>-13416.666666666695</v>
      </c>
      <c r="Y81" s="57">
        <f t="shared" si="32"/>
        <v>-13416.666666666695</v>
      </c>
      <c r="Z81" s="57">
        <v>0</v>
      </c>
      <c r="AA81" s="57">
        <v>0</v>
      </c>
      <c r="AB81" s="57">
        <v>0</v>
      </c>
      <c r="AC81" s="57">
        <v>0</v>
      </c>
      <c r="AD81" s="57">
        <v>0</v>
      </c>
      <c r="AE81" s="57">
        <v>0</v>
      </c>
      <c r="AF81" s="57">
        <v>0</v>
      </c>
      <c r="AG81" s="57">
        <v>0</v>
      </c>
      <c r="AH81" s="57">
        <v>0</v>
      </c>
      <c r="AI81" s="57">
        <v>0</v>
      </c>
      <c r="AJ81" s="57">
        <v>0</v>
      </c>
      <c r="AK81" s="57">
        <v>0</v>
      </c>
      <c r="AL81" s="57">
        <v>0</v>
      </c>
      <c r="AM81" s="57">
        <v>0</v>
      </c>
      <c r="AN81" s="57">
        <v>0</v>
      </c>
    </row>
    <row r="82" spans="1:40" s="57" customFormat="1" ht="14.25" customHeight="1" x14ac:dyDescent="0.3">
      <c r="B82" s="57" t="s">
        <v>145</v>
      </c>
      <c r="D82" s="57">
        <f t="shared" ref="D82:AN82" si="33">-D37*$C$8*$C$21</f>
        <v>0</v>
      </c>
      <c r="E82" s="57">
        <f t="shared" si="33"/>
        <v>0</v>
      </c>
      <c r="F82" s="57">
        <f t="shared" si="33"/>
        <v>0</v>
      </c>
      <c r="G82" s="57">
        <f t="shared" si="33"/>
        <v>0</v>
      </c>
      <c r="H82" s="57">
        <f t="shared" si="33"/>
        <v>0</v>
      </c>
      <c r="I82" s="57">
        <f t="shared" si="33"/>
        <v>0</v>
      </c>
      <c r="J82" s="57">
        <f t="shared" si="33"/>
        <v>0</v>
      </c>
      <c r="K82" s="57">
        <f t="shared" si="33"/>
        <v>0</v>
      </c>
      <c r="L82" s="57">
        <f t="shared" si="33"/>
        <v>0</v>
      </c>
      <c r="M82" s="57">
        <f t="shared" si="33"/>
        <v>0</v>
      </c>
      <c r="N82" s="57">
        <f t="shared" si="33"/>
        <v>0</v>
      </c>
      <c r="O82" s="57">
        <f t="shared" si="33"/>
        <v>0</v>
      </c>
      <c r="P82" s="57">
        <f t="shared" si="33"/>
        <v>0</v>
      </c>
      <c r="Q82" s="57">
        <f t="shared" si="33"/>
        <v>0</v>
      </c>
      <c r="R82" s="57">
        <f t="shared" si="33"/>
        <v>0</v>
      </c>
      <c r="S82" s="57">
        <f t="shared" si="33"/>
        <v>0</v>
      </c>
      <c r="T82" s="57">
        <f t="shared" si="33"/>
        <v>0</v>
      </c>
      <c r="U82" s="57">
        <f t="shared" si="33"/>
        <v>0</v>
      </c>
      <c r="V82" s="57">
        <f t="shared" si="33"/>
        <v>0</v>
      </c>
      <c r="W82" s="57">
        <f t="shared" si="33"/>
        <v>0</v>
      </c>
      <c r="X82" s="57">
        <f t="shared" si="33"/>
        <v>0</v>
      </c>
      <c r="Y82" s="57">
        <f t="shared" si="33"/>
        <v>0</v>
      </c>
      <c r="Z82" s="57">
        <f t="shared" si="33"/>
        <v>0</v>
      </c>
      <c r="AA82" s="57">
        <f t="shared" si="33"/>
        <v>0</v>
      </c>
      <c r="AB82" s="57">
        <f t="shared" si="33"/>
        <v>0</v>
      </c>
      <c r="AC82" s="57">
        <f t="shared" si="33"/>
        <v>0</v>
      </c>
      <c r="AD82" s="57">
        <f t="shared" si="33"/>
        <v>0</v>
      </c>
      <c r="AE82" s="57">
        <f t="shared" si="33"/>
        <v>0</v>
      </c>
      <c r="AF82" s="57">
        <f t="shared" si="33"/>
        <v>0</v>
      </c>
      <c r="AG82" s="57">
        <f t="shared" si="33"/>
        <v>0</v>
      </c>
      <c r="AH82" s="57">
        <f t="shared" si="33"/>
        <v>0</v>
      </c>
      <c r="AI82" s="57">
        <f t="shared" si="33"/>
        <v>0</v>
      </c>
      <c r="AJ82" s="57">
        <f t="shared" si="33"/>
        <v>0</v>
      </c>
      <c r="AK82" s="57">
        <f t="shared" si="33"/>
        <v>0</v>
      </c>
      <c r="AL82" s="57">
        <f t="shared" si="33"/>
        <v>0</v>
      </c>
      <c r="AM82" s="57">
        <f t="shared" si="33"/>
        <v>0</v>
      </c>
      <c r="AN82" s="57">
        <f t="shared" si="33"/>
        <v>0</v>
      </c>
    </row>
    <row r="83" spans="1:40" ht="13.5" customHeight="1" x14ac:dyDescent="0.3">
      <c r="B83" s="70"/>
      <c r="C83" s="70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</row>
    <row r="84" spans="1:40" ht="13.5" customHeight="1" x14ac:dyDescent="0.3">
      <c r="B84" s="69"/>
      <c r="C84" s="69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</row>
    <row r="85" spans="1:40" ht="13.5" customHeight="1" x14ac:dyDescent="0.3">
      <c r="B85" s="72"/>
      <c r="C85" s="72"/>
      <c r="D85" s="73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</row>
    <row r="86" spans="1:40" s="74" customFormat="1" ht="13.5" customHeight="1" x14ac:dyDescent="0.3">
      <c r="B86" s="74" t="s">
        <v>147</v>
      </c>
      <c r="D86" s="74">
        <f t="shared" ref="D86:AN86" si="34">D75+D74+D76+D77+D78+D79+D80+D81+D82+D83-D71</f>
        <v>-568637.01201201207</v>
      </c>
      <c r="E86" s="74">
        <f t="shared" si="34"/>
        <v>-483173.61812632304</v>
      </c>
      <c r="F86" s="74">
        <f t="shared" si="34"/>
        <v>-427293.70673952642</v>
      </c>
      <c r="G86" s="74">
        <f t="shared" si="34"/>
        <v>-387849.06340766989</v>
      </c>
      <c r="H86" s="74">
        <f t="shared" si="34"/>
        <v>-522270.81627726118</v>
      </c>
      <c r="I86" s="74">
        <f t="shared" si="34"/>
        <v>-477797.27196179761</v>
      </c>
      <c r="J86" s="74">
        <f t="shared" si="34"/>
        <v>-400509.07144784159</v>
      </c>
      <c r="K86" s="74">
        <f t="shared" si="34"/>
        <v>-201340.2100920587</v>
      </c>
      <c r="L86" s="74">
        <f t="shared" si="34"/>
        <v>90868.703722739039</v>
      </c>
      <c r="M86" s="74">
        <f t="shared" si="34"/>
        <v>275775.03946044575</v>
      </c>
      <c r="N86" s="74">
        <f t="shared" si="34"/>
        <v>648247.22834834922</v>
      </c>
      <c r="O86" s="74">
        <f t="shared" si="34"/>
        <v>1071514.5477280568</v>
      </c>
      <c r="P86" s="74">
        <f t="shared" si="34"/>
        <v>1543229.4592389178</v>
      </c>
      <c r="Q86" s="74">
        <f t="shared" si="34"/>
        <v>1591736.5093762635</v>
      </c>
      <c r="R86" s="74">
        <f t="shared" si="34"/>
        <v>1860739.4067798937</v>
      </c>
      <c r="S86" s="74">
        <f t="shared" si="34"/>
        <v>2178189.8963146843</v>
      </c>
      <c r="T86" s="74">
        <f t="shared" si="34"/>
        <v>2305677.4184177597</v>
      </c>
      <c r="U86" s="74">
        <f t="shared" si="34"/>
        <v>2444424.2423787815</v>
      </c>
      <c r="V86" s="74">
        <f t="shared" si="34"/>
        <v>1875639.3506818179</v>
      </c>
      <c r="W86" s="74">
        <f t="shared" si="34"/>
        <v>1680244.3179126738</v>
      </c>
      <c r="X86" s="74">
        <f t="shared" si="34"/>
        <v>1410417.2431762838</v>
      </c>
      <c r="Y86" s="74">
        <f t="shared" si="34"/>
        <v>755793.94244079804</v>
      </c>
      <c r="Z86" s="74">
        <f t="shared" si="34"/>
        <v>704414.38408899063</v>
      </c>
      <c r="AA86" s="74">
        <f t="shared" si="34"/>
        <v>710988.49131099461</v>
      </c>
      <c r="AB86" s="74">
        <f t="shared" si="34"/>
        <v>717562.59853294131</v>
      </c>
      <c r="AC86" s="74">
        <f t="shared" si="34"/>
        <v>724136.70575494517</v>
      </c>
      <c r="AD86" s="74">
        <f t="shared" si="34"/>
        <v>21693.349086782924</v>
      </c>
      <c r="AE86" s="74">
        <f t="shared" si="34"/>
        <v>111137.79353122736</v>
      </c>
      <c r="AF86" s="74">
        <f t="shared" si="34"/>
        <v>111137.79353124167</v>
      </c>
      <c r="AG86" s="74">
        <f t="shared" si="34"/>
        <v>111137.79353122736</v>
      </c>
      <c r="AH86" s="74">
        <f t="shared" si="34"/>
        <v>111137.79353122736</v>
      </c>
      <c r="AI86" s="74">
        <f t="shared" si="34"/>
        <v>111137.79353122736</v>
      </c>
      <c r="AJ86" s="74">
        <f t="shared" si="34"/>
        <v>111137.79353124167</v>
      </c>
      <c r="AK86" s="74">
        <f t="shared" si="34"/>
        <v>111137.79353122736</v>
      </c>
      <c r="AL86" s="74">
        <f t="shared" si="34"/>
        <v>111137.79353122736</v>
      </c>
      <c r="AM86" s="74">
        <f t="shared" si="34"/>
        <v>111137.79353122736</v>
      </c>
      <c r="AN86" s="74">
        <f t="shared" si="34"/>
        <v>111137.79353124167</v>
      </c>
    </row>
    <row r="87" spans="1:40" s="74" customFormat="1" ht="13.5" customHeight="1" x14ac:dyDescent="0.3">
      <c r="B87" s="74" t="s">
        <v>148</v>
      </c>
      <c r="D87" s="74">
        <f>D86</f>
        <v>-568637.01201201207</v>
      </c>
      <c r="E87" s="74">
        <f t="shared" ref="E87:AN87" si="35">D87+E86</f>
        <v>-1051810.6301383351</v>
      </c>
      <c r="F87" s="74">
        <f t="shared" si="35"/>
        <v>-1479104.3368778615</v>
      </c>
      <c r="G87" s="74">
        <f t="shared" si="35"/>
        <v>-1866953.4002855313</v>
      </c>
      <c r="H87" s="74">
        <f t="shared" si="35"/>
        <v>-2389224.2165627927</v>
      </c>
      <c r="I87" s="74">
        <f t="shared" si="35"/>
        <v>-2867021.4885245902</v>
      </c>
      <c r="J87" s="74">
        <f t="shared" si="35"/>
        <v>-3267530.5599724315</v>
      </c>
      <c r="K87" s="74">
        <f t="shared" si="35"/>
        <v>-3468870.7700644904</v>
      </c>
      <c r="L87" s="74">
        <f t="shared" si="35"/>
        <v>-3378002.0663417513</v>
      </c>
      <c r="M87" s="74">
        <f t="shared" si="35"/>
        <v>-3102227.0268813055</v>
      </c>
      <c r="N87" s="74">
        <f t="shared" si="35"/>
        <v>-2453979.7985329563</v>
      </c>
      <c r="O87" s="74">
        <f t="shared" si="35"/>
        <v>-1382465.2508048995</v>
      </c>
      <c r="P87" s="74">
        <f t="shared" si="35"/>
        <v>160764.20843401831</v>
      </c>
      <c r="Q87" s="74">
        <f t="shared" si="35"/>
        <v>1752500.7178102818</v>
      </c>
      <c r="R87" s="74">
        <f t="shared" si="35"/>
        <v>3613240.1245901752</v>
      </c>
      <c r="S87" s="74">
        <f t="shared" si="35"/>
        <v>5791430.0209048595</v>
      </c>
      <c r="T87" s="74">
        <f t="shared" si="35"/>
        <v>8097107.4393226188</v>
      </c>
      <c r="U87" s="74">
        <f t="shared" si="35"/>
        <v>10541531.681701399</v>
      </c>
      <c r="V87" s="74">
        <f t="shared" si="35"/>
        <v>12417171.032383217</v>
      </c>
      <c r="W87" s="74">
        <f t="shared" si="35"/>
        <v>14097415.35029589</v>
      </c>
      <c r="X87" s="74">
        <f t="shared" si="35"/>
        <v>15507832.593472173</v>
      </c>
      <c r="Y87" s="74">
        <f t="shared" si="35"/>
        <v>16263626.535912972</v>
      </c>
      <c r="Z87" s="74">
        <f t="shared" si="35"/>
        <v>16968040.920001961</v>
      </c>
      <c r="AA87" s="74">
        <f t="shared" si="35"/>
        <v>17679029.411312956</v>
      </c>
      <c r="AB87" s="74">
        <f t="shared" si="35"/>
        <v>18396592.009845898</v>
      </c>
      <c r="AC87" s="74">
        <f t="shared" si="35"/>
        <v>19120728.715600844</v>
      </c>
      <c r="AD87" s="74">
        <f t="shared" si="35"/>
        <v>19142422.064687628</v>
      </c>
      <c r="AE87" s="74">
        <f t="shared" si="35"/>
        <v>19253559.858218856</v>
      </c>
      <c r="AF87" s="74">
        <f t="shared" si="35"/>
        <v>19364697.651750099</v>
      </c>
      <c r="AG87" s="74">
        <f t="shared" si="35"/>
        <v>19475835.445281327</v>
      </c>
      <c r="AH87" s="74">
        <f t="shared" si="35"/>
        <v>19586973.238812555</v>
      </c>
      <c r="AI87" s="74">
        <f t="shared" si="35"/>
        <v>19698111.032343782</v>
      </c>
      <c r="AJ87" s="74">
        <f t="shared" si="35"/>
        <v>19809248.825875025</v>
      </c>
      <c r="AK87" s="74">
        <f t="shared" si="35"/>
        <v>19920386.619406253</v>
      </c>
      <c r="AL87" s="74">
        <f t="shared" si="35"/>
        <v>20031524.412937481</v>
      </c>
      <c r="AM87" s="74">
        <f t="shared" si="35"/>
        <v>20142662.206468709</v>
      </c>
      <c r="AN87" s="74">
        <f t="shared" si="35"/>
        <v>20253799.999999952</v>
      </c>
    </row>
    <row r="88" spans="1:40" ht="13.5" customHeight="1" x14ac:dyDescent="0.3"/>
    <row r="89" spans="1:40" s="38" customFormat="1" ht="13.5" customHeight="1" x14ac:dyDescent="0.3">
      <c r="A89" s="63"/>
      <c r="B89" s="75" t="s">
        <v>149</v>
      </c>
      <c r="C89" s="76"/>
      <c r="D89" s="77">
        <f>IRR(D86:AN86)</f>
        <v>0.1583208004873955</v>
      </c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</row>
    <row r="90" spans="1:40" ht="13.5" customHeight="1" x14ac:dyDescent="0.3">
      <c r="B90" s="78" t="s">
        <v>150</v>
      </c>
      <c r="C90" s="64"/>
      <c r="D90" s="59">
        <f>(1+D89)^12 -1</f>
        <v>4.8337291649280987</v>
      </c>
    </row>
    <row r="91" spans="1:40" ht="13.5" customHeight="1" x14ac:dyDescent="0.3">
      <c r="B91" s="28"/>
      <c r="C91" s="61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</row>
    <row r="92" spans="1:40" ht="13.5" customHeight="1" x14ac:dyDescent="0.3">
      <c r="B92" s="78" t="s">
        <v>151</v>
      </c>
      <c r="C92" s="64"/>
      <c r="D92" s="79">
        <f>AN87</f>
        <v>20253799.999999952</v>
      </c>
      <c r="E92" s="80"/>
    </row>
    <row r="93" spans="1:40" ht="13.5" customHeight="1" x14ac:dyDescent="0.3">
      <c r="B93" s="28" t="s">
        <v>152</v>
      </c>
      <c r="C93" s="61"/>
      <c r="D93" s="79">
        <f>-MIN(D87:AM87)</f>
        <v>3468870.7700644904</v>
      </c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</row>
    <row r="94" spans="1:40" ht="13.5" customHeight="1" x14ac:dyDescent="0.35">
      <c r="B94" s="81" t="s">
        <v>153</v>
      </c>
      <c r="C94" s="82"/>
      <c r="D94" s="83">
        <f>D93/C8</f>
        <v>4.3091562361049572E-2</v>
      </c>
      <c r="E94" s="31"/>
      <c r="F94" s="31"/>
      <c r="G94" s="84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</row>
    <row r="95" spans="1:40" ht="13.5" customHeight="1" x14ac:dyDescent="0.3">
      <c r="B95" s="28" t="s">
        <v>154</v>
      </c>
      <c r="C95" s="61"/>
      <c r="D95" s="85">
        <f>D92/AN46</f>
        <v>0.26208333333333289</v>
      </c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</row>
    <row r="96" spans="1:40" ht="13.5" customHeight="1" x14ac:dyDescent="0.3">
      <c r="B96" s="28" t="s">
        <v>155</v>
      </c>
      <c r="C96" s="61"/>
      <c r="D96" s="85">
        <v>0.12659999999999999</v>
      </c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</row>
    <row r="97" spans="1:40" ht="14.25" customHeight="1" x14ac:dyDescent="0.35">
      <c r="B97" s="31" t="s">
        <v>156</v>
      </c>
      <c r="D97" s="86">
        <f>(1+D96)^(1/12) - 1</f>
        <v>9.9831901409603852E-3</v>
      </c>
      <c r="E97" s="31"/>
      <c r="F97" s="31"/>
      <c r="G97" s="87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</row>
    <row r="98" spans="1:40" ht="13.5" customHeight="1" x14ac:dyDescent="0.3">
      <c r="A98" s="25" t="s">
        <v>110</v>
      </c>
      <c r="B98" s="88" t="s">
        <v>157</v>
      </c>
      <c r="C98" s="89"/>
      <c r="D98" s="88">
        <f>D86+NPV(D97,E86:AN86)</f>
        <v>16637083.150801618</v>
      </c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</row>
    <row r="99" spans="1:40" ht="13.5" customHeight="1" x14ac:dyDescent="0.3">
      <c r="B99" s="28"/>
      <c r="C99" s="61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</row>
    <row r="100" spans="1:40" ht="13.5" customHeight="1" x14ac:dyDescent="0.35">
      <c r="B100" s="78"/>
      <c r="C100" s="64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</row>
    <row r="101" spans="1:40" ht="13.5" customHeight="1" x14ac:dyDescent="0.3">
      <c r="B101" s="75"/>
      <c r="C101" s="91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</row>
    <row r="102" spans="1:40" ht="13.5" customHeight="1" x14ac:dyDescent="0.3">
      <c r="B102" s="75"/>
      <c r="C102" s="91"/>
      <c r="D102" s="92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</row>
    <row r="103" spans="1:40" ht="13.5" customHeight="1" x14ac:dyDescent="0.3">
      <c r="B103" s="78"/>
      <c r="D103" s="94"/>
    </row>
    <row r="104" spans="1:40" ht="13.5" customHeight="1" x14ac:dyDescent="0.35">
      <c r="B104" s="78"/>
      <c r="C104" s="64"/>
      <c r="D104" s="31"/>
    </row>
    <row r="105" spans="1:40" ht="14.25" customHeight="1" x14ac:dyDescent="0.35">
      <c r="B105" s="31"/>
      <c r="D105" s="31"/>
      <c r="F105" s="25" t="s">
        <v>158</v>
      </c>
    </row>
    <row r="106" spans="1:40" ht="14.25" customHeight="1" x14ac:dyDescent="0.35">
      <c r="B106" s="31"/>
      <c r="D106" s="31"/>
    </row>
    <row r="107" spans="1:40" ht="14.25" customHeight="1" x14ac:dyDescent="0.35">
      <c r="D107" s="31"/>
      <c r="E107" s="25" t="s">
        <v>159</v>
      </c>
      <c r="F107" s="58">
        <f>D89</f>
        <v>0.1583208004873955</v>
      </c>
      <c r="G107" s="58">
        <v>0.17</v>
      </c>
      <c r="H107" s="58">
        <v>0.19</v>
      </c>
      <c r="I107" s="58">
        <v>0.21</v>
      </c>
      <c r="J107" s="58">
        <v>0.23</v>
      </c>
      <c r="K107" s="58">
        <v>0.25</v>
      </c>
    </row>
    <row r="108" spans="1:40" ht="14.25" customHeight="1" x14ac:dyDescent="0.3">
      <c r="E108" s="58">
        <f t="shared" ref="E108:E114" si="36">1-F108</f>
        <v>0.32999999999999996</v>
      </c>
      <c r="F108" s="58">
        <v>0.67</v>
      </c>
      <c r="G108" s="95">
        <v>0.113850086545985</v>
      </c>
      <c r="H108" s="95">
        <v>0.113850086545985</v>
      </c>
      <c r="I108" s="95">
        <v>0.113850086545985</v>
      </c>
      <c r="J108" s="95">
        <v>0.113850086545985</v>
      </c>
      <c r="K108" s="95">
        <v>0.113850086545985</v>
      </c>
    </row>
    <row r="109" spans="1:40" ht="14.25" customHeight="1" x14ac:dyDescent="0.3">
      <c r="E109" s="58">
        <f t="shared" si="36"/>
        <v>0.35</v>
      </c>
      <c r="F109" s="58">
        <v>0.65</v>
      </c>
      <c r="G109" s="95">
        <v>0.128366766195807</v>
      </c>
      <c r="H109" s="95">
        <v>0.128366766195807</v>
      </c>
      <c r="I109" s="95">
        <v>0.128366766195807</v>
      </c>
      <c r="J109" s="95">
        <v>0.128366766195807</v>
      </c>
      <c r="K109" s="95">
        <v>0.128366766195807</v>
      </c>
    </row>
    <row r="110" spans="1:40" ht="14.25" customHeight="1" x14ac:dyDescent="0.3">
      <c r="E110" s="58">
        <f t="shared" si="36"/>
        <v>0.37</v>
      </c>
      <c r="F110" s="58">
        <v>0.63</v>
      </c>
      <c r="G110" s="95">
        <v>0.14318161344647201</v>
      </c>
      <c r="H110" s="95">
        <v>0.14318161344647201</v>
      </c>
      <c r="I110" s="95">
        <v>0.14318161344647201</v>
      </c>
      <c r="J110" s="95">
        <v>0.14318161344647201</v>
      </c>
      <c r="K110" s="95">
        <v>0.14318161344647201</v>
      </c>
    </row>
    <row r="111" spans="1:40" ht="14.25" customHeight="1" x14ac:dyDescent="0.3">
      <c r="E111" s="58">
        <f t="shared" si="36"/>
        <v>0.39</v>
      </c>
      <c r="F111" s="58">
        <v>0.61</v>
      </c>
      <c r="G111" s="95">
        <v>0.15832080048736999</v>
      </c>
      <c r="H111" s="95">
        <v>0.15832080048736999</v>
      </c>
      <c r="I111" s="95">
        <v>0.15832080048736999</v>
      </c>
      <c r="J111" s="95">
        <v>0.15832080048736999</v>
      </c>
      <c r="K111" s="95">
        <v>0.15832080048736999</v>
      </c>
    </row>
    <row r="112" spans="1:40" ht="14.25" customHeight="1" x14ac:dyDescent="0.3">
      <c r="E112" s="58">
        <f t="shared" si="36"/>
        <v>0.41000000000000003</v>
      </c>
      <c r="F112" s="58">
        <v>0.59</v>
      </c>
      <c r="G112" s="95">
        <v>0.173814253081362</v>
      </c>
      <c r="H112" s="95">
        <v>0.173814253081362</v>
      </c>
      <c r="I112" s="95">
        <v>0.173814253081362</v>
      </c>
      <c r="J112" s="95">
        <v>0.173814253081362</v>
      </c>
      <c r="K112" s="95">
        <v>0.173814253081362</v>
      </c>
    </row>
    <row r="113" spans="5:11" ht="14.25" customHeight="1" x14ac:dyDescent="0.3">
      <c r="E113" s="58">
        <f t="shared" si="36"/>
        <v>0.43000000000000005</v>
      </c>
      <c r="F113" s="58">
        <v>0.56999999999999995</v>
      </c>
      <c r="G113" s="95">
        <v>0.18969640325347401</v>
      </c>
      <c r="H113" s="95">
        <v>0.18969640325347401</v>
      </c>
      <c r="I113" s="95">
        <v>0.18969640325347401</v>
      </c>
      <c r="J113" s="95">
        <v>0.18969640325347401</v>
      </c>
      <c r="K113" s="95">
        <v>0.18969640325347401</v>
      </c>
    </row>
    <row r="114" spans="5:11" ht="14.25" customHeight="1" x14ac:dyDescent="0.3">
      <c r="E114" s="58">
        <f t="shared" si="36"/>
        <v>0.44999999999999996</v>
      </c>
      <c r="F114" s="58">
        <v>0.55000000000000004</v>
      </c>
      <c r="G114" s="95">
        <v>0.206006977125026</v>
      </c>
      <c r="H114" s="95">
        <v>0.206006977125026</v>
      </c>
      <c r="I114" s="95">
        <v>0.206006977125026</v>
      </c>
      <c r="J114" s="95">
        <v>0.206006977125026</v>
      </c>
      <c r="K114" s="95">
        <v>0.206006977125026</v>
      </c>
    </row>
    <row r="115" spans="5:11" ht="14.25" customHeight="1" x14ac:dyDescent="0.3"/>
    <row r="116" spans="5:11" ht="14.25" customHeight="1" x14ac:dyDescent="0.3"/>
    <row r="117" spans="5:11" ht="14.25" customHeight="1" x14ac:dyDescent="0.3"/>
    <row r="118" spans="5:11" ht="14.25" customHeight="1" x14ac:dyDescent="0.3"/>
    <row r="119" spans="5:11" ht="14.25" customHeight="1" x14ac:dyDescent="0.3"/>
    <row r="120" spans="5:11" ht="14.25" customHeight="1" x14ac:dyDescent="0.3"/>
    <row r="121" spans="5:11" ht="14.25" customHeight="1" x14ac:dyDescent="0.3"/>
    <row r="122" spans="5:11" ht="14.25" customHeight="1" x14ac:dyDescent="0.3"/>
    <row r="123" spans="5:11" ht="14.25" customHeight="1" x14ac:dyDescent="0.3"/>
    <row r="124" spans="5:11" ht="14.25" customHeight="1" x14ac:dyDescent="0.3"/>
    <row r="125" spans="5:11" ht="14.25" customHeight="1" x14ac:dyDescent="0.3"/>
    <row r="126" spans="5:11" ht="14.25" customHeight="1" x14ac:dyDescent="0.3"/>
    <row r="127" spans="5:11" ht="14.25" customHeight="1" x14ac:dyDescent="0.3"/>
    <row r="128" spans="5:11" ht="13.5" customHeight="1" x14ac:dyDescent="0.3"/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0C4F6-D337-439B-98E7-94FD216C6DAB}">
  <sheetPr>
    <tabColor rgb="FF002060"/>
  </sheetPr>
  <dimension ref="A1:AO128"/>
  <sheetViews>
    <sheetView showGridLines="0" topLeftCell="F1" zoomScale="68" workbookViewId="0">
      <selection activeCell="N11" sqref="N11"/>
    </sheetView>
  </sheetViews>
  <sheetFormatPr defaultColWidth="8.81640625" defaultRowHeight="14" x14ac:dyDescent="0.3"/>
  <cols>
    <col min="1" max="1" width="1.54296875" style="25" customWidth="1"/>
    <col min="2" max="2" width="37.36328125" style="25" customWidth="1"/>
    <col min="3" max="3" width="18" style="25" customWidth="1"/>
    <col min="4" max="4" width="25.453125" style="25" customWidth="1"/>
    <col min="5" max="5" width="22.6328125" style="25" customWidth="1"/>
    <col min="6" max="7" width="23" style="25" customWidth="1"/>
    <col min="8" max="8" width="22.6328125" style="25" customWidth="1"/>
    <col min="9" max="12" width="20.6328125" style="25" customWidth="1"/>
    <col min="13" max="13" width="22.6328125" style="25" customWidth="1"/>
    <col min="14" max="14" width="21.26953125" style="25" customWidth="1"/>
    <col min="15" max="16" width="20.26953125" style="25" customWidth="1"/>
    <col min="17" max="19" width="18.1796875" style="25" customWidth="1"/>
    <col min="20" max="20" width="17.6328125" style="25" customWidth="1"/>
    <col min="21" max="22" width="18.1796875" style="25" customWidth="1"/>
    <col min="23" max="33" width="20.26953125" style="25" customWidth="1"/>
    <col min="34" max="39" width="18.1796875" style="25" customWidth="1"/>
    <col min="40" max="40" width="18.81640625" style="25" customWidth="1"/>
    <col min="41" max="16384" width="8.81640625" style="25"/>
  </cols>
  <sheetData>
    <row r="1" spans="1:15" s="21" customFormat="1" ht="6.75" customHeight="1" x14ac:dyDescent="0.3"/>
    <row r="2" spans="1:15" s="38" customFormat="1" ht="36" customHeight="1" x14ac:dyDescent="0.3">
      <c r="A2" s="137"/>
      <c r="C2" s="138"/>
      <c r="D2" s="138"/>
      <c r="E2" s="138"/>
      <c r="F2" s="138"/>
      <c r="H2" s="138"/>
      <c r="I2" s="138"/>
      <c r="J2" s="138"/>
      <c r="K2" s="138"/>
      <c r="L2" s="138"/>
      <c r="M2" s="138"/>
      <c r="N2" s="138"/>
    </row>
    <row r="3" spans="1:15" s="21" customFormat="1" ht="6" customHeight="1" x14ac:dyDescent="0.3">
      <c r="G3" s="23"/>
    </row>
    <row r="6" spans="1:15" s="21" customFormat="1" ht="13.5" customHeight="1" x14ac:dyDescent="0.35">
      <c r="A6" s="25"/>
      <c r="B6" s="26" t="s">
        <v>94</v>
      </c>
      <c r="C6" s="26"/>
      <c r="E6" s="27"/>
    </row>
    <row r="7" spans="1:15" ht="13.5" customHeight="1" x14ac:dyDescent="0.3"/>
    <row r="8" spans="1:15" ht="13.5" customHeight="1" x14ac:dyDescent="0.35">
      <c r="B8" s="28" t="s">
        <v>95</v>
      </c>
      <c r="C8" s="29">
        <f>C9*C10</f>
        <v>112000000</v>
      </c>
      <c r="D8" s="30"/>
      <c r="E8" s="31"/>
      <c r="F8" s="31"/>
      <c r="H8" s="25" t="s">
        <v>96</v>
      </c>
    </row>
    <row r="9" spans="1:15" ht="13.5" customHeight="1" x14ac:dyDescent="0.35">
      <c r="B9" s="28" t="s">
        <v>97</v>
      </c>
      <c r="C9" s="32">
        <v>350</v>
      </c>
      <c r="D9" s="30"/>
      <c r="E9" s="31"/>
      <c r="F9" s="31"/>
      <c r="H9" s="25" t="s">
        <v>98</v>
      </c>
      <c r="N9" s="25" t="s">
        <v>165</v>
      </c>
    </row>
    <row r="10" spans="1:15" ht="13.5" customHeight="1" x14ac:dyDescent="0.35">
      <c r="B10" s="28" t="s">
        <v>99</v>
      </c>
      <c r="C10" s="29">
        <v>320000</v>
      </c>
      <c r="D10" s="30"/>
      <c r="E10" s="31"/>
      <c r="F10" s="31"/>
      <c r="N10" s="25" t="s">
        <v>167</v>
      </c>
    </row>
    <row r="11" spans="1:15" ht="13.5" customHeight="1" x14ac:dyDescent="0.35">
      <c r="B11" s="25" t="s">
        <v>100</v>
      </c>
      <c r="C11" s="29">
        <f>C8-(C8*C19)</f>
        <v>107520000</v>
      </c>
      <c r="E11" s="33">
        <f>C8*C13</f>
        <v>67200000.000000015</v>
      </c>
      <c r="F11" s="31"/>
      <c r="N11" s="25" t="s">
        <v>166</v>
      </c>
      <c r="O11" s="356">
        <v>0.06</v>
      </c>
    </row>
    <row r="12" spans="1:15" ht="13.5" customHeight="1" x14ac:dyDescent="0.35">
      <c r="C12" s="34"/>
      <c r="E12" s="31"/>
      <c r="F12" s="31"/>
    </row>
    <row r="13" spans="1:15" ht="13.5" customHeight="1" x14ac:dyDescent="0.3">
      <c r="B13" s="28" t="s">
        <v>101</v>
      </c>
      <c r="C13" s="35">
        <f>C14+(C16*C9/C8)</f>
        <v>0.60000000000000009</v>
      </c>
      <c r="D13" s="30"/>
    </row>
    <row r="14" spans="1:15" ht="13.5" customHeight="1" x14ac:dyDescent="0.3">
      <c r="B14" s="28" t="s">
        <v>178</v>
      </c>
      <c r="C14" s="35">
        <v>0.14000000000000001</v>
      </c>
      <c r="D14" s="30"/>
    </row>
    <row r="15" spans="1:15" ht="13.5" customHeight="1" x14ac:dyDescent="0.3">
      <c r="B15" s="28"/>
      <c r="C15" s="35"/>
      <c r="D15" s="30"/>
      <c r="E15" s="25">
        <f>C14*C8</f>
        <v>15680000.000000002</v>
      </c>
    </row>
    <row r="16" spans="1:15" ht="13.5" customHeight="1" x14ac:dyDescent="0.3">
      <c r="B16" s="28" t="s">
        <v>103</v>
      </c>
      <c r="C16" s="36">
        <v>147200</v>
      </c>
      <c r="D16" s="30"/>
      <c r="H16" s="25" t="s">
        <v>179</v>
      </c>
    </row>
    <row r="17" spans="1:41" ht="13.5" customHeight="1" x14ac:dyDescent="0.3">
      <c r="B17" s="28"/>
      <c r="C17" s="35"/>
      <c r="D17" s="30"/>
    </row>
    <row r="18" spans="1:41" ht="13.5" customHeight="1" x14ac:dyDescent="0.3">
      <c r="C18" s="35"/>
    </row>
    <row r="19" spans="1:41" ht="13.5" customHeight="1" x14ac:dyDescent="0.3">
      <c r="B19" s="25" t="s">
        <v>105</v>
      </c>
      <c r="C19" s="35">
        <v>0.04</v>
      </c>
    </row>
    <row r="20" spans="1:41" ht="13.5" customHeight="1" x14ac:dyDescent="0.3">
      <c r="B20" s="28" t="s">
        <v>106</v>
      </c>
      <c r="C20" s="35">
        <v>0.03</v>
      </c>
      <c r="D20" s="30"/>
    </row>
    <row r="21" spans="1:41" ht="13.5" customHeight="1" x14ac:dyDescent="0.3">
      <c r="B21" s="28" t="s">
        <v>107</v>
      </c>
      <c r="C21" s="35">
        <v>0</v>
      </c>
      <c r="D21" s="30"/>
    </row>
    <row r="22" spans="1:41" ht="13.5" customHeight="1" x14ac:dyDescent="0.3">
      <c r="B22" s="28" t="s">
        <v>108</v>
      </c>
      <c r="C22" s="35">
        <v>0.04</v>
      </c>
      <c r="D22" s="30"/>
    </row>
    <row r="23" spans="1:41" ht="13.5" customHeight="1" x14ac:dyDescent="0.3">
      <c r="B23" s="28" t="s">
        <v>162</v>
      </c>
      <c r="C23" s="37">
        <v>0</v>
      </c>
      <c r="D23" s="30"/>
    </row>
    <row r="24" spans="1:41" s="38" customFormat="1" ht="13.5" customHeight="1" x14ac:dyDescent="0.3">
      <c r="B24" s="28" t="s">
        <v>109</v>
      </c>
      <c r="C24" s="41">
        <v>0.01</v>
      </c>
      <c r="D24" s="30"/>
      <c r="E24" s="39"/>
      <c r="H24" s="39"/>
      <c r="K24" s="39"/>
      <c r="N24" s="39"/>
      <c r="Q24" s="39"/>
      <c r="T24" s="39"/>
      <c r="W24" s="39"/>
      <c r="Z24" s="39"/>
      <c r="AC24" s="39"/>
      <c r="AF24" s="39"/>
      <c r="AI24" s="39"/>
      <c r="AL24" s="39"/>
      <c r="AO24" s="39"/>
    </row>
    <row r="25" spans="1:41" s="40" customFormat="1" ht="13.5" customHeight="1" x14ac:dyDescent="0.3"/>
    <row r="26" spans="1:41" s="38" customFormat="1" ht="13.5" customHeight="1" x14ac:dyDescent="0.3">
      <c r="B26" s="28"/>
      <c r="C26" s="41"/>
      <c r="D26" s="30"/>
      <c r="E26" s="39"/>
      <c r="H26" s="39"/>
      <c r="K26" s="39"/>
      <c r="N26" s="39"/>
      <c r="Q26" s="39"/>
      <c r="T26" s="39"/>
      <c r="W26" s="39"/>
      <c r="Z26" s="39"/>
      <c r="AC26" s="39"/>
      <c r="AF26" s="39"/>
      <c r="AI26" s="39"/>
      <c r="AL26" s="39"/>
      <c r="AO26" s="39"/>
    </row>
    <row r="27" spans="1:41" s="21" customFormat="1" ht="13.5" customHeight="1" x14ac:dyDescent="0.3">
      <c r="A27" s="38"/>
      <c r="B27" s="42"/>
      <c r="C27" s="43"/>
      <c r="D27" s="44"/>
    </row>
    <row r="28" spans="1:41" s="46" customFormat="1" ht="13.5" customHeight="1" x14ac:dyDescent="0.3">
      <c r="A28" s="45"/>
      <c r="D28" s="46">
        <v>0</v>
      </c>
      <c r="E28" s="46">
        <v>1</v>
      </c>
      <c r="F28" s="46">
        <v>2</v>
      </c>
      <c r="G28" s="46">
        <v>3</v>
      </c>
      <c r="H28" s="46">
        <v>4</v>
      </c>
      <c r="I28" s="46">
        <v>5</v>
      </c>
      <c r="J28" s="46">
        <v>6</v>
      </c>
      <c r="K28" s="46">
        <v>7</v>
      </c>
      <c r="L28" s="46">
        <v>8</v>
      </c>
      <c r="M28" s="46">
        <v>9</v>
      </c>
      <c r="N28" s="46">
        <v>10</v>
      </c>
      <c r="O28" s="46">
        <v>11</v>
      </c>
      <c r="P28" s="46">
        <v>12</v>
      </c>
      <c r="Q28" s="46">
        <v>13</v>
      </c>
      <c r="R28" s="46">
        <v>14</v>
      </c>
      <c r="S28" s="46">
        <v>15</v>
      </c>
      <c r="T28" s="46">
        <v>16</v>
      </c>
      <c r="U28" s="46">
        <v>17</v>
      </c>
      <c r="V28" s="46">
        <v>18</v>
      </c>
      <c r="W28" s="46">
        <v>19</v>
      </c>
      <c r="X28" s="46">
        <v>20</v>
      </c>
      <c r="Y28" s="46">
        <v>21</v>
      </c>
      <c r="Z28" s="46">
        <v>22</v>
      </c>
      <c r="AA28" s="46">
        <v>23</v>
      </c>
      <c r="AB28" s="46">
        <v>24</v>
      </c>
      <c r="AC28" s="46">
        <v>25</v>
      </c>
      <c r="AD28" s="46">
        <v>26</v>
      </c>
      <c r="AE28" s="46">
        <v>27</v>
      </c>
      <c r="AF28" s="46">
        <v>28</v>
      </c>
      <c r="AG28" s="46">
        <f t="shared" ref="AG28:AN28" si="0">AF28+1</f>
        <v>29</v>
      </c>
      <c r="AH28" s="46">
        <f t="shared" si="0"/>
        <v>30</v>
      </c>
      <c r="AI28" s="46">
        <f t="shared" si="0"/>
        <v>31</v>
      </c>
      <c r="AJ28" s="46">
        <f t="shared" si="0"/>
        <v>32</v>
      </c>
      <c r="AK28" s="46">
        <f t="shared" si="0"/>
        <v>33</v>
      </c>
      <c r="AL28" s="46">
        <f t="shared" si="0"/>
        <v>34</v>
      </c>
      <c r="AM28" s="46">
        <f t="shared" si="0"/>
        <v>35</v>
      </c>
      <c r="AN28" s="46">
        <f t="shared" si="0"/>
        <v>36</v>
      </c>
    </row>
    <row r="29" spans="1:41" ht="13.5" customHeight="1" x14ac:dyDescent="0.3">
      <c r="D29" s="30"/>
    </row>
    <row r="30" spans="1:41" s="47" customFormat="1" ht="13.5" customHeight="1" x14ac:dyDescent="0.3">
      <c r="B30" s="48" t="s">
        <v>111</v>
      </c>
      <c r="C30" s="49"/>
      <c r="D30" s="35">
        <v>0</v>
      </c>
      <c r="E30" s="35">
        <v>0.2</v>
      </c>
      <c r="F30" s="35">
        <v>0.16</v>
      </c>
      <c r="G30" s="35">
        <v>0.12</v>
      </c>
      <c r="H30" s="35">
        <v>0.09</v>
      </c>
      <c r="I30" s="35">
        <v>0.08</v>
      </c>
      <c r="J30" s="35">
        <v>7.0000000000000007E-2</v>
      </c>
      <c r="K30" s="35">
        <v>0.06</v>
      </c>
      <c r="L30" s="35">
        <v>0.05</v>
      </c>
      <c r="M30" s="35">
        <v>0.04</v>
      </c>
      <c r="N30" s="35">
        <v>0.04</v>
      </c>
      <c r="O30" s="35">
        <v>0.03</v>
      </c>
      <c r="P30" s="35">
        <v>0.02</v>
      </c>
      <c r="Q30" s="35">
        <v>0.02</v>
      </c>
      <c r="R30" s="35">
        <v>0.01</v>
      </c>
      <c r="S30" s="35">
        <v>0.01</v>
      </c>
      <c r="T30" s="35">
        <v>0</v>
      </c>
      <c r="U30" s="35">
        <v>0</v>
      </c>
      <c r="V30" s="35">
        <v>0</v>
      </c>
      <c r="W30" s="35">
        <v>0</v>
      </c>
      <c r="X30" s="35">
        <v>0</v>
      </c>
      <c r="Y30" s="35">
        <v>0</v>
      </c>
      <c r="Z30" s="35">
        <v>0</v>
      </c>
      <c r="AA30" s="35">
        <v>0</v>
      </c>
      <c r="AB30" s="35">
        <v>0</v>
      </c>
      <c r="AC30" s="35">
        <v>0</v>
      </c>
      <c r="AD30" s="35">
        <v>0</v>
      </c>
      <c r="AE30" s="35">
        <v>0</v>
      </c>
      <c r="AF30" s="35">
        <v>0</v>
      </c>
      <c r="AG30" s="35">
        <v>0</v>
      </c>
      <c r="AH30" s="35">
        <v>0</v>
      </c>
      <c r="AI30" s="35">
        <v>0</v>
      </c>
      <c r="AJ30" s="35">
        <v>0</v>
      </c>
      <c r="AK30" s="35">
        <v>0</v>
      </c>
      <c r="AL30" s="35">
        <v>0</v>
      </c>
      <c r="AM30" s="35">
        <v>0</v>
      </c>
      <c r="AN30" s="35">
        <v>0</v>
      </c>
    </row>
    <row r="31" spans="1:41" s="47" customFormat="1" ht="13.5" customHeight="1" x14ac:dyDescent="0.3">
      <c r="B31" s="48"/>
      <c r="C31" s="49"/>
      <c r="D31" s="50"/>
      <c r="E31" s="50"/>
      <c r="F31" s="4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</row>
    <row r="32" spans="1:41" s="51" customFormat="1" ht="13.5" customHeight="1" x14ac:dyDescent="0.3">
      <c r="B32" s="52" t="s">
        <v>112</v>
      </c>
      <c r="C32" s="53"/>
      <c r="D32" s="52">
        <f>D30</f>
        <v>0</v>
      </c>
      <c r="E32" s="52">
        <f t="shared" ref="E32:AN32" si="1">E30+D32</f>
        <v>0.2</v>
      </c>
      <c r="F32" s="52">
        <f t="shared" si="1"/>
        <v>0.36</v>
      </c>
      <c r="G32" s="52">
        <f t="shared" si="1"/>
        <v>0.48</v>
      </c>
      <c r="H32" s="52">
        <f t="shared" si="1"/>
        <v>0.56999999999999995</v>
      </c>
      <c r="I32" s="52">
        <f t="shared" si="1"/>
        <v>0.64999999999999991</v>
      </c>
      <c r="J32" s="52">
        <f t="shared" si="1"/>
        <v>0.72</v>
      </c>
      <c r="K32" s="52">
        <f t="shared" si="1"/>
        <v>0.78</v>
      </c>
      <c r="L32" s="52">
        <f t="shared" si="1"/>
        <v>0.83000000000000007</v>
      </c>
      <c r="M32" s="52">
        <f t="shared" si="1"/>
        <v>0.87000000000000011</v>
      </c>
      <c r="N32" s="52">
        <f t="shared" si="1"/>
        <v>0.91000000000000014</v>
      </c>
      <c r="O32" s="52">
        <f t="shared" si="1"/>
        <v>0.94000000000000017</v>
      </c>
      <c r="P32" s="52">
        <f t="shared" si="1"/>
        <v>0.96000000000000019</v>
      </c>
      <c r="Q32" s="52">
        <f t="shared" si="1"/>
        <v>0.9800000000000002</v>
      </c>
      <c r="R32" s="52">
        <f t="shared" si="1"/>
        <v>0.99000000000000021</v>
      </c>
      <c r="S32" s="52">
        <f t="shared" si="1"/>
        <v>1.0000000000000002</v>
      </c>
      <c r="T32" s="52">
        <f t="shared" si="1"/>
        <v>1.0000000000000002</v>
      </c>
      <c r="U32" s="52">
        <f t="shared" si="1"/>
        <v>1.0000000000000002</v>
      </c>
      <c r="V32" s="52">
        <f t="shared" si="1"/>
        <v>1.0000000000000002</v>
      </c>
      <c r="W32" s="52">
        <f t="shared" si="1"/>
        <v>1.0000000000000002</v>
      </c>
      <c r="X32" s="52">
        <f t="shared" si="1"/>
        <v>1.0000000000000002</v>
      </c>
      <c r="Y32" s="52">
        <f t="shared" si="1"/>
        <v>1.0000000000000002</v>
      </c>
      <c r="Z32" s="52">
        <f t="shared" si="1"/>
        <v>1.0000000000000002</v>
      </c>
      <c r="AA32" s="52">
        <f t="shared" si="1"/>
        <v>1.0000000000000002</v>
      </c>
      <c r="AB32" s="52">
        <f t="shared" si="1"/>
        <v>1.0000000000000002</v>
      </c>
      <c r="AC32" s="52">
        <f t="shared" si="1"/>
        <v>1.0000000000000002</v>
      </c>
      <c r="AD32" s="52">
        <f t="shared" si="1"/>
        <v>1.0000000000000002</v>
      </c>
      <c r="AE32" s="52">
        <f t="shared" si="1"/>
        <v>1.0000000000000002</v>
      </c>
      <c r="AF32" s="52">
        <f t="shared" si="1"/>
        <v>1.0000000000000002</v>
      </c>
      <c r="AG32" s="52">
        <f t="shared" si="1"/>
        <v>1.0000000000000002</v>
      </c>
      <c r="AH32" s="52">
        <f t="shared" si="1"/>
        <v>1.0000000000000002</v>
      </c>
      <c r="AI32" s="52">
        <f t="shared" si="1"/>
        <v>1.0000000000000002</v>
      </c>
      <c r="AJ32" s="52">
        <f t="shared" si="1"/>
        <v>1.0000000000000002</v>
      </c>
      <c r="AK32" s="52">
        <f t="shared" si="1"/>
        <v>1.0000000000000002</v>
      </c>
      <c r="AL32" s="52">
        <f t="shared" si="1"/>
        <v>1.0000000000000002</v>
      </c>
      <c r="AM32" s="52">
        <f t="shared" si="1"/>
        <v>1.0000000000000002</v>
      </c>
      <c r="AN32" s="52">
        <f t="shared" si="1"/>
        <v>1.0000000000000002</v>
      </c>
    </row>
    <row r="33" spans="1:40" s="54" customFormat="1" ht="13.5" customHeight="1" x14ac:dyDescent="0.3">
      <c r="B33" s="55" t="s">
        <v>113</v>
      </c>
      <c r="C33" s="56"/>
      <c r="D33" s="55">
        <f t="shared" ref="D33:AN33" si="2">$C$9*D30</f>
        <v>0</v>
      </c>
      <c r="E33" s="55">
        <f t="shared" si="2"/>
        <v>70</v>
      </c>
      <c r="F33" s="55">
        <f t="shared" si="2"/>
        <v>56</v>
      </c>
      <c r="G33" s="55">
        <f t="shared" si="2"/>
        <v>42</v>
      </c>
      <c r="H33" s="55">
        <f t="shared" si="2"/>
        <v>31.5</v>
      </c>
      <c r="I33" s="55">
        <f t="shared" si="2"/>
        <v>28</v>
      </c>
      <c r="J33" s="55">
        <f t="shared" si="2"/>
        <v>24.500000000000004</v>
      </c>
      <c r="K33" s="55">
        <f t="shared" si="2"/>
        <v>21</v>
      </c>
      <c r="L33" s="55">
        <f t="shared" si="2"/>
        <v>17.5</v>
      </c>
      <c r="M33" s="55">
        <f t="shared" si="2"/>
        <v>14</v>
      </c>
      <c r="N33" s="55">
        <f t="shared" si="2"/>
        <v>14</v>
      </c>
      <c r="O33" s="55">
        <f t="shared" si="2"/>
        <v>10.5</v>
      </c>
      <c r="P33" s="55">
        <f t="shared" si="2"/>
        <v>7</v>
      </c>
      <c r="Q33" s="55">
        <f t="shared" si="2"/>
        <v>7</v>
      </c>
      <c r="R33" s="55">
        <f t="shared" si="2"/>
        <v>3.5</v>
      </c>
      <c r="S33" s="55">
        <f t="shared" si="2"/>
        <v>3.5</v>
      </c>
      <c r="T33" s="55">
        <f t="shared" si="2"/>
        <v>0</v>
      </c>
      <c r="U33" s="55">
        <f t="shared" si="2"/>
        <v>0</v>
      </c>
      <c r="V33" s="55">
        <f t="shared" si="2"/>
        <v>0</v>
      </c>
      <c r="W33" s="55">
        <f t="shared" si="2"/>
        <v>0</v>
      </c>
      <c r="X33" s="55">
        <f t="shared" si="2"/>
        <v>0</v>
      </c>
      <c r="Y33" s="55">
        <f t="shared" si="2"/>
        <v>0</v>
      </c>
      <c r="Z33" s="55">
        <f t="shared" si="2"/>
        <v>0</v>
      </c>
      <c r="AA33" s="55">
        <f t="shared" si="2"/>
        <v>0</v>
      </c>
      <c r="AB33" s="55">
        <f t="shared" si="2"/>
        <v>0</v>
      </c>
      <c r="AC33" s="55">
        <f t="shared" si="2"/>
        <v>0</v>
      </c>
      <c r="AD33" s="55">
        <f t="shared" si="2"/>
        <v>0</v>
      </c>
      <c r="AE33" s="55">
        <f t="shared" si="2"/>
        <v>0</v>
      </c>
      <c r="AF33" s="55">
        <f t="shared" si="2"/>
        <v>0</v>
      </c>
      <c r="AG33" s="55">
        <f t="shared" si="2"/>
        <v>0</v>
      </c>
      <c r="AH33" s="55">
        <f t="shared" si="2"/>
        <v>0</v>
      </c>
      <c r="AI33" s="55">
        <f t="shared" si="2"/>
        <v>0</v>
      </c>
      <c r="AJ33" s="55">
        <f t="shared" si="2"/>
        <v>0</v>
      </c>
      <c r="AK33" s="55">
        <f t="shared" si="2"/>
        <v>0</v>
      </c>
      <c r="AL33" s="55">
        <f t="shared" si="2"/>
        <v>0</v>
      </c>
      <c r="AM33" s="55">
        <f t="shared" si="2"/>
        <v>0</v>
      </c>
      <c r="AN33" s="55">
        <f t="shared" si="2"/>
        <v>0</v>
      </c>
    </row>
    <row r="34" spans="1:40" s="54" customFormat="1" ht="13.5" customHeight="1" x14ac:dyDescent="0.3">
      <c r="B34" s="55" t="s">
        <v>114</v>
      </c>
      <c r="C34" s="56"/>
      <c r="D34" s="55">
        <f>D33</f>
        <v>0</v>
      </c>
      <c r="E34" s="55">
        <f t="shared" ref="E34:AN34" si="3">E33+D34</f>
        <v>70</v>
      </c>
      <c r="F34" s="55">
        <f t="shared" si="3"/>
        <v>126</v>
      </c>
      <c r="G34" s="55">
        <f t="shared" si="3"/>
        <v>168</v>
      </c>
      <c r="H34" s="55">
        <f t="shared" si="3"/>
        <v>199.5</v>
      </c>
      <c r="I34" s="55">
        <f t="shared" si="3"/>
        <v>227.5</v>
      </c>
      <c r="J34" s="55">
        <f t="shared" si="3"/>
        <v>252</v>
      </c>
      <c r="K34" s="55">
        <f t="shared" si="3"/>
        <v>273</v>
      </c>
      <c r="L34" s="55">
        <f t="shared" si="3"/>
        <v>290.5</v>
      </c>
      <c r="M34" s="55">
        <f t="shared" si="3"/>
        <v>304.5</v>
      </c>
      <c r="N34" s="55">
        <f t="shared" si="3"/>
        <v>318.5</v>
      </c>
      <c r="O34" s="55">
        <f t="shared" si="3"/>
        <v>329</v>
      </c>
      <c r="P34" s="55">
        <f t="shared" si="3"/>
        <v>336</v>
      </c>
      <c r="Q34" s="55">
        <f t="shared" si="3"/>
        <v>343</v>
      </c>
      <c r="R34" s="55">
        <f t="shared" si="3"/>
        <v>346.5</v>
      </c>
      <c r="S34" s="55">
        <f t="shared" si="3"/>
        <v>350</v>
      </c>
      <c r="T34" s="55">
        <f t="shared" si="3"/>
        <v>350</v>
      </c>
      <c r="U34" s="55">
        <f t="shared" si="3"/>
        <v>350</v>
      </c>
      <c r="V34" s="55">
        <f t="shared" si="3"/>
        <v>350</v>
      </c>
      <c r="W34" s="55">
        <f t="shared" si="3"/>
        <v>350</v>
      </c>
      <c r="X34" s="55">
        <f t="shared" si="3"/>
        <v>350</v>
      </c>
      <c r="Y34" s="55">
        <f t="shared" si="3"/>
        <v>350</v>
      </c>
      <c r="Z34" s="55">
        <f t="shared" si="3"/>
        <v>350</v>
      </c>
      <c r="AA34" s="55">
        <f t="shared" si="3"/>
        <v>350</v>
      </c>
      <c r="AB34" s="55">
        <f t="shared" si="3"/>
        <v>350</v>
      </c>
      <c r="AC34" s="55">
        <f t="shared" si="3"/>
        <v>350</v>
      </c>
      <c r="AD34" s="55">
        <f t="shared" si="3"/>
        <v>350</v>
      </c>
      <c r="AE34" s="55">
        <f t="shared" si="3"/>
        <v>350</v>
      </c>
      <c r="AF34" s="55">
        <f t="shared" si="3"/>
        <v>350</v>
      </c>
      <c r="AG34" s="55">
        <f t="shared" si="3"/>
        <v>350</v>
      </c>
      <c r="AH34" s="55">
        <f t="shared" si="3"/>
        <v>350</v>
      </c>
      <c r="AI34" s="55">
        <f t="shared" si="3"/>
        <v>350</v>
      </c>
      <c r="AJ34" s="55">
        <f t="shared" si="3"/>
        <v>350</v>
      </c>
      <c r="AK34" s="55">
        <f t="shared" si="3"/>
        <v>350</v>
      </c>
      <c r="AL34" s="55">
        <f t="shared" si="3"/>
        <v>350</v>
      </c>
      <c r="AM34" s="55">
        <f t="shared" si="3"/>
        <v>350</v>
      </c>
      <c r="AN34" s="55">
        <f t="shared" si="3"/>
        <v>350</v>
      </c>
    </row>
    <row r="35" spans="1:40" s="57" customFormat="1" ht="13.5" customHeight="1" x14ac:dyDescent="0.3">
      <c r="B35" s="57" t="s">
        <v>115</v>
      </c>
      <c r="D35" s="57">
        <f>D32*C8</f>
        <v>0</v>
      </c>
      <c r="E35" s="57">
        <f t="shared" ref="E35:AN35" si="4">E32*$C$8</f>
        <v>22400000</v>
      </c>
      <c r="F35" s="57">
        <f t="shared" si="4"/>
        <v>40320000</v>
      </c>
      <c r="G35" s="57">
        <f t="shared" si="4"/>
        <v>53760000</v>
      </c>
      <c r="H35" s="57">
        <f t="shared" si="4"/>
        <v>63839999.999999993</v>
      </c>
      <c r="I35" s="57">
        <f t="shared" si="4"/>
        <v>72799999.999999985</v>
      </c>
      <c r="J35" s="57">
        <f t="shared" si="4"/>
        <v>80640000</v>
      </c>
      <c r="K35" s="57">
        <f t="shared" si="4"/>
        <v>87360000</v>
      </c>
      <c r="L35" s="57">
        <f t="shared" si="4"/>
        <v>92960000.000000015</v>
      </c>
      <c r="M35" s="57">
        <f t="shared" si="4"/>
        <v>97440000.000000015</v>
      </c>
      <c r="N35" s="57">
        <f t="shared" si="4"/>
        <v>101920000.00000001</v>
      </c>
      <c r="O35" s="57">
        <f t="shared" si="4"/>
        <v>105280000.00000001</v>
      </c>
      <c r="P35" s="57">
        <f t="shared" si="4"/>
        <v>107520000.00000001</v>
      </c>
      <c r="Q35" s="57">
        <f t="shared" si="4"/>
        <v>109760000.00000003</v>
      </c>
      <c r="R35" s="57">
        <f t="shared" si="4"/>
        <v>110880000.00000003</v>
      </c>
      <c r="S35" s="57">
        <f t="shared" si="4"/>
        <v>112000000.00000003</v>
      </c>
      <c r="T35" s="57">
        <f t="shared" si="4"/>
        <v>112000000.00000003</v>
      </c>
      <c r="U35" s="57">
        <f t="shared" si="4"/>
        <v>112000000.00000003</v>
      </c>
      <c r="V35" s="57">
        <f t="shared" si="4"/>
        <v>112000000.00000003</v>
      </c>
      <c r="W35" s="57">
        <f t="shared" si="4"/>
        <v>112000000.00000003</v>
      </c>
      <c r="X35" s="57">
        <f t="shared" si="4"/>
        <v>112000000.00000003</v>
      </c>
      <c r="Y35" s="57">
        <f t="shared" si="4"/>
        <v>112000000.00000003</v>
      </c>
      <c r="Z35" s="57">
        <f t="shared" si="4"/>
        <v>112000000.00000003</v>
      </c>
      <c r="AA35" s="57">
        <f t="shared" si="4"/>
        <v>112000000.00000003</v>
      </c>
      <c r="AB35" s="57">
        <f t="shared" si="4"/>
        <v>112000000.00000003</v>
      </c>
      <c r="AC35" s="57">
        <f t="shared" si="4"/>
        <v>112000000.00000003</v>
      </c>
      <c r="AD35" s="57">
        <f t="shared" si="4"/>
        <v>112000000.00000003</v>
      </c>
      <c r="AE35" s="57">
        <f t="shared" si="4"/>
        <v>112000000.00000003</v>
      </c>
      <c r="AF35" s="57">
        <f t="shared" si="4"/>
        <v>112000000.00000003</v>
      </c>
      <c r="AG35" s="57">
        <f t="shared" si="4"/>
        <v>112000000.00000003</v>
      </c>
      <c r="AH35" s="57">
        <f t="shared" si="4"/>
        <v>112000000.00000003</v>
      </c>
      <c r="AI35" s="57">
        <f t="shared" si="4"/>
        <v>112000000.00000003</v>
      </c>
      <c r="AJ35" s="57">
        <f t="shared" si="4"/>
        <v>112000000.00000003</v>
      </c>
      <c r="AK35" s="57">
        <f t="shared" si="4"/>
        <v>112000000.00000003</v>
      </c>
      <c r="AL35" s="57">
        <f t="shared" si="4"/>
        <v>112000000.00000003</v>
      </c>
      <c r="AM35" s="57">
        <f t="shared" si="4"/>
        <v>112000000.00000003</v>
      </c>
      <c r="AN35" s="57">
        <f t="shared" si="4"/>
        <v>112000000.00000003</v>
      </c>
    </row>
    <row r="36" spans="1:40" ht="13.5" customHeight="1" x14ac:dyDescent="0.3"/>
    <row r="37" spans="1:40" s="47" customFormat="1" ht="13.5" customHeight="1" x14ac:dyDescent="0.3">
      <c r="B37" s="48" t="s">
        <v>116</v>
      </c>
      <c r="C37" s="49"/>
      <c r="D37" s="35">
        <v>0</v>
      </c>
      <c r="E37" s="35">
        <v>0</v>
      </c>
      <c r="F37" s="35">
        <v>0</v>
      </c>
      <c r="G37" s="35">
        <v>0</v>
      </c>
      <c r="H37" s="35">
        <v>0.02</v>
      </c>
      <c r="I37" s="35">
        <v>0.02</v>
      </c>
      <c r="J37" s="35">
        <v>0.03</v>
      </c>
      <c r="K37" s="35">
        <v>0.03</v>
      </c>
      <c r="L37" s="35">
        <v>0.04</v>
      </c>
      <c r="M37" s="35">
        <v>0.04</v>
      </c>
      <c r="N37" s="35">
        <v>0.05</v>
      </c>
      <c r="O37" s="35">
        <v>0.05</v>
      </c>
      <c r="P37" s="35">
        <v>0.06</v>
      </c>
      <c r="Q37" s="35">
        <v>0.06</v>
      </c>
      <c r="R37" s="35">
        <v>0.06</v>
      </c>
      <c r="S37" s="35">
        <v>0.06</v>
      </c>
      <c r="T37" s="35">
        <v>0.06</v>
      </c>
      <c r="U37" s="35">
        <v>0.05</v>
      </c>
      <c r="V37" s="35">
        <v>0.05</v>
      </c>
      <c r="W37" s="35">
        <v>0.05</v>
      </c>
      <c r="X37" s="35">
        <v>0.04</v>
      </c>
      <c r="Y37" s="35">
        <v>0.04</v>
      </c>
      <c r="Z37" s="35">
        <v>0.04</v>
      </c>
      <c r="AA37" s="35">
        <v>0.04</v>
      </c>
      <c r="AB37" s="35">
        <v>0.03</v>
      </c>
      <c r="AC37" s="35">
        <v>0.03</v>
      </c>
      <c r="AD37" s="35">
        <v>0.03</v>
      </c>
      <c r="AE37" s="35">
        <v>0.02</v>
      </c>
      <c r="AF37" s="35">
        <v>0</v>
      </c>
      <c r="AG37" s="35">
        <v>0</v>
      </c>
      <c r="AH37" s="35">
        <v>0</v>
      </c>
      <c r="AI37" s="35">
        <v>0</v>
      </c>
      <c r="AJ37" s="35">
        <v>0</v>
      </c>
      <c r="AK37" s="35">
        <v>0</v>
      </c>
      <c r="AL37" s="35">
        <v>0</v>
      </c>
      <c r="AM37" s="35">
        <v>0</v>
      </c>
      <c r="AN37" s="35">
        <v>0</v>
      </c>
    </row>
    <row r="38" spans="1:40" s="51" customFormat="1" ht="13.5" customHeight="1" x14ac:dyDescent="0.3">
      <c r="B38" s="52" t="s">
        <v>117</v>
      </c>
      <c r="C38" s="53"/>
      <c r="D38" s="52">
        <f>D37</f>
        <v>0</v>
      </c>
      <c r="E38" s="52">
        <f t="shared" ref="E38:AN38" si="5">E37+D38</f>
        <v>0</v>
      </c>
      <c r="F38" s="52">
        <f t="shared" si="5"/>
        <v>0</v>
      </c>
      <c r="G38" s="52">
        <f t="shared" si="5"/>
        <v>0</v>
      </c>
      <c r="H38" s="52">
        <f t="shared" si="5"/>
        <v>0.02</v>
      </c>
      <c r="I38" s="52">
        <f t="shared" si="5"/>
        <v>0.04</v>
      </c>
      <c r="J38" s="52">
        <f t="shared" si="5"/>
        <v>7.0000000000000007E-2</v>
      </c>
      <c r="K38" s="52">
        <f t="shared" si="5"/>
        <v>0.1</v>
      </c>
      <c r="L38" s="52">
        <f t="shared" si="5"/>
        <v>0.14000000000000001</v>
      </c>
      <c r="M38" s="52">
        <f t="shared" si="5"/>
        <v>0.18000000000000002</v>
      </c>
      <c r="N38" s="52">
        <f t="shared" si="5"/>
        <v>0.23000000000000004</v>
      </c>
      <c r="O38" s="52">
        <f t="shared" si="5"/>
        <v>0.28000000000000003</v>
      </c>
      <c r="P38" s="52">
        <f t="shared" si="5"/>
        <v>0.34</v>
      </c>
      <c r="Q38" s="52">
        <f t="shared" si="5"/>
        <v>0.4</v>
      </c>
      <c r="R38" s="52">
        <f t="shared" si="5"/>
        <v>0.46</v>
      </c>
      <c r="S38" s="52">
        <f t="shared" si="5"/>
        <v>0.52</v>
      </c>
      <c r="T38" s="52">
        <f t="shared" si="5"/>
        <v>0.58000000000000007</v>
      </c>
      <c r="U38" s="52">
        <f t="shared" si="5"/>
        <v>0.63000000000000012</v>
      </c>
      <c r="V38" s="52">
        <f t="shared" si="5"/>
        <v>0.68000000000000016</v>
      </c>
      <c r="W38" s="52">
        <f t="shared" si="5"/>
        <v>0.7300000000000002</v>
      </c>
      <c r="X38" s="52">
        <f t="shared" si="5"/>
        <v>0.77000000000000024</v>
      </c>
      <c r="Y38" s="52">
        <f t="shared" si="5"/>
        <v>0.81000000000000028</v>
      </c>
      <c r="Z38" s="52">
        <f t="shared" si="5"/>
        <v>0.85000000000000031</v>
      </c>
      <c r="AA38" s="52">
        <f t="shared" si="5"/>
        <v>0.89000000000000035</v>
      </c>
      <c r="AB38" s="52">
        <f t="shared" si="5"/>
        <v>0.92000000000000037</v>
      </c>
      <c r="AC38" s="52">
        <f t="shared" si="5"/>
        <v>0.9500000000000004</v>
      </c>
      <c r="AD38" s="52">
        <f t="shared" si="5"/>
        <v>0.98000000000000043</v>
      </c>
      <c r="AE38" s="52">
        <f t="shared" si="5"/>
        <v>1.0000000000000004</v>
      </c>
      <c r="AF38" s="52">
        <f t="shared" si="5"/>
        <v>1.0000000000000004</v>
      </c>
      <c r="AG38" s="52">
        <f t="shared" si="5"/>
        <v>1.0000000000000004</v>
      </c>
      <c r="AH38" s="52">
        <f t="shared" si="5"/>
        <v>1.0000000000000004</v>
      </c>
      <c r="AI38" s="52">
        <f t="shared" si="5"/>
        <v>1.0000000000000004</v>
      </c>
      <c r="AJ38" s="52">
        <f t="shared" si="5"/>
        <v>1.0000000000000004</v>
      </c>
      <c r="AK38" s="52">
        <f t="shared" si="5"/>
        <v>1.0000000000000004</v>
      </c>
      <c r="AL38" s="52">
        <f t="shared" si="5"/>
        <v>1.0000000000000004</v>
      </c>
      <c r="AM38" s="52">
        <f t="shared" si="5"/>
        <v>1.0000000000000004</v>
      </c>
      <c r="AN38" s="52">
        <f t="shared" si="5"/>
        <v>1.0000000000000004</v>
      </c>
    </row>
    <row r="39" spans="1:40" s="58" customFormat="1" ht="13.5" customHeight="1" x14ac:dyDescent="0.25">
      <c r="B39" s="58" t="s">
        <v>118</v>
      </c>
      <c r="D39" s="58">
        <v>0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58">
        <v>0</v>
      </c>
      <c r="Z39" s="58">
        <v>0</v>
      </c>
      <c r="AA39" s="58">
        <v>0</v>
      </c>
      <c r="AB39" s="58">
        <v>0</v>
      </c>
      <c r="AC39" s="58">
        <v>0</v>
      </c>
      <c r="AD39" s="58">
        <v>0</v>
      </c>
      <c r="AE39" s="58">
        <v>0</v>
      </c>
      <c r="AF39" s="58">
        <v>0</v>
      </c>
      <c r="AG39" s="58">
        <v>0</v>
      </c>
      <c r="AH39" s="58">
        <v>0</v>
      </c>
      <c r="AI39" s="58">
        <v>0</v>
      </c>
      <c r="AJ39" s="58">
        <v>0</v>
      </c>
      <c r="AK39" s="58">
        <v>0</v>
      </c>
      <c r="AL39" s="58">
        <v>0</v>
      </c>
      <c r="AM39" s="58">
        <v>0</v>
      </c>
      <c r="AN39" s="58">
        <v>0</v>
      </c>
    </row>
    <row r="40" spans="1:40" s="57" customFormat="1" ht="13.5" customHeight="1" x14ac:dyDescent="0.3">
      <c r="B40" s="57" t="s">
        <v>119</v>
      </c>
      <c r="D40" s="57">
        <f t="shared" ref="D40:AN40" si="6">$C$14*$C$8/37</f>
        <v>423783.78378378385</v>
      </c>
      <c r="E40" s="57">
        <f t="shared" si="6"/>
        <v>423783.78378378385</v>
      </c>
      <c r="F40" s="57">
        <f t="shared" si="6"/>
        <v>423783.78378378385</v>
      </c>
      <c r="G40" s="57">
        <f t="shared" si="6"/>
        <v>423783.78378378385</v>
      </c>
      <c r="H40" s="57">
        <f t="shared" si="6"/>
        <v>423783.78378378385</v>
      </c>
      <c r="I40" s="57">
        <f t="shared" si="6"/>
        <v>423783.78378378385</v>
      </c>
      <c r="J40" s="57">
        <f t="shared" si="6"/>
        <v>423783.78378378385</v>
      </c>
      <c r="K40" s="57">
        <f t="shared" si="6"/>
        <v>423783.78378378385</v>
      </c>
      <c r="L40" s="57">
        <f t="shared" si="6"/>
        <v>423783.78378378385</v>
      </c>
      <c r="M40" s="57">
        <f t="shared" si="6"/>
        <v>423783.78378378385</v>
      </c>
      <c r="N40" s="57">
        <f t="shared" si="6"/>
        <v>423783.78378378385</v>
      </c>
      <c r="O40" s="57">
        <f t="shared" si="6"/>
        <v>423783.78378378385</v>
      </c>
      <c r="P40" s="57">
        <f t="shared" si="6"/>
        <v>423783.78378378385</v>
      </c>
      <c r="Q40" s="57">
        <f t="shared" si="6"/>
        <v>423783.78378378385</v>
      </c>
      <c r="R40" s="57">
        <f t="shared" si="6"/>
        <v>423783.78378378385</v>
      </c>
      <c r="S40" s="57">
        <f t="shared" si="6"/>
        <v>423783.78378378385</v>
      </c>
      <c r="T40" s="57">
        <f t="shared" si="6"/>
        <v>423783.78378378385</v>
      </c>
      <c r="U40" s="57">
        <f t="shared" si="6"/>
        <v>423783.78378378385</v>
      </c>
      <c r="V40" s="57">
        <f t="shared" si="6"/>
        <v>423783.78378378385</v>
      </c>
      <c r="W40" s="57">
        <f t="shared" si="6"/>
        <v>423783.78378378385</v>
      </c>
      <c r="X40" s="57">
        <f t="shared" si="6"/>
        <v>423783.78378378385</v>
      </c>
      <c r="Y40" s="57">
        <f t="shared" si="6"/>
        <v>423783.78378378385</v>
      </c>
      <c r="Z40" s="57">
        <f t="shared" si="6"/>
        <v>423783.78378378385</v>
      </c>
      <c r="AA40" s="57">
        <f t="shared" si="6"/>
        <v>423783.78378378385</v>
      </c>
      <c r="AB40" s="57">
        <f t="shared" si="6"/>
        <v>423783.78378378385</v>
      </c>
      <c r="AC40" s="57">
        <f t="shared" si="6"/>
        <v>423783.78378378385</v>
      </c>
      <c r="AD40" s="57">
        <f t="shared" si="6"/>
        <v>423783.78378378385</v>
      </c>
      <c r="AE40" s="57">
        <f t="shared" si="6"/>
        <v>423783.78378378385</v>
      </c>
      <c r="AF40" s="57">
        <f t="shared" si="6"/>
        <v>423783.78378378385</v>
      </c>
      <c r="AG40" s="57">
        <f t="shared" si="6"/>
        <v>423783.78378378385</v>
      </c>
      <c r="AH40" s="57">
        <f t="shared" si="6"/>
        <v>423783.78378378385</v>
      </c>
      <c r="AI40" s="57">
        <f t="shared" si="6"/>
        <v>423783.78378378385</v>
      </c>
      <c r="AJ40" s="57">
        <f t="shared" si="6"/>
        <v>423783.78378378385</v>
      </c>
      <c r="AK40" s="57">
        <f t="shared" si="6"/>
        <v>423783.78378378385</v>
      </c>
      <c r="AL40" s="57">
        <f t="shared" si="6"/>
        <v>423783.78378378385</v>
      </c>
      <c r="AM40" s="57">
        <f t="shared" si="6"/>
        <v>423783.78378378385</v>
      </c>
      <c r="AN40" s="57">
        <f t="shared" si="6"/>
        <v>423783.78378378385</v>
      </c>
    </row>
    <row r="41" spans="1:40" s="57" customFormat="1" ht="13.5" customHeight="1" x14ac:dyDescent="0.3">
      <c r="A41" s="58"/>
      <c r="B41" s="59" t="s">
        <v>120</v>
      </c>
      <c r="C41" s="58"/>
      <c r="D41" s="57">
        <f t="shared" ref="D41:AN41" si="7">D40+(D39*$C$8)+(D37*$C$16*$C$9)</f>
        <v>423783.78378378385</v>
      </c>
      <c r="E41" s="57">
        <f t="shared" si="7"/>
        <v>423783.78378378385</v>
      </c>
      <c r="F41" s="57">
        <f t="shared" si="7"/>
        <v>423783.78378378385</v>
      </c>
      <c r="G41" s="57">
        <f t="shared" si="7"/>
        <v>423783.78378378385</v>
      </c>
      <c r="H41" s="57">
        <f t="shared" si="7"/>
        <v>1454183.7837837839</v>
      </c>
      <c r="I41" s="57">
        <f t="shared" si="7"/>
        <v>1454183.7837837839</v>
      </c>
      <c r="J41" s="57">
        <f t="shared" si="7"/>
        <v>1969383.7837837839</v>
      </c>
      <c r="K41" s="57">
        <f t="shared" si="7"/>
        <v>1969383.7837837839</v>
      </c>
      <c r="L41" s="57">
        <f t="shared" si="7"/>
        <v>2484583.7837837837</v>
      </c>
      <c r="M41" s="57">
        <f t="shared" si="7"/>
        <v>2484583.7837837837</v>
      </c>
      <c r="N41" s="57">
        <f t="shared" si="7"/>
        <v>2999783.7837837837</v>
      </c>
      <c r="O41" s="57">
        <f t="shared" si="7"/>
        <v>2999783.7837837837</v>
      </c>
      <c r="P41" s="57">
        <f t="shared" si="7"/>
        <v>3514983.7837837837</v>
      </c>
      <c r="Q41" s="57">
        <f t="shared" si="7"/>
        <v>3514983.7837837837</v>
      </c>
      <c r="R41" s="57">
        <f t="shared" si="7"/>
        <v>3514983.7837837837</v>
      </c>
      <c r="S41" s="57">
        <f t="shared" si="7"/>
        <v>3514983.7837837837</v>
      </c>
      <c r="T41" s="57">
        <f t="shared" si="7"/>
        <v>3514983.7837837837</v>
      </c>
      <c r="U41" s="57">
        <f t="shared" si="7"/>
        <v>2999783.7837837837</v>
      </c>
      <c r="V41" s="57">
        <f t="shared" si="7"/>
        <v>2999783.7837837837</v>
      </c>
      <c r="W41" s="57">
        <f t="shared" si="7"/>
        <v>2999783.7837837837</v>
      </c>
      <c r="X41" s="57">
        <f t="shared" si="7"/>
        <v>2484583.7837837837</v>
      </c>
      <c r="Y41" s="57">
        <f t="shared" si="7"/>
        <v>2484583.7837837837</v>
      </c>
      <c r="Z41" s="57">
        <f t="shared" si="7"/>
        <v>2484583.7837837837</v>
      </c>
      <c r="AA41" s="57">
        <f t="shared" si="7"/>
        <v>2484583.7837837837</v>
      </c>
      <c r="AB41" s="57">
        <f t="shared" si="7"/>
        <v>1969383.7837837839</v>
      </c>
      <c r="AC41" s="57">
        <f t="shared" si="7"/>
        <v>1969383.7837837839</v>
      </c>
      <c r="AD41" s="57">
        <f t="shared" si="7"/>
        <v>1969383.7837837839</v>
      </c>
      <c r="AE41" s="57">
        <f t="shared" si="7"/>
        <v>1454183.7837837839</v>
      </c>
      <c r="AF41" s="57">
        <f t="shared" si="7"/>
        <v>423783.78378378385</v>
      </c>
      <c r="AG41" s="57">
        <f t="shared" si="7"/>
        <v>423783.78378378385</v>
      </c>
      <c r="AH41" s="57">
        <f t="shared" si="7"/>
        <v>423783.78378378385</v>
      </c>
      <c r="AI41" s="57">
        <f t="shared" si="7"/>
        <v>423783.78378378385</v>
      </c>
      <c r="AJ41" s="57">
        <f t="shared" si="7"/>
        <v>423783.78378378385</v>
      </c>
      <c r="AK41" s="57">
        <f t="shared" si="7"/>
        <v>423783.78378378385</v>
      </c>
      <c r="AL41" s="57">
        <f t="shared" si="7"/>
        <v>423783.78378378385</v>
      </c>
      <c r="AM41" s="57">
        <f t="shared" si="7"/>
        <v>423783.78378378385</v>
      </c>
      <c r="AN41" s="57">
        <f t="shared" si="7"/>
        <v>423783.78378378385</v>
      </c>
    </row>
    <row r="42" spans="1:40" s="57" customFormat="1" ht="13.5" customHeight="1" x14ac:dyDescent="0.3">
      <c r="A42" s="58"/>
      <c r="B42" s="59" t="s">
        <v>121</v>
      </c>
      <c r="C42" s="58"/>
      <c r="D42" s="57">
        <f>D41</f>
        <v>423783.78378378385</v>
      </c>
      <c r="E42" s="57">
        <f t="shared" ref="E42:AN42" si="8">E41+D42</f>
        <v>847567.56756756769</v>
      </c>
      <c r="F42" s="57">
        <f t="shared" si="8"/>
        <v>1271351.3513513515</v>
      </c>
      <c r="G42" s="57">
        <f t="shared" si="8"/>
        <v>1695135.1351351354</v>
      </c>
      <c r="H42" s="57">
        <f t="shared" si="8"/>
        <v>3149318.9189189193</v>
      </c>
      <c r="I42" s="57">
        <f t="shared" si="8"/>
        <v>4603502.702702703</v>
      </c>
      <c r="J42" s="57">
        <f t="shared" si="8"/>
        <v>6572886.4864864871</v>
      </c>
      <c r="K42" s="57">
        <f t="shared" si="8"/>
        <v>8542270.2702702712</v>
      </c>
      <c r="L42" s="57">
        <f t="shared" si="8"/>
        <v>11026854.054054055</v>
      </c>
      <c r="M42" s="57">
        <f t="shared" si="8"/>
        <v>13511437.837837839</v>
      </c>
      <c r="N42" s="57">
        <f t="shared" si="8"/>
        <v>16511221.621621624</v>
      </c>
      <c r="O42" s="57">
        <f t="shared" si="8"/>
        <v>19511005.405405406</v>
      </c>
      <c r="P42" s="57">
        <f t="shared" si="8"/>
        <v>23025989.189189188</v>
      </c>
      <c r="Q42" s="57">
        <f t="shared" si="8"/>
        <v>26540972.97297297</v>
      </c>
      <c r="R42" s="57">
        <f t="shared" si="8"/>
        <v>30055956.756756753</v>
      </c>
      <c r="S42" s="57">
        <f t="shared" si="8"/>
        <v>33570940.540540539</v>
      </c>
      <c r="T42" s="57">
        <f t="shared" si="8"/>
        <v>37085924.324324325</v>
      </c>
      <c r="U42" s="57">
        <f t="shared" si="8"/>
        <v>40085708.108108111</v>
      </c>
      <c r="V42" s="57">
        <f t="shared" si="8"/>
        <v>43085491.891891897</v>
      </c>
      <c r="W42" s="57">
        <f t="shared" si="8"/>
        <v>46085275.675675683</v>
      </c>
      <c r="X42" s="57">
        <f t="shared" si="8"/>
        <v>48569859.459459469</v>
      </c>
      <c r="Y42" s="57">
        <f t="shared" si="8"/>
        <v>51054443.243243255</v>
      </c>
      <c r="Z42" s="57">
        <f t="shared" si="8"/>
        <v>53539027.027027041</v>
      </c>
      <c r="AA42" s="57">
        <f t="shared" si="8"/>
        <v>56023610.810810827</v>
      </c>
      <c r="AB42" s="57">
        <f t="shared" si="8"/>
        <v>57992994.594594613</v>
      </c>
      <c r="AC42" s="57">
        <f t="shared" si="8"/>
        <v>59962378.378378399</v>
      </c>
      <c r="AD42" s="57">
        <f t="shared" si="8"/>
        <v>61931762.162162185</v>
      </c>
      <c r="AE42" s="57">
        <f t="shared" si="8"/>
        <v>63385945.945945971</v>
      </c>
      <c r="AF42" s="57">
        <f t="shared" si="8"/>
        <v>63809729.729729757</v>
      </c>
      <c r="AG42" s="57">
        <f t="shared" si="8"/>
        <v>64233513.513513543</v>
      </c>
      <c r="AH42" s="57">
        <f t="shared" si="8"/>
        <v>64657297.297297329</v>
      </c>
      <c r="AI42" s="57">
        <f t="shared" si="8"/>
        <v>65081081.081081115</v>
      </c>
      <c r="AJ42" s="57">
        <f t="shared" si="8"/>
        <v>65504864.864864901</v>
      </c>
      <c r="AK42" s="57">
        <f t="shared" si="8"/>
        <v>65928648.648648687</v>
      </c>
      <c r="AL42" s="57">
        <f t="shared" si="8"/>
        <v>66352432.432432473</v>
      </c>
      <c r="AM42" s="57">
        <f t="shared" si="8"/>
        <v>66776216.216216259</v>
      </c>
      <c r="AN42" s="57">
        <f t="shared" si="8"/>
        <v>67200000.000000045</v>
      </c>
    </row>
    <row r="43" spans="1:40" ht="13.5" customHeight="1" x14ac:dyDescent="0.3"/>
    <row r="44" spans="1:40" s="51" customFormat="1" ht="13.5" customHeight="1" x14ac:dyDescent="0.3">
      <c r="B44" s="60" t="s">
        <v>122</v>
      </c>
      <c r="C44" s="49"/>
      <c r="D44" s="59">
        <f t="shared" ref="D44:AN44" si="9">D42/$E$11</f>
        <v>6.3063063063063061E-3</v>
      </c>
      <c r="E44" s="59">
        <f t="shared" si="9"/>
        <v>1.2612612612612612E-2</v>
      </c>
      <c r="F44" s="59">
        <f t="shared" si="9"/>
        <v>1.8918918918918916E-2</v>
      </c>
      <c r="G44" s="59">
        <f t="shared" si="9"/>
        <v>2.5225225225225224E-2</v>
      </c>
      <c r="H44" s="59">
        <f t="shared" si="9"/>
        <v>4.6864864864864859E-2</v>
      </c>
      <c r="I44" s="59">
        <f t="shared" si="9"/>
        <v>6.8504504504504488E-2</v>
      </c>
      <c r="J44" s="59">
        <f t="shared" si="9"/>
        <v>9.7810810810810792E-2</v>
      </c>
      <c r="K44" s="59">
        <f t="shared" si="9"/>
        <v>0.1271171171171171</v>
      </c>
      <c r="L44" s="59">
        <f t="shared" si="9"/>
        <v>0.16409009009009007</v>
      </c>
      <c r="M44" s="59">
        <f t="shared" si="9"/>
        <v>0.20106306306306304</v>
      </c>
      <c r="N44" s="59">
        <f t="shared" si="9"/>
        <v>0.24570270270270267</v>
      </c>
      <c r="O44" s="59">
        <f t="shared" si="9"/>
        <v>0.2903423423423423</v>
      </c>
      <c r="P44" s="59">
        <f t="shared" si="9"/>
        <v>0.34264864864864858</v>
      </c>
      <c r="Q44" s="59">
        <f t="shared" si="9"/>
        <v>0.39495495495495481</v>
      </c>
      <c r="R44" s="59">
        <f t="shared" si="9"/>
        <v>0.44726126126126109</v>
      </c>
      <c r="S44" s="59">
        <f t="shared" si="9"/>
        <v>0.49956756756756743</v>
      </c>
      <c r="T44" s="59">
        <f t="shared" si="9"/>
        <v>0.55187387387387377</v>
      </c>
      <c r="U44" s="59">
        <f t="shared" si="9"/>
        <v>0.59651351351351345</v>
      </c>
      <c r="V44" s="59">
        <f t="shared" si="9"/>
        <v>0.64115315315315313</v>
      </c>
      <c r="W44" s="59">
        <f t="shared" si="9"/>
        <v>0.6857927927927927</v>
      </c>
      <c r="X44" s="59">
        <f t="shared" si="9"/>
        <v>0.72276576576576579</v>
      </c>
      <c r="Y44" s="59">
        <f t="shared" si="9"/>
        <v>0.75973873873873876</v>
      </c>
      <c r="Z44" s="59">
        <f t="shared" si="9"/>
        <v>0.79671171171171173</v>
      </c>
      <c r="AA44" s="59">
        <f t="shared" si="9"/>
        <v>0.83368468468468471</v>
      </c>
      <c r="AB44" s="59">
        <f t="shared" si="9"/>
        <v>0.86299099099099108</v>
      </c>
      <c r="AC44" s="59">
        <f t="shared" si="9"/>
        <v>0.89229729729729745</v>
      </c>
      <c r="AD44" s="59">
        <f t="shared" si="9"/>
        <v>0.92160360360360372</v>
      </c>
      <c r="AE44" s="59">
        <f t="shared" si="9"/>
        <v>0.94324324324324338</v>
      </c>
      <c r="AF44" s="59">
        <f t="shared" si="9"/>
        <v>0.94954954954954973</v>
      </c>
      <c r="AG44" s="59">
        <f t="shared" si="9"/>
        <v>0.95585585585585608</v>
      </c>
      <c r="AH44" s="59">
        <f t="shared" si="9"/>
        <v>0.96216216216216244</v>
      </c>
      <c r="AI44" s="59">
        <f t="shared" si="9"/>
        <v>0.96846846846846879</v>
      </c>
      <c r="AJ44" s="59">
        <f t="shared" si="9"/>
        <v>0.97477477477477514</v>
      </c>
      <c r="AK44" s="59">
        <f t="shared" si="9"/>
        <v>0.98108108108108139</v>
      </c>
      <c r="AL44" s="59">
        <f t="shared" si="9"/>
        <v>0.98738738738738774</v>
      </c>
      <c r="AM44" s="59">
        <f t="shared" si="9"/>
        <v>0.99369369369369409</v>
      </c>
      <c r="AN44" s="59">
        <f t="shared" si="9"/>
        <v>1.0000000000000004</v>
      </c>
    </row>
    <row r="45" spans="1:40" s="51" customFormat="1" ht="13.5" customHeight="1" x14ac:dyDescent="0.3">
      <c r="B45" s="52" t="s">
        <v>123</v>
      </c>
      <c r="C45" s="53"/>
      <c r="D45" s="52">
        <f>D44</f>
        <v>6.3063063063063061E-3</v>
      </c>
      <c r="E45" s="52">
        <f t="shared" ref="E45:AN45" si="10">E44-D44</f>
        <v>6.3063063063063061E-3</v>
      </c>
      <c r="F45" s="52">
        <f t="shared" si="10"/>
        <v>6.3063063063063043E-3</v>
      </c>
      <c r="G45" s="52">
        <f t="shared" si="10"/>
        <v>6.3063063063063078E-3</v>
      </c>
      <c r="H45" s="52">
        <f t="shared" si="10"/>
        <v>2.1639639639639635E-2</v>
      </c>
      <c r="I45" s="52">
        <f t="shared" si="10"/>
        <v>2.1639639639639628E-2</v>
      </c>
      <c r="J45" s="52">
        <f t="shared" si="10"/>
        <v>2.9306306306306304E-2</v>
      </c>
      <c r="K45" s="52">
        <f t="shared" si="10"/>
        <v>2.9306306306306304E-2</v>
      </c>
      <c r="L45" s="52">
        <f t="shared" si="10"/>
        <v>3.6972972972972973E-2</v>
      </c>
      <c r="M45" s="52">
        <f t="shared" si="10"/>
        <v>3.6972972972972973E-2</v>
      </c>
      <c r="N45" s="52">
        <f t="shared" si="10"/>
        <v>4.4639639639639628E-2</v>
      </c>
      <c r="O45" s="52">
        <f t="shared" si="10"/>
        <v>4.4639639639639628E-2</v>
      </c>
      <c r="P45" s="52">
        <f t="shared" si="10"/>
        <v>5.2306306306306283E-2</v>
      </c>
      <c r="Q45" s="52">
        <f t="shared" si="10"/>
        <v>5.2306306306306227E-2</v>
      </c>
      <c r="R45" s="52">
        <f t="shared" si="10"/>
        <v>5.2306306306306283E-2</v>
      </c>
      <c r="S45" s="52">
        <f t="shared" si="10"/>
        <v>5.2306306306306338E-2</v>
      </c>
      <c r="T45" s="52">
        <f t="shared" si="10"/>
        <v>5.2306306306306338E-2</v>
      </c>
      <c r="U45" s="52">
        <f t="shared" si="10"/>
        <v>4.4639639639639683E-2</v>
      </c>
      <c r="V45" s="52">
        <f t="shared" si="10"/>
        <v>4.4639639639639683E-2</v>
      </c>
      <c r="W45" s="52">
        <f t="shared" si="10"/>
        <v>4.4639639639639572E-2</v>
      </c>
      <c r="X45" s="52">
        <f t="shared" si="10"/>
        <v>3.6972972972973084E-2</v>
      </c>
      <c r="Y45" s="52">
        <f t="shared" si="10"/>
        <v>3.6972972972972973E-2</v>
      </c>
      <c r="Z45" s="52">
        <f t="shared" si="10"/>
        <v>3.6972972972972973E-2</v>
      </c>
      <c r="AA45" s="52">
        <f t="shared" si="10"/>
        <v>3.6972972972972973E-2</v>
      </c>
      <c r="AB45" s="52">
        <f t="shared" si="10"/>
        <v>2.9306306306306373E-2</v>
      </c>
      <c r="AC45" s="52">
        <f t="shared" si="10"/>
        <v>2.9306306306306373E-2</v>
      </c>
      <c r="AD45" s="52">
        <f t="shared" si="10"/>
        <v>2.9306306306306262E-2</v>
      </c>
      <c r="AE45" s="52">
        <f t="shared" si="10"/>
        <v>2.1639639639639663E-2</v>
      </c>
      <c r="AF45" s="52">
        <f t="shared" si="10"/>
        <v>6.3063063063063529E-3</v>
      </c>
      <c r="AG45" s="52">
        <f t="shared" si="10"/>
        <v>6.3063063063063529E-3</v>
      </c>
      <c r="AH45" s="52">
        <f t="shared" si="10"/>
        <v>6.3063063063063529E-3</v>
      </c>
      <c r="AI45" s="52">
        <f t="shared" si="10"/>
        <v>6.3063063063063529E-3</v>
      </c>
      <c r="AJ45" s="52">
        <f t="shared" si="10"/>
        <v>6.3063063063063529E-3</v>
      </c>
      <c r="AK45" s="52">
        <f t="shared" si="10"/>
        <v>6.3063063063062419E-3</v>
      </c>
      <c r="AL45" s="52">
        <f t="shared" si="10"/>
        <v>6.3063063063063529E-3</v>
      </c>
      <c r="AM45" s="52">
        <f t="shared" si="10"/>
        <v>6.3063063063063529E-3</v>
      </c>
      <c r="AN45" s="52">
        <f t="shared" si="10"/>
        <v>6.3063063063063529E-3</v>
      </c>
    </row>
    <row r="46" spans="1:40" s="57" customFormat="1" ht="13.5" customHeight="1" x14ac:dyDescent="0.3">
      <c r="B46" s="57" t="s">
        <v>124</v>
      </c>
      <c r="D46" s="57">
        <f t="shared" ref="D46:AN46" si="11">D44*$C$11*D32</f>
        <v>0</v>
      </c>
      <c r="E46" s="57">
        <f t="shared" si="11"/>
        <v>271221.62162162166</v>
      </c>
      <c r="F46" s="57">
        <f t="shared" si="11"/>
        <v>732298.37837837823</v>
      </c>
      <c r="G46" s="57">
        <f t="shared" si="11"/>
        <v>1301863.7837837839</v>
      </c>
      <c r="H46" s="57">
        <f t="shared" si="11"/>
        <v>2872178.8540540533</v>
      </c>
      <c r="I46" s="57">
        <f t="shared" si="11"/>
        <v>4787642.810810809</v>
      </c>
      <c r="J46" s="57">
        <f t="shared" si="11"/>
        <v>7571965.2324324306</v>
      </c>
      <c r="K46" s="57">
        <f t="shared" si="11"/>
        <v>10660753.297297295</v>
      </c>
      <c r="L46" s="57">
        <f t="shared" si="11"/>
        <v>14643662.183783783</v>
      </c>
      <c r="M46" s="57">
        <f t="shared" si="11"/>
        <v>18807921.470270272</v>
      </c>
      <c r="N46" s="57">
        <f t="shared" si="11"/>
        <v>24040338.681081083</v>
      </c>
      <c r="O46" s="57">
        <f t="shared" si="11"/>
        <v>29344552.129729729</v>
      </c>
      <c r="P46" s="57">
        <f t="shared" si="11"/>
        <v>35367919.394594595</v>
      </c>
      <c r="Q46" s="57">
        <f t="shared" si="11"/>
        <v>41616245.621621609</v>
      </c>
      <c r="R46" s="57">
        <f t="shared" si="11"/>
        <v>47608635.502702691</v>
      </c>
      <c r="S46" s="57">
        <f t="shared" si="11"/>
        <v>53713504.864864863</v>
      </c>
      <c r="T46" s="57">
        <f t="shared" si="11"/>
        <v>59337478.918918923</v>
      </c>
      <c r="U46" s="57">
        <f t="shared" si="11"/>
        <v>64137132.972972982</v>
      </c>
      <c r="V46" s="57">
        <f t="shared" si="11"/>
        <v>68936787.027027041</v>
      </c>
      <c r="W46" s="57">
        <f t="shared" si="11"/>
        <v>73736441.081081092</v>
      </c>
      <c r="X46" s="57">
        <f t="shared" si="11"/>
        <v>77711775.135135159</v>
      </c>
      <c r="Y46" s="57">
        <f t="shared" si="11"/>
        <v>81687109.189189211</v>
      </c>
      <c r="Z46" s="57">
        <f t="shared" si="11"/>
        <v>85662443.243243262</v>
      </c>
      <c r="AA46" s="57">
        <f t="shared" si="11"/>
        <v>89637777.297297314</v>
      </c>
      <c r="AB46" s="57">
        <f t="shared" si="11"/>
        <v>92788791.35135138</v>
      </c>
      <c r="AC46" s="57">
        <f t="shared" si="11"/>
        <v>95939805.405405432</v>
      </c>
      <c r="AD46" s="57">
        <f t="shared" si="11"/>
        <v>99090819.459459484</v>
      </c>
      <c r="AE46" s="57">
        <f t="shared" si="11"/>
        <v>101417513.51351357</v>
      </c>
      <c r="AF46" s="57">
        <f t="shared" si="11"/>
        <v>102095567.56756762</v>
      </c>
      <c r="AG46" s="57">
        <f t="shared" si="11"/>
        <v>102773621.62162168</v>
      </c>
      <c r="AH46" s="57">
        <f t="shared" si="11"/>
        <v>103451675.67567573</v>
      </c>
      <c r="AI46" s="57">
        <f t="shared" si="11"/>
        <v>104129729.7297298</v>
      </c>
      <c r="AJ46" s="57">
        <f t="shared" si="11"/>
        <v>104807783.78378385</v>
      </c>
      <c r="AK46" s="57">
        <f t="shared" si="11"/>
        <v>105485837.8378379</v>
      </c>
      <c r="AL46" s="57">
        <f t="shared" si="11"/>
        <v>106163891.89189196</v>
      </c>
      <c r="AM46" s="57">
        <f t="shared" si="11"/>
        <v>106841945.94594602</v>
      </c>
      <c r="AN46" s="57">
        <f t="shared" si="11"/>
        <v>107520000.00000007</v>
      </c>
    </row>
    <row r="47" spans="1:40" s="57" customFormat="1" ht="13.5" customHeight="1" x14ac:dyDescent="0.3">
      <c r="B47" s="57" t="s">
        <v>125</v>
      </c>
      <c r="D47" s="57">
        <f>D46</f>
        <v>0</v>
      </c>
      <c r="E47" s="57">
        <f t="shared" ref="E47:AN47" si="12">E46-D46</f>
        <v>271221.62162162166</v>
      </c>
      <c r="F47" s="57">
        <f t="shared" si="12"/>
        <v>461076.75675675657</v>
      </c>
      <c r="G47" s="57">
        <f t="shared" si="12"/>
        <v>569565.40540540568</v>
      </c>
      <c r="H47" s="57">
        <f t="shared" si="12"/>
        <v>1570315.0702702694</v>
      </c>
      <c r="I47" s="57">
        <f t="shared" si="12"/>
        <v>1915463.9567567557</v>
      </c>
      <c r="J47" s="57">
        <f t="shared" si="12"/>
        <v>2784322.4216216216</v>
      </c>
      <c r="K47" s="57">
        <f t="shared" si="12"/>
        <v>3088788.0648648646</v>
      </c>
      <c r="L47" s="57">
        <f t="shared" si="12"/>
        <v>3982908.8864864875</v>
      </c>
      <c r="M47" s="57">
        <f t="shared" si="12"/>
        <v>4164259.2864864897</v>
      </c>
      <c r="N47" s="57">
        <f t="shared" si="12"/>
        <v>5232417.2108108103</v>
      </c>
      <c r="O47" s="57">
        <f t="shared" si="12"/>
        <v>5304213.4486486465</v>
      </c>
      <c r="P47" s="57">
        <f t="shared" si="12"/>
        <v>6023367.2648648657</v>
      </c>
      <c r="Q47" s="57">
        <f t="shared" si="12"/>
        <v>6248326.2270270139</v>
      </c>
      <c r="R47" s="57">
        <f t="shared" si="12"/>
        <v>5992389.8810810819</v>
      </c>
      <c r="S47" s="57">
        <f t="shared" si="12"/>
        <v>6104869.3621621728</v>
      </c>
      <c r="T47" s="57">
        <f t="shared" si="12"/>
        <v>5623974.0540540591</v>
      </c>
      <c r="U47" s="57">
        <f t="shared" si="12"/>
        <v>4799654.0540540591</v>
      </c>
      <c r="V47" s="57">
        <f t="shared" si="12"/>
        <v>4799654.0540540591</v>
      </c>
      <c r="W47" s="57">
        <f t="shared" si="12"/>
        <v>4799654.0540540516</v>
      </c>
      <c r="X47" s="57">
        <f t="shared" si="12"/>
        <v>3975334.0540540665</v>
      </c>
      <c r="Y47" s="57">
        <f t="shared" si="12"/>
        <v>3975334.0540540516</v>
      </c>
      <c r="Z47" s="57">
        <f t="shared" si="12"/>
        <v>3975334.0540540516</v>
      </c>
      <c r="AA47" s="57">
        <f t="shared" si="12"/>
        <v>3975334.0540540516</v>
      </c>
      <c r="AB47" s="57">
        <f t="shared" si="12"/>
        <v>3151014.0540540665</v>
      </c>
      <c r="AC47" s="57">
        <f t="shared" si="12"/>
        <v>3151014.0540540516</v>
      </c>
      <c r="AD47" s="57">
        <f t="shared" si="12"/>
        <v>3151014.0540540516</v>
      </c>
      <c r="AE47" s="57">
        <f t="shared" si="12"/>
        <v>2326694.0540540814</v>
      </c>
      <c r="AF47" s="57">
        <f t="shared" si="12"/>
        <v>678054.05405405164</v>
      </c>
      <c r="AG47" s="57">
        <f t="shared" si="12"/>
        <v>678054.05405406654</v>
      </c>
      <c r="AH47" s="57">
        <f t="shared" si="12"/>
        <v>678054.05405405164</v>
      </c>
      <c r="AI47" s="57">
        <f t="shared" si="12"/>
        <v>678054.05405406654</v>
      </c>
      <c r="AJ47" s="57">
        <f t="shared" si="12"/>
        <v>678054.05405405164</v>
      </c>
      <c r="AK47" s="57">
        <f t="shared" si="12"/>
        <v>678054.05405405164</v>
      </c>
      <c r="AL47" s="57">
        <f t="shared" si="12"/>
        <v>678054.05405405164</v>
      </c>
      <c r="AM47" s="57">
        <f t="shared" si="12"/>
        <v>678054.05405406654</v>
      </c>
      <c r="AN47" s="57">
        <f t="shared" si="12"/>
        <v>678054.05405405164</v>
      </c>
    </row>
    <row r="48" spans="1:40" ht="13.5" customHeight="1" x14ac:dyDescent="0.3">
      <c r="B48" s="28"/>
      <c r="C48" s="61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</row>
    <row r="49" spans="1:40" s="63" customFormat="1" ht="13.5" customHeight="1" x14ac:dyDescent="0.3">
      <c r="A49" s="25" t="s">
        <v>110</v>
      </c>
      <c r="B49" s="62" t="s">
        <v>126</v>
      </c>
      <c r="C49" s="62"/>
    </row>
    <row r="51" spans="1:40" s="57" customFormat="1" ht="13.5" customHeight="1" x14ac:dyDescent="0.3">
      <c r="B51" s="57" t="s">
        <v>127</v>
      </c>
      <c r="D51" s="57">
        <f t="shared" ref="D51:AN51" si="13">D47</f>
        <v>0</v>
      </c>
      <c r="E51" s="57">
        <f t="shared" si="13"/>
        <v>271221.62162162166</v>
      </c>
      <c r="F51" s="57">
        <f t="shared" si="13"/>
        <v>461076.75675675657</v>
      </c>
      <c r="G51" s="57">
        <f t="shared" si="13"/>
        <v>569565.40540540568</v>
      </c>
      <c r="H51" s="57">
        <f t="shared" si="13"/>
        <v>1570315.0702702694</v>
      </c>
      <c r="I51" s="57">
        <f t="shared" si="13"/>
        <v>1915463.9567567557</v>
      </c>
      <c r="J51" s="57">
        <f t="shared" si="13"/>
        <v>2784322.4216216216</v>
      </c>
      <c r="K51" s="57">
        <f t="shared" si="13"/>
        <v>3088788.0648648646</v>
      </c>
      <c r="L51" s="57">
        <f t="shared" si="13"/>
        <v>3982908.8864864875</v>
      </c>
      <c r="M51" s="57">
        <f t="shared" si="13"/>
        <v>4164259.2864864897</v>
      </c>
      <c r="N51" s="57">
        <f t="shared" si="13"/>
        <v>5232417.2108108103</v>
      </c>
      <c r="O51" s="57">
        <f t="shared" si="13"/>
        <v>5304213.4486486465</v>
      </c>
      <c r="P51" s="57">
        <f t="shared" si="13"/>
        <v>6023367.2648648657</v>
      </c>
      <c r="Q51" s="57">
        <f t="shared" si="13"/>
        <v>6248326.2270270139</v>
      </c>
      <c r="R51" s="57">
        <f t="shared" si="13"/>
        <v>5992389.8810810819</v>
      </c>
      <c r="S51" s="57">
        <f t="shared" si="13"/>
        <v>6104869.3621621728</v>
      </c>
      <c r="T51" s="57">
        <f t="shared" si="13"/>
        <v>5623974.0540540591</v>
      </c>
      <c r="U51" s="57">
        <f t="shared" si="13"/>
        <v>4799654.0540540591</v>
      </c>
      <c r="V51" s="57">
        <f t="shared" si="13"/>
        <v>4799654.0540540591</v>
      </c>
      <c r="W51" s="57">
        <f t="shared" si="13"/>
        <v>4799654.0540540516</v>
      </c>
      <c r="X51" s="57">
        <f t="shared" si="13"/>
        <v>3975334.0540540665</v>
      </c>
      <c r="Y51" s="57">
        <f t="shared" si="13"/>
        <v>3975334.0540540516</v>
      </c>
      <c r="Z51" s="57">
        <f t="shared" si="13"/>
        <v>3975334.0540540516</v>
      </c>
      <c r="AA51" s="57">
        <f t="shared" si="13"/>
        <v>3975334.0540540516</v>
      </c>
      <c r="AB51" s="57">
        <f t="shared" si="13"/>
        <v>3151014.0540540665</v>
      </c>
      <c r="AC51" s="57">
        <f t="shared" si="13"/>
        <v>3151014.0540540516</v>
      </c>
      <c r="AD51" s="57">
        <f t="shared" si="13"/>
        <v>3151014.0540540516</v>
      </c>
      <c r="AE51" s="57">
        <f t="shared" si="13"/>
        <v>2326694.0540540814</v>
      </c>
      <c r="AF51" s="57">
        <f t="shared" si="13"/>
        <v>678054.05405405164</v>
      </c>
      <c r="AG51" s="57">
        <f t="shared" si="13"/>
        <v>678054.05405406654</v>
      </c>
      <c r="AH51" s="57">
        <f t="shared" si="13"/>
        <v>678054.05405405164</v>
      </c>
      <c r="AI51" s="57">
        <f t="shared" si="13"/>
        <v>678054.05405406654</v>
      </c>
      <c r="AJ51" s="57">
        <f t="shared" si="13"/>
        <v>678054.05405405164</v>
      </c>
      <c r="AK51" s="57">
        <f t="shared" si="13"/>
        <v>678054.05405405164</v>
      </c>
      <c r="AL51" s="57">
        <f t="shared" si="13"/>
        <v>678054.05405405164</v>
      </c>
      <c r="AM51" s="57">
        <f t="shared" si="13"/>
        <v>678054.05405406654</v>
      </c>
      <c r="AN51" s="57">
        <f t="shared" si="13"/>
        <v>678054.05405405164</v>
      </c>
    </row>
    <row r="52" spans="1:40" s="57" customFormat="1" ht="13.5" customHeight="1" x14ac:dyDescent="0.3"/>
    <row r="53" spans="1:40" s="57" customFormat="1" ht="13.5" customHeight="1" x14ac:dyDescent="0.3"/>
    <row r="54" spans="1:40" s="57" customFormat="1" ht="13.5" customHeight="1" x14ac:dyDescent="0.3">
      <c r="B54" s="57" t="s">
        <v>128</v>
      </c>
      <c r="D54" s="57">
        <f t="shared" ref="D54:AN54" si="14">D45*$C$13*$C$8</f>
        <v>423783.78378378385</v>
      </c>
      <c r="E54" s="57">
        <f t="shared" si="14"/>
        <v>423783.78378378385</v>
      </c>
      <c r="F54" s="57">
        <f t="shared" si="14"/>
        <v>423783.78378378373</v>
      </c>
      <c r="G54" s="57">
        <f t="shared" si="14"/>
        <v>423783.7837837839</v>
      </c>
      <c r="H54" s="57">
        <f t="shared" si="14"/>
        <v>1454183.7837837837</v>
      </c>
      <c r="I54" s="57">
        <f t="shared" si="14"/>
        <v>1454183.7837837834</v>
      </c>
      <c r="J54" s="57">
        <f t="shared" si="14"/>
        <v>1969383.7837837841</v>
      </c>
      <c r="K54" s="57">
        <f t="shared" si="14"/>
        <v>1969383.7837837841</v>
      </c>
      <c r="L54" s="57">
        <f t="shared" si="14"/>
        <v>2484583.7837837841</v>
      </c>
      <c r="M54" s="57">
        <f t="shared" si="14"/>
        <v>2484583.7837837841</v>
      </c>
      <c r="N54" s="57">
        <f t="shared" si="14"/>
        <v>2999783.7837837832</v>
      </c>
      <c r="O54" s="57">
        <f t="shared" si="14"/>
        <v>2999783.7837837832</v>
      </c>
      <c r="P54" s="57">
        <f t="shared" si="14"/>
        <v>3514983.7837837827</v>
      </c>
      <c r="Q54" s="57">
        <f t="shared" si="14"/>
        <v>3514983.7837837785</v>
      </c>
      <c r="R54" s="57">
        <f t="shared" si="14"/>
        <v>3514983.7837837827</v>
      </c>
      <c r="S54" s="57">
        <f t="shared" si="14"/>
        <v>3514983.7837837865</v>
      </c>
      <c r="T54" s="57">
        <f t="shared" si="14"/>
        <v>3514983.7837837865</v>
      </c>
      <c r="U54" s="57">
        <f t="shared" si="14"/>
        <v>2999783.7837837874</v>
      </c>
      <c r="V54" s="57">
        <f t="shared" si="14"/>
        <v>2999783.7837837874</v>
      </c>
      <c r="W54" s="57">
        <f t="shared" si="14"/>
        <v>2999783.7837837799</v>
      </c>
      <c r="X54" s="57">
        <f t="shared" si="14"/>
        <v>2484583.7837837916</v>
      </c>
      <c r="Y54" s="57">
        <f t="shared" si="14"/>
        <v>2484583.7837837841</v>
      </c>
      <c r="Z54" s="57">
        <f t="shared" si="14"/>
        <v>2484583.7837837841</v>
      </c>
      <c r="AA54" s="57">
        <f t="shared" si="14"/>
        <v>2484583.7837837841</v>
      </c>
      <c r="AB54" s="57">
        <f t="shared" si="14"/>
        <v>1969383.7837837888</v>
      </c>
      <c r="AC54" s="57">
        <f t="shared" si="14"/>
        <v>1969383.7837837888</v>
      </c>
      <c r="AD54" s="57">
        <f t="shared" si="14"/>
        <v>1969383.7837837809</v>
      </c>
      <c r="AE54" s="57">
        <f t="shared" si="14"/>
        <v>1454183.7837837858</v>
      </c>
      <c r="AF54" s="57">
        <f t="shared" si="14"/>
        <v>423783.78378378699</v>
      </c>
      <c r="AG54" s="57">
        <f t="shared" si="14"/>
        <v>423783.78378378699</v>
      </c>
      <c r="AH54" s="57">
        <f t="shared" si="14"/>
        <v>423783.78378378699</v>
      </c>
      <c r="AI54" s="57">
        <f t="shared" si="14"/>
        <v>423783.78378378699</v>
      </c>
      <c r="AJ54" s="57">
        <f t="shared" si="14"/>
        <v>423783.78378378699</v>
      </c>
      <c r="AK54" s="57">
        <f t="shared" si="14"/>
        <v>423783.78378377948</v>
      </c>
      <c r="AL54" s="57">
        <f t="shared" si="14"/>
        <v>423783.78378378699</v>
      </c>
      <c r="AM54" s="57">
        <f t="shared" si="14"/>
        <v>423783.78378378699</v>
      </c>
      <c r="AN54" s="57">
        <f t="shared" si="14"/>
        <v>423783.78378378699</v>
      </c>
    </row>
    <row r="55" spans="1:40" ht="13.5" customHeight="1" x14ac:dyDescent="0.3">
      <c r="B55" s="25" t="s">
        <v>129</v>
      </c>
      <c r="C55" s="64"/>
    </row>
    <row r="56" spans="1:40" s="51" customFormat="1" ht="13.5" customHeight="1" x14ac:dyDescent="0.3">
      <c r="B56" s="51" t="s">
        <v>130</v>
      </c>
      <c r="C56" s="65"/>
    </row>
    <row r="58" spans="1:40" s="57" customFormat="1" ht="13.5" customHeight="1" x14ac:dyDescent="0.3">
      <c r="B58" s="57" t="s">
        <v>131</v>
      </c>
      <c r="D58" s="57">
        <f t="shared" ref="D58:AN58" si="15">D51-D54</f>
        <v>-423783.78378378385</v>
      </c>
      <c r="E58" s="57">
        <f t="shared" si="15"/>
        <v>-152562.16216216219</v>
      </c>
      <c r="F58" s="57">
        <f t="shared" si="15"/>
        <v>37292.972972972842</v>
      </c>
      <c r="G58" s="57">
        <f t="shared" si="15"/>
        <v>145781.62162162177</v>
      </c>
      <c r="H58" s="57">
        <f t="shared" si="15"/>
        <v>116131.28648648574</v>
      </c>
      <c r="I58" s="57">
        <f t="shared" si="15"/>
        <v>461280.17297297227</v>
      </c>
      <c r="J58" s="57">
        <f t="shared" si="15"/>
        <v>814938.63783783745</v>
      </c>
      <c r="K58" s="57">
        <f t="shared" si="15"/>
        <v>1119404.2810810804</v>
      </c>
      <c r="L58" s="57">
        <f t="shared" si="15"/>
        <v>1498325.1027027033</v>
      </c>
      <c r="M58" s="57">
        <f t="shared" si="15"/>
        <v>1679675.5027027056</v>
      </c>
      <c r="N58" s="57">
        <f t="shared" si="15"/>
        <v>2232633.4270270271</v>
      </c>
      <c r="O58" s="57">
        <f t="shared" si="15"/>
        <v>2304429.6648648633</v>
      </c>
      <c r="P58" s="57">
        <f t="shared" si="15"/>
        <v>2508383.481081083</v>
      </c>
      <c r="Q58" s="57">
        <f t="shared" si="15"/>
        <v>2733342.4432432353</v>
      </c>
      <c r="R58" s="57">
        <f t="shared" si="15"/>
        <v>2477406.0972972992</v>
      </c>
      <c r="S58" s="57">
        <f t="shared" si="15"/>
        <v>2589885.5783783863</v>
      </c>
      <c r="T58" s="57">
        <f t="shared" si="15"/>
        <v>2108990.2702702726</v>
      </c>
      <c r="U58" s="57">
        <f t="shared" si="15"/>
        <v>1799870.2702702717</v>
      </c>
      <c r="V58" s="57">
        <f t="shared" si="15"/>
        <v>1799870.2702702717</v>
      </c>
      <c r="W58" s="57">
        <f t="shared" si="15"/>
        <v>1799870.2702702717</v>
      </c>
      <c r="X58" s="57">
        <f t="shared" si="15"/>
        <v>1490750.270270275</v>
      </c>
      <c r="Y58" s="57">
        <f t="shared" si="15"/>
        <v>1490750.2702702675</v>
      </c>
      <c r="Z58" s="57">
        <f t="shared" si="15"/>
        <v>1490750.2702702675</v>
      </c>
      <c r="AA58" s="57">
        <f t="shared" si="15"/>
        <v>1490750.2702702675</v>
      </c>
      <c r="AB58" s="57">
        <f t="shared" si="15"/>
        <v>1181630.2702702777</v>
      </c>
      <c r="AC58" s="57">
        <f t="shared" si="15"/>
        <v>1181630.2702702628</v>
      </c>
      <c r="AD58" s="57">
        <f t="shared" si="15"/>
        <v>1181630.2702702708</v>
      </c>
      <c r="AE58" s="57">
        <f t="shared" si="15"/>
        <v>872510.27027029567</v>
      </c>
      <c r="AF58" s="57">
        <f t="shared" si="15"/>
        <v>254270.27027026465</v>
      </c>
      <c r="AG58" s="57">
        <f t="shared" si="15"/>
        <v>254270.27027027955</v>
      </c>
      <c r="AH58" s="57">
        <f t="shared" si="15"/>
        <v>254270.27027026465</v>
      </c>
      <c r="AI58" s="57">
        <f t="shared" si="15"/>
        <v>254270.27027027955</v>
      </c>
      <c r="AJ58" s="57">
        <f t="shared" si="15"/>
        <v>254270.27027026465</v>
      </c>
      <c r="AK58" s="57">
        <f t="shared" si="15"/>
        <v>254270.27027027216</v>
      </c>
      <c r="AL58" s="57">
        <f t="shared" si="15"/>
        <v>254270.27027026465</v>
      </c>
      <c r="AM58" s="57">
        <f t="shared" si="15"/>
        <v>254270.27027027955</v>
      </c>
      <c r="AN58" s="57">
        <f t="shared" si="15"/>
        <v>254270.27027026465</v>
      </c>
    </row>
    <row r="59" spans="1:40" s="51" customFormat="1" ht="13.5" customHeight="1" x14ac:dyDescent="0.3">
      <c r="B59" s="51" t="s">
        <v>132</v>
      </c>
      <c r="C59" s="65"/>
      <c r="E59" s="51">
        <f t="shared" ref="E59:AK59" si="16">IFERROR(E58/E51,0)</f>
        <v>-0.5625</v>
      </c>
      <c r="F59" s="51">
        <f t="shared" si="16"/>
        <v>8.0882352941176225E-2</v>
      </c>
      <c r="G59" s="51">
        <f t="shared" si="16"/>
        <v>0.2559523809523811</v>
      </c>
      <c r="H59" s="51">
        <f t="shared" si="16"/>
        <v>7.3954131043586183E-2</v>
      </c>
      <c r="I59" s="51">
        <f t="shared" si="16"/>
        <v>0.24081903047343539</v>
      </c>
      <c r="J59" s="51">
        <f t="shared" si="16"/>
        <v>0.29268831494134495</v>
      </c>
      <c r="K59" s="51">
        <f t="shared" si="16"/>
        <v>0.36240889875688337</v>
      </c>
      <c r="L59" s="51">
        <f t="shared" si="16"/>
        <v>0.37618864639016308</v>
      </c>
      <c r="M59" s="51">
        <f t="shared" si="16"/>
        <v>0.40335516766533963</v>
      </c>
      <c r="N59" s="51">
        <f t="shared" si="16"/>
        <v>0.42669254707253368</v>
      </c>
      <c r="O59" s="51">
        <f t="shared" si="16"/>
        <v>0.43445266431575497</v>
      </c>
      <c r="P59" s="51">
        <f t="shared" si="16"/>
        <v>0.41644206152144014</v>
      </c>
      <c r="Q59" s="51">
        <f t="shared" si="16"/>
        <v>0.43745194215695965</v>
      </c>
      <c r="R59" s="51">
        <f t="shared" si="16"/>
        <v>0.41342538560764547</v>
      </c>
      <c r="S59" s="51">
        <f t="shared" si="16"/>
        <v>0.42423275990644982</v>
      </c>
      <c r="T59" s="51">
        <f t="shared" si="16"/>
        <v>0.37500000000000006</v>
      </c>
      <c r="U59" s="51">
        <f t="shared" si="16"/>
        <v>0.37499999999999989</v>
      </c>
      <c r="V59" s="51">
        <f t="shared" si="16"/>
        <v>0.37499999999999989</v>
      </c>
      <c r="W59" s="51">
        <f t="shared" si="16"/>
        <v>0.3750000000000005</v>
      </c>
      <c r="X59" s="51">
        <f t="shared" si="16"/>
        <v>0.375</v>
      </c>
      <c r="Y59" s="51">
        <f t="shared" si="16"/>
        <v>0.37499999999999956</v>
      </c>
      <c r="Z59" s="51">
        <f t="shared" si="16"/>
        <v>0.37499999999999956</v>
      </c>
      <c r="AA59" s="51">
        <f t="shared" si="16"/>
        <v>0.37499999999999956</v>
      </c>
      <c r="AB59" s="51">
        <f t="shared" si="16"/>
        <v>0.37500000000000089</v>
      </c>
      <c r="AC59" s="51">
        <f t="shared" si="16"/>
        <v>0.37499999999999795</v>
      </c>
      <c r="AD59" s="51">
        <f t="shared" si="16"/>
        <v>0.37500000000000044</v>
      </c>
      <c r="AE59" s="51">
        <f t="shared" si="16"/>
        <v>0.37500000000000649</v>
      </c>
      <c r="AF59" s="51">
        <f t="shared" si="16"/>
        <v>0.37499999999999306</v>
      </c>
      <c r="AG59" s="51">
        <f t="shared" si="16"/>
        <v>0.37500000000000677</v>
      </c>
      <c r="AH59" s="51">
        <f t="shared" si="16"/>
        <v>0.37499999999999306</v>
      </c>
      <c r="AI59" s="51">
        <f t="shared" si="16"/>
        <v>0.37500000000000677</v>
      </c>
      <c r="AJ59" s="51">
        <f t="shared" si="16"/>
        <v>0.37499999999999306</v>
      </c>
      <c r="AK59" s="51">
        <f t="shared" si="16"/>
        <v>0.37500000000000411</v>
      </c>
    </row>
    <row r="60" spans="1:40" ht="13.5" customHeight="1" x14ac:dyDescent="0.3">
      <c r="C60" s="64"/>
    </row>
    <row r="61" spans="1:40" s="57" customFormat="1" ht="13.5" customHeight="1" x14ac:dyDescent="0.3">
      <c r="B61" s="57" t="s">
        <v>133</v>
      </c>
      <c r="D61" s="57">
        <f t="shared" ref="D61:AH61" si="17">$C$20*$C$8/31</f>
        <v>108387.09677419355</v>
      </c>
      <c r="E61" s="57">
        <f t="shared" si="17"/>
        <v>108387.09677419355</v>
      </c>
      <c r="F61" s="57">
        <f t="shared" si="17"/>
        <v>108387.09677419355</v>
      </c>
      <c r="G61" s="57">
        <f t="shared" si="17"/>
        <v>108387.09677419355</v>
      </c>
      <c r="H61" s="57">
        <f t="shared" si="17"/>
        <v>108387.09677419355</v>
      </c>
      <c r="I61" s="57">
        <f t="shared" si="17"/>
        <v>108387.09677419355</v>
      </c>
      <c r="J61" s="57">
        <f t="shared" si="17"/>
        <v>108387.09677419355</v>
      </c>
      <c r="K61" s="57">
        <f t="shared" si="17"/>
        <v>108387.09677419355</v>
      </c>
      <c r="L61" s="57">
        <f t="shared" si="17"/>
        <v>108387.09677419355</v>
      </c>
      <c r="M61" s="57">
        <f t="shared" si="17"/>
        <v>108387.09677419355</v>
      </c>
      <c r="N61" s="57">
        <f t="shared" si="17"/>
        <v>108387.09677419355</v>
      </c>
      <c r="O61" s="57">
        <f t="shared" si="17"/>
        <v>108387.09677419355</v>
      </c>
      <c r="P61" s="57">
        <f t="shared" si="17"/>
        <v>108387.09677419355</v>
      </c>
      <c r="Q61" s="57">
        <f t="shared" si="17"/>
        <v>108387.09677419355</v>
      </c>
      <c r="R61" s="57">
        <f t="shared" si="17"/>
        <v>108387.09677419355</v>
      </c>
      <c r="S61" s="57">
        <f t="shared" si="17"/>
        <v>108387.09677419355</v>
      </c>
      <c r="T61" s="57">
        <f t="shared" si="17"/>
        <v>108387.09677419355</v>
      </c>
      <c r="U61" s="57">
        <f t="shared" si="17"/>
        <v>108387.09677419355</v>
      </c>
      <c r="V61" s="57">
        <f t="shared" si="17"/>
        <v>108387.09677419355</v>
      </c>
      <c r="W61" s="57">
        <f t="shared" si="17"/>
        <v>108387.09677419355</v>
      </c>
      <c r="X61" s="57">
        <f t="shared" si="17"/>
        <v>108387.09677419355</v>
      </c>
      <c r="Y61" s="57">
        <f t="shared" si="17"/>
        <v>108387.09677419355</v>
      </c>
      <c r="Z61" s="57">
        <f t="shared" si="17"/>
        <v>108387.09677419355</v>
      </c>
      <c r="AA61" s="57">
        <f t="shared" si="17"/>
        <v>108387.09677419355</v>
      </c>
      <c r="AB61" s="57">
        <f t="shared" si="17"/>
        <v>108387.09677419355</v>
      </c>
      <c r="AC61" s="57">
        <f t="shared" si="17"/>
        <v>108387.09677419355</v>
      </c>
      <c r="AD61" s="57">
        <f t="shared" si="17"/>
        <v>108387.09677419355</v>
      </c>
      <c r="AE61" s="57">
        <f t="shared" si="17"/>
        <v>108387.09677419355</v>
      </c>
      <c r="AF61" s="57">
        <f t="shared" si="17"/>
        <v>108387.09677419355</v>
      </c>
      <c r="AG61" s="57">
        <f t="shared" si="17"/>
        <v>108387.09677419355</v>
      </c>
      <c r="AH61" s="57">
        <f t="shared" si="17"/>
        <v>108387.09677419355</v>
      </c>
      <c r="AI61" s="57">
        <v>0</v>
      </c>
      <c r="AJ61" s="57">
        <v>0</v>
      </c>
      <c r="AK61" s="57">
        <v>0</v>
      </c>
      <c r="AL61" s="57">
        <v>0</v>
      </c>
      <c r="AM61" s="57">
        <v>0</v>
      </c>
      <c r="AN61" s="57">
        <v>0</v>
      </c>
    </row>
    <row r="62" spans="1:40" s="57" customFormat="1" ht="13.5" hidden="1" customHeight="1" x14ac:dyDescent="0.3">
      <c r="B62" s="57" t="s">
        <v>134</v>
      </c>
      <c r="D62" s="57">
        <f>$C$23*$C$8*0.075</f>
        <v>0</v>
      </c>
      <c r="E62" s="57">
        <f>$C$23*$C$8*0.075</f>
        <v>0</v>
      </c>
      <c r="F62" s="57">
        <f>$C$23*$C$8*0.075</f>
        <v>0</v>
      </c>
      <c r="G62" s="57">
        <f>$C$23*$C$8*0.075</f>
        <v>0</v>
      </c>
      <c r="H62" s="57">
        <f t="shared" ref="H62:Y62" si="18">$C$23*$C$8*0.0166666666666667</f>
        <v>0</v>
      </c>
      <c r="I62" s="57">
        <f t="shared" si="18"/>
        <v>0</v>
      </c>
      <c r="J62" s="57">
        <f t="shared" si="18"/>
        <v>0</v>
      </c>
      <c r="K62" s="57">
        <f t="shared" si="18"/>
        <v>0</v>
      </c>
      <c r="L62" s="57">
        <f t="shared" si="18"/>
        <v>0</v>
      </c>
      <c r="M62" s="57">
        <f t="shared" si="18"/>
        <v>0</v>
      </c>
      <c r="N62" s="57">
        <f t="shared" si="18"/>
        <v>0</v>
      </c>
      <c r="O62" s="57">
        <f t="shared" si="18"/>
        <v>0</v>
      </c>
      <c r="P62" s="57">
        <f t="shared" si="18"/>
        <v>0</v>
      </c>
      <c r="Q62" s="57">
        <f t="shared" si="18"/>
        <v>0</v>
      </c>
      <c r="R62" s="57">
        <f t="shared" si="18"/>
        <v>0</v>
      </c>
      <c r="S62" s="57">
        <f t="shared" si="18"/>
        <v>0</v>
      </c>
      <c r="T62" s="57">
        <f t="shared" si="18"/>
        <v>0</v>
      </c>
      <c r="U62" s="57">
        <f t="shared" si="18"/>
        <v>0</v>
      </c>
      <c r="V62" s="57">
        <f t="shared" si="18"/>
        <v>0</v>
      </c>
      <c r="W62" s="57">
        <f t="shared" si="18"/>
        <v>0</v>
      </c>
      <c r="X62" s="57">
        <f t="shared" si="18"/>
        <v>0</v>
      </c>
      <c r="Y62" s="57">
        <f t="shared" si="18"/>
        <v>0</v>
      </c>
      <c r="Z62" s="57">
        <f t="shared" ref="Z62:AE62" si="19">$C$23*$C$8*0.0666666666666667</f>
        <v>0</v>
      </c>
      <c r="AA62" s="57">
        <f t="shared" si="19"/>
        <v>0</v>
      </c>
      <c r="AB62" s="57">
        <f t="shared" si="19"/>
        <v>0</v>
      </c>
      <c r="AC62" s="57">
        <f t="shared" si="19"/>
        <v>0</v>
      </c>
      <c r="AD62" s="57">
        <f t="shared" si="19"/>
        <v>0</v>
      </c>
      <c r="AE62" s="57">
        <f t="shared" si="19"/>
        <v>0</v>
      </c>
      <c r="AF62" s="57">
        <v>0</v>
      </c>
      <c r="AG62" s="57">
        <v>0</v>
      </c>
      <c r="AH62" s="57">
        <v>0</v>
      </c>
      <c r="AI62" s="57">
        <v>0</v>
      </c>
      <c r="AJ62" s="57">
        <v>0</v>
      </c>
      <c r="AK62" s="57">
        <v>0</v>
      </c>
      <c r="AL62" s="57">
        <v>0</v>
      </c>
      <c r="AM62" s="57">
        <v>0</v>
      </c>
      <c r="AN62" s="57">
        <v>0</v>
      </c>
    </row>
    <row r="63" spans="1:40" s="51" customFormat="1" ht="13.5" customHeight="1" x14ac:dyDescent="0.3">
      <c r="B63" s="51" t="s">
        <v>135</v>
      </c>
      <c r="C63" s="65"/>
      <c r="D63" s="57">
        <f>$C$24*$C$8*0.175</f>
        <v>196000</v>
      </c>
      <c r="E63" s="57">
        <f>$C$24*$C$8*0.175</f>
        <v>196000</v>
      </c>
      <c r="F63" s="57">
        <f>$C$24*$C$8*0.175</f>
        <v>196000</v>
      </c>
      <c r="G63" s="57">
        <f>$C$24*$C$8*0.175</f>
        <v>196000</v>
      </c>
      <c r="H63" s="57">
        <f t="shared" ref="H63:AE63" si="20">$C$24*$C$8*0.0125</f>
        <v>14000</v>
      </c>
      <c r="I63" s="57">
        <f t="shared" si="20"/>
        <v>14000</v>
      </c>
      <c r="J63" s="57">
        <f t="shared" si="20"/>
        <v>14000</v>
      </c>
      <c r="K63" s="57">
        <f t="shared" si="20"/>
        <v>14000</v>
      </c>
      <c r="L63" s="57">
        <f t="shared" si="20"/>
        <v>14000</v>
      </c>
      <c r="M63" s="57">
        <f t="shared" si="20"/>
        <v>14000</v>
      </c>
      <c r="N63" s="57">
        <f t="shared" si="20"/>
        <v>14000</v>
      </c>
      <c r="O63" s="57">
        <f t="shared" si="20"/>
        <v>14000</v>
      </c>
      <c r="P63" s="57">
        <f t="shared" si="20"/>
        <v>14000</v>
      </c>
      <c r="Q63" s="57">
        <f t="shared" si="20"/>
        <v>14000</v>
      </c>
      <c r="R63" s="57">
        <f t="shared" si="20"/>
        <v>14000</v>
      </c>
      <c r="S63" s="57">
        <f t="shared" si="20"/>
        <v>14000</v>
      </c>
      <c r="T63" s="57">
        <f t="shared" si="20"/>
        <v>14000</v>
      </c>
      <c r="U63" s="57">
        <f t="shared" si="20"/>
        <v>14000</v>
      </c>
      <c r="V63" s="57">
        <f t="shared" si="20"/>
        <v>14000</v>
      </c>
      <c r="W63" s="57">
        <f t="shared" si="20"/>
        <v>14000</v>
      </c>
      <c r="X63" s="57">
        <f t="shared" si="20"/>
        <v>14000</v>
      </c>
      <c r="Y63" s="57">
        <f t="shared" si="20"/>
        <v>14000</v>
      </c>
      <c r="Z63" s="57">
        <f t="shared" si="20"/>
        <v>14000</v>
      </c>
      <c r="AA63" s="57">
        <f t="shared" si="20"/>
        <v>14000</v>
      </c>
      <c r="AB63" s="57">
        <f t="shared" si="20"/>
        <v>14000</v>
      </c>
      <c r="AC63" s="57">
        <f t="shared" si="20"/>
        <v>14000</v>
      </c>
      <c r="AD63" s="57">
        <f t="shared" si="20"/>
        <v>14000</v>
      </c>
      <c r="AE63" s="57">
        <f t="shared" si="20"/>
        <v>14000</v>
      </c>
      <c r="AF63" s="57">
        <v>0</v>
      </c>
      <c r="AG63" s="57">
        <v>0</v>
      </c>
      <c r="AH63" s="57">
        <v>0</v>
      </c>
      <c r="AI63" s="57">
        <v>0</v>
      </c>
      <c r="AJ63" s="57">
        <v>0</v>
      </c>
      <c r="AK63" s="57">
        <v>0</v>
      </c>
      <c r="AL63" s="57">
        <v>0</v>
      </c>
      <c r="AM63" s="57">
        <v>0</v>
      </c>
      <c r="AN63" s="57">
        <v>0</v>
      </c>
    </row>
    <row r="64" spans="1:40" ht="13.5" customHeight="1" x14ac:dyDescent="0.3">
      <c r="C64" s="64"/>
    </row>
    <row r="65" spans="1:40" s="38" customFormat="1" ht="13.5" customHeight="1" x14ac:dyDescent="0.3">
      <c r="B65" s="38" t="s">
        <v>136</v>
      </c>
      <c r="C65" s="66"/>
      <c r="D65" s="67">
        <f t="shared" ref="D65:AN65" si="21">D37*$C$8*$C$21</f>
        <v>0</v>
      </c>
      <c r="E65" s="67">
        <f t="shared" si="21"/>
        <v>0</v>
      </c>
      <c r="F65" s="67">
        <f t="shared" si="21"/>
        <v>0</v>
      </c>
      <c r="G65" s="67">
        <f t="shared" si="21"/>
        <v>0</v>
      </c>
      <c r="H65" s="67">
        <f t="shared" si="21"/>
        <v>0</v>
      </c>
      <c r="I65" s="67">
        <f t="shared" si="21"/>
        <v>0</v>
      </c>
      <c r="J65" s="67">
        <f t="shared" si="21"/>
        <v>0</v>
      </c>
      <c r="K65" s="67">
        <f t="shared" si="21"/>
        <v>0</v>
      </c>
      <c r="L65" s="67">
        <f t="shared" si="21"/>
        <v>0</v>
      </c>
      <c r="M65" s="67">
        <f t="shared" si="21"/>
        <v>0</v>
      </c>
      <c r="N65" s="67">
        <f t="shared" si="21"/>
        <v>0</v>
      </c>
      <c r="O65" s="67">
        <f t="shared" si="21"/>
        <v>0</v>
      </c>
      <c r="P65" s="67">
        <f t="shared" si="21"/>
        <v>0</v>
      </c>
      <c r="Q65" s="67">
        <f t="shared" si="21"/>
        <v>0</v>
      </c>
      <c r="R65" s="67">
        <f t="shared" si="21"/>
        <v>0</v>
      </c>
      <c r="S65" s="67">
        <f t="shared" si="21"/>
        <v>0</v>
      </c>
      <c r="T65" s="67">
        <f t="shared" si="21"/>
        <v>0</v>
      </c>
      <c r="U65" s="67">
        <f t="shared" si="21"/>
        <v>0</v>
      </c>
      <c r="V65" s="67">
        <f t="shared" si="21"/>
        <v>0</v>
      </c>
      <c r="W65" s="67">
        <f t="shared" si="21"/>
        <v>0</v>
      </c>
      <c r="X65" s="67">
        <f t="shared" si="21"/>
        <v>0</v>
      </c>
      <c r="Y65" s="67">
        <f t="shared" si="21"/>
        <v>0</v>
      </c>
      <c r="Z65" s="67">
        <f t="shared" si="21"/>
        <v>0</v>
      </c>
      <c r="AA65" s="67">
        <f t="shared" si="21"/>
        <v>0</v>
      </c>
      <c r="AB65" s="67">
        <f t="shared" si="21"/>
        <v>0</v>
      </c>
      <c r="AC65" s="67">
        <f t="shared" si="21"/>
        <v>0</v>
      </c>
      <c r="AD65" s="67">
        <f t="shared" si="21"/>
        <v>0</v>
      </c>
      <c r="AE65" s="67">
        <f t="shared" si="21"/>
        <v>0</v>
      </c>
      <c r="AF65" s="67">
        <f t="shared" si="21"/>
        <v>0</v>
      </c>
      <c r="AG65" s="67">
        <f t="shared" si="21"/>
        <v>0</v>
      </c>
      <c r="AH65" s="67">
        <f t="shared" si="21"/>
        <v>0</v>
      </c>
      <c r="AI65" s="67">
        <f t="shared" si="21"/>
        <v>0</v>
      </c>
      <c r="AJ65" s="67">
        <f t="shared" si="21"/>
        <v>0</v>
      </c>
      <c r="AK65" s="67">
        <f t="shared" si="21"/>
        <v>0</v>
      </c>
      <c r="AL65" s="67">
        <f t="shared" si="21"/>
        <v>0</v>
      </c>
      <c r="AM65" s="67">
        <f t="shared" si="21"/>
        <v>0</v>
      </c>
      <c r="AN65" s="67">
        <f t="shared" si="21"/>
        <v>0</v>
      </c>
    </row>
    <row r="66" spans="1:40" s="51" customFormat="1" ht="13.5" customHeight="1" x14ac:dyDescent="0.3">
      <c r="C66" s="65"/>
    </row>
    <row r="68" spans="1:40" s="67" customFormat="1" ht="13.5" customHeight="1" x14ac:dyDescent="0.3">
      <c r="A68" s="67" t="s">
        <v>110</v>
      </c>
      <c r="B68" s="67" t="s">
        <v>137</v>
      </c>
      <c r="D68" s="67">
        <f t="shared" ref="D68:AN68" si="22">D58-D61-D62-D63-D65</f>
        <v>-728170.88055797736</v>
      </c>
      <c r="E68" s="67">
        <f t="shared" si="22"/>
        <v>-456949.25893635571</v>
      </c>
      <c r="F68" s="67">
        <f t="shared" si="22"/>
        <v>-267094.12380122067</v>
      </c>
      <c r="G68" s="67">
        <f t="shared" si="22"/>
        <v>-158605.47515257177</v>
      </c>
      <c r="H68" s="67">
        <f t="shared" si="22"/>
        <v>-6255.8102877078054</v>
      </c>
      <c r="I68" s="67">
        <f t="shared" si="22"/>
        <v>338893.0761987787</v>
      </c>
      <c r="J68" s="67">
        <f t="shared" si="22"/>
        <v>692551.54106364388</v>
      </c>
      <c r="K68" s="67">
        <f t="shared" si="22"/>
        <v>997017.18430688686</v>
      </c>
      <c r="L68" s="67">
        <f t="shared" si="22"/>
        <v>1375938.0059285099</v>
      </c>
      <c r="M68" s="67">
        <f t="shared" si="22"/>
        <v>1557288.4059285121</v>
      </c>
      <c r="N68" s="67">
        <f t="shared" si="22"/>
        <v>2110246.3302528337</v>
      </c>
      <c r="O68" s="67">
        <f t="shared" si="22"/>
        <v>2182042.5680906698</v>
      </c>
      <c r="P68" s="67">
        <f t="shared" si="22"/>
        <v>2385996.3843068895</v>
      </c>
      <c r="Q68" s="67">
        <f t="shared" si="22"/>
        <v>2610955.3464690419</v>
      </c>
      <c r="R68" s="67">
        <f t="shared" si="22"/>
        <v>2355019.0005231057</v>
      </c>
      <c r="S68" s="67">
        <f t="shared" si="22"/>
        <v>2467498.4816041929</v>
      </c>
      <c r="T68" s="67">
        <f t="shared" si="22"/>
        <v>1986603.1734960792</v>
      </c>
      <c r="U68" s="67">
        <f t="shared" si="22"/>
        <v>1677483.1734960782</v>
      </c>
      <c r="V68" s="67">
        <f t="shared" si="22"/>
        <v>1677483.1734960782</v>
      </c>
      <c r="W68" s="67">
        <f t="shared" si="22"/>
        <v>1677483.1734960782</v>
      </c>
      <c r="X68" s="67">
        <f t="shared" si="22"/>
        <v>1368363.1734960815</v>
      </c>
      <c r="Y68" s="67">
        <f t="shared" si="22"/>
        <v>1368363.173496074</v>
      </c>
      <c r="Z68" s="67">
        <f t="shared" si="22"/>
        <v>1368363.173496074</v>
      </c>
      <c r="AA68" s="67">
        <f t="shared" si="22"/>
        <v>1368363.173496074</v>
      </c>
      <c r="AB68" s="67">
        <f t="shared" si="22"/>
        <v>1059243.1734960843</v>
      </c>
      <c r="AC68" s="67">
        <f t="shared" si="22"/>
        <v>1059243.1734960694</v>
      </c>
      <c r="AD68" s="67">
        <f t="shared" si="22"/>
        <v>1059243.1734960773</v>
      </c>
      <c r="AE68" s="67">
        <f t="shared" si="22"/>
        <v>750123.1734961021</v>
      </c>
      <c r="AF68" s="67">
        <f t="shared" si="22"/>
        <v>145883.1734960711</v>
      </c>
      <c r="AG68" s="67">
        <f t="shared" si="22"/>
        <v>145883.173496086</v>
      </c>
      <c r="AH68" s="67">
        <f t="shared" si="22"/>
        <v>145883.1734960711</v>
      </c>
      <c r="AI68" s="67">
        <f t="shared" si="22"/>
        <v>254270.27027027955</v>
      </c>
      <c r="AJ68" s="67">
        <f t="shared" si="22"/>
        <v>254270.27027026465</v>
      </c>
      <c r="AK68" s="67">
        <f t="shared" si="22"/>
        <v>254270.27027027216</v>
      </c>
      <c r="AL68" s="67">
        <f t="shared" si="22"/>
        <v>254270.27027026465</v>
      </c>
      <c r="AM68" s="67">
        <f t="shared" si="22"/>
        <v>254270.27027027955</v>
      </c>
      <c r="AN68" s="67">
        <f t="shared" si="22"/>
        <v>254270.27027026465</v>
      </c>
    </row>
    <row r="69" spans="1:40" s="51" customFormat="1" ht="13.5" customHeight="1" x14ac:dyDescent="0.3">
      <c r="C69" s="65"/>
    </row>
    <row r="70" spans="1:40" ht="13.5" customHeight="1" x14ac:dyDescent="0.3"/>
    <row r="71" spans="1:40" s="57" customFormat="1" ht="13.5" customHeight="1" x14ac:dyDescent="0.3">
      <c r="B71" s="57" t="s">
        <v>138</v>
      </c>
      <c r="D71" s="57">
        <f t="shared" ref="D71:AN71" si="23">$C$22*D51</f>
        <v>0</v>
      </c>
      <c r="E71" s="57">
        <f t="shared" si="23"/>
        <v>10848.864864864867</v>
      </c>
      <c r="F71" s="57">
        <f t="shared" si="23"/>
        <v>18443.070270270262</v>
      </c>
      <c r="G71" s="57">
        <f t="shared" si="23"/>
        <v>22782.616216216229</v>
      </c>
      <c r="H71" s="57">
        <f t="shared" si="23"/>
        <v>62812.602810810778</v>
      </c>
      <c r="I71" s="57">
        <f t="shared" si="23"/>
        <v>76618.558270270223</v>
      </c>
      <c r="J71" s="57">
        <f t="shared" si="23"/>
        <v>111372.89686486486</v>
      </c>
      <c r="K71" s="57">
        <f t="shared" si="23"/>
        <v>123551.52259459459</v>
      </c>
      <c r="L71" s="57">
        <f t="shared" si="23"/>
        <v>159316.3554594595</v>
      </c>
      <c r="M71" s="57">
        <f t="shared" si="23"/>
        <v>166570.37145945959</v>
      </c>
      <c r="N71" s="57">
        <f t="shared" si="23"/>
        <v>209296.68843243242</v>
      </c>
      <c r="O71" s="57">
        <f t="shared" si="23"/>
        <v>212168.53794594586</v>
      </c>
      <c r="P71" s="57">
        <f t="shared" si="23"/>
        <v>240934.69059459463</v>
      </c>
      <c r="Q71" s="57">
        <f t="shared" si="23"/>
        <v>249933.04908108056</v>
      </c>
      <c r="R71" s="57">
        <f t="shared" si="23"/>
        <v>239695.59524324327</v>
      </c>
      <c r="S71" s="57">
        <f t="shared" si="23"/>
        <v>244194.77448648692</v>
      </c>
      <c r="T71" s="57">
        <f t="shared" si="23"/>
        <v>224958.96216216238</v>
      </c>
      <c r="U71" s="57">
        <f t="shared" si="23"/>
        <v>191986.16216216236</v>
      </c>
      <c r="V71" s="57">
        <f t="shared" si="23"/>
        <v>191986.16216216236</v>
      </c>
      <c r="W71" s="57">
        <f t="shared" si="23"/>
        <v>191986.16216216207</v>
      </c>
      <c r="X71" s="57">
        <f t="shared" si="23"/>
        <v>159013.36216216267</v>
      </c>
      <c r="Y71" s="57">
        <f t="shared" si="23"/>
        <v>159013.36216216206</v>
      </c>
      <c r="Z71" s="57">
        <f t="shared" si="23"/>
        <v>159013.36216216206</v>
      </c>
      <c r="AA71" s="57">
        <f t="shared" si="23"/>
        <v>159013.36216216206</v>
      </c>
      <c r="AB71" s="57">
        <f t="shared" si="23"/>
        <v>126040.56216216266</v>
      </c>
      <c r="AC71" s="57">
        <f t="shared" si="23"/>
        <v>126040.56216216207</v>
      </c>
      <c r="AD71" s="57">
        <f t="shared" si="23"/>
        <v>126040.56216216207</v>
      </c>
      <c r="AE71" s="57">
        <f t="shared" si="23"/>
        <v>93067.762162163257</v>
      </c>
      <c r="AF71" s="57">
        <f t="shared" si="23"/>
        <v>27122.162162162065</v>
      </c>
      <c r="AG71" s="57">
        <f t="shared" si="23"/>
        <v>27122.162162162662</v>
      </c>
      <c r="AH71" s="57">
        <f t="shared" si="23"/>
        <v>27122.162162162065</v>
      </c>
      <c r="AI71" s="57">
        <f t="shared" si="23"/>
        <v>27122.162162162662</v>
      </c>
      <c r="AJ71" s="57">
        <f t="shared" si="23"/>
        <v>27122.162162162065</v>
      </c>
      <c r="AK71" s="57">
        <f t="shared" si="23"/>
        <v>27122.162162162065</v>
      </c>
      <c r="AL71" s="57">
        <f t="shared" si="23"/>
        <v>27122.162162162065</v>
      </c>
      <c r="AM71" s="57">
        <f t="shared" si="23"/>
        <v>27122.162162162662</v>
      </c>
      <c r="AN71" s="57">
        <f t="shared" si="23"/>
        <v>27122.162162162065</v>
      </c>
    </row>
    <row r="72" spans="1:40" ht="13.5" customHeight="1" x14ac:dyDescent="0.3">
      <c r="C72" s="64"/>
    </row>
    <row r="73" spans="1:40" s="22" customFormat="1" ht="13.5" customHeight="1" x14ac:dyDescent="0.3">
      <c r="B73" s="68" t="s">
        <v>139</v>
      </c>
      <c r="C73" s="68"/>
      <c r="D73" s="46">
        <v>0</v>
      </c>
      <c r="E73" s="46">
        <v>1</v>
      </c>
      <c r="F73" s="46">
        <v>2</v>
      </c>
      <c r="G73" s="46">
        <v>3</v>
      </c>
      <c r="H73" s="46">
        <v>4</v>
      </c>
      <c r="I73" s="46">
        <v>5</v>
      </c>
      <c r="J73" s="46">
        <v>6</v>
      </c>
      <c r="K73" s="46">
        <v>7</v>
      </c>
      <c r="L73" s="46">
        <v>8</v>
      </c>
      <c r="M73" s="46">
        <v>9</v>
      </c>
      <c r="N73" s="46">
        <v>10</v>
      </c>
      <c r="O73" s="46">
        <v>11</v>
      </c>
      <c r="P73" s="46">
        <v>12</v>
      </c>
      <c r="Q73" s="46">
        <v>13</v>
      </c>
      <c r="R73" s="46">
        <v>14</v>
      </c>
      <c r="S73" s="46">
        <v>15</v>
      </c>
      <c r="T73" s="46">
        <v>16</v>
      </c>
      <c r="U73" s="46">
        <v>17</v>
      </c>
      <c r="V73" s="46">
        <v>18</v>
      </c>
      <c r="W73" s="46">
        <v>19</v>
      </c>
      <c r="X73" s="46">
        <v>20</v>
      </c>
      <c r="Y73" s="46">
        <v>21</v>
      </c>
      <c r="Z73" s="46">
        <v>22</v>
      </c>
      <c r="AA73" s="46">
        <v>23</v>
      </c>
      <c r="AB73" s="46">
        <v>24</v>
      </c>
      <c r="AC73" s="46">
        <v>25</v>
      </c>
      <c r="AD73" s="46">
        <v>26</v>
      </c>
      <c r="AE73" s="46">
        <v>27</v>
      </c>
      <c r="AF73" s="46">
        <v>28</v>
      </c>
      <c r="AG73" s="46">
        <f t="shared" ref="AG73:AN73" si="24">AF73+1</f>
        <v>29</v>
      </c>
      <c r="AH73" s="46">
        <f t="shared" si="24"/>
        <v>30</v>
      </c>
      <c r="AI73" s="46">
        <f t="shared" si="24"/>
        <v>31</v>
      </c>
      <c r="AJ73" s="46">
        <f t="shared" si="24"/>
        <v>32</v>
      </c>
      <c r="AK73" s="46">
        <f t="shared" si="24"/>
        <v>33</v>
      </c>
      <c r="AL73" s="46">
        <f t="shared" si="24"/>
        <v>34</v>
      </c>
      <c r="AM73" s="46">
        <f t="shared" si="24"/>
        <v>35</v>
      </c>
      <c r="AN73" s="46">
        <f t="shared" si="24"/>
        <v>36</v>
      </c>
    </row>
    <row r="74" spans="1:40" ht="13.5" customHeight="1" x14ac:dyDescent="0.3">
      <c r="B74" s="69" t="s">
        <v>140</v>
      </c>
      <c r="C74" s="69"/>
      <c r="D74" s="57">
        <f t="shared" ref="D74:AN74" si="25">D47</f>
        <v>0</v>
      </c>
      <c r="E74" s="57">
        <f t="shared" si="25"/>
        <v>271221.62162162166</v>
      </c>
      <c r="F74" s="57">
        <f t="shared" si="25"/>
        <v>461076.75675675657</v>
      </c>
      <c r="G74" s="57">
        <f t="shared" si="25"/>
        <v>569565.40540540568</v>
      </c>
      <c r="H74" s="57">
        <f t="shared" si="25"/>
        <v>1570315.0702702694</v>
      </c>
      <c r="I74" s="57">
        <f t="shared" si="25"/>
        <v>1915463.9567567557</v>
      </c>
      <c r="J74" s="57">
        <f t="shared" si="25"/>
        <v>2784322.4216216216</v>
      </c>
      <c r="K74" s="57">
        <f t="shared" si="25"/>
        <v>3088788.0648648646</v>
      </c>
      <c r="L74" s="57">
        <f t="shared" si="25"/>
        <v>3982908.8864864875</v>
      </c>
      <c r="M74" s="57">
        <f t="shared" si="25"/>
        <v>4164259.2864864897</v>
      </c>
      <c r="N74" s="57">
        <f t="shared" si="25"/>
        <v>5232417.2108108103</v>
      </c>
      <c r="O74" s="57">
        <f t="shared" si="25"/>
        <v>5304213.4486486465</v>
      </c>
      <c r="P74" s="57">
        <f t="shared" si="25"/>
        <v>6023367.2648648657</v>
      </c>
      <c r="Q74" s="57">
        <f t="shared" si="25"/>
        <v>6248326.2270270139</v>
      </c>
      <c r="R74" s="57">
        <f t="shared" si="25"/>
        <v>5992389.8810810819</v>
      </c>
      <c r="S74" s="57">
        <f t="shared" si="25"/>
        <v>6104869.3621621728</v>
      </c>
      <c r="T74" s="57">
        <f t="shared" si="25"/>
        <v>5623974.0540540591</v>
      </c>
      <c r="U74" s="57">
        <f t="shared" si="25"/>
        <v>4799654.0540540591</v>
      </c>
      <c r="V74" s="57">
        <f t="shared" si="25"/>
        <v>4799654.0540540591</v>
      </c>
      <c r="W74" s="57">
        <f t="shared" si="25"/>
        <v>4799654.0540540516</v>
      </c>
      <c r="X74" s="57">
        <f t="shared" si="25"/>
        <v>3975334.0540540665</v>
      </c>
      <c r="Y74" s="57">
        <f t="shared" si="25"/>
        <v>3975334.0540540516</v>
      </c>
      <c r="Z74" s="57">
        <f t="shared" si="25"/>
        <v>3975334.0540540516</v>
      </c>
      <c r="AA74" s="57">
        <f t="shared" si="25"/>
        <v>3975334.0540540516</v>
      </c>
      <c r="AB74" s="57">
        <f t="shared" si="25"/>
        <v>3151014.0540540665</v>
      </c>
      <c r="AC74" s="57">
        <f t="shared" si="25"/>
        <v>3151014.0540540516</v>
      </c>
      <c r="AD74" s="57">
        <f t="shared" si="25"/>
        <v>3151014.0540540516</v>
      </c>
      <c r="AE74" s="57">
        <f t="shared" si="25"/>
        <v>2326694.0540540814</v>
      </c>
      <c r="AF74" s="57">
        <f t="shared" si="25"/>
        <v>678054.05405405164</v>
      </c>
      <c r="AG74" s="57">
        <f t="shared" si="25"/>
        <v>678054.05405406654</v>
      </c>
      <c r="AH74" s="57">
        <f t="shared" si="25"/>
        <v>678054.05405405164</v>
      </c>
      <c r="AI74" s="57">
        <f t="shared" si="25"/>
        <v>678054.05405406654</v>
      </c>
      <c r="AJ74" s="57">
        <f t="shared" si="25"/>
        <v>678054.05405405164</v>
      </c>
      <c r="AK74" s="57">
        <f t="shared" si="25"/>
        <v>678054.05405405164</v>
      </c>
      <c r="AL74" s="57">
        <f t="shared" si="25"/>
        <v>678054.05405405164</v>
      </c>
      <c r="AM74" s="57">
        <f t="shared" si="25"/>
        <v>678054.05405406654</v>
      </c>
      <c r="AN74" s="57">
        <f t="shared" si="25"/>
        <v>678054.05405405164</v>
      </c>
    </row>
    <row r="75" spans="1:40" s="57" customFormat="1" ht="14.25" customHeight="1" x14ac:dyDescent="0.3">
      <c r="B75" s="57" t="s">
        <v>133</v>
      </c>
      <c r="D75" s="57">
        <f t="shared" ref="D75:AH75" si="26">-$C$20*$C$8/31</f>
        <v>-108387.09677419355</v>
      </c>
      <c r="E75" s="57">
        <f t="shared" si="26"/>
        <v>-108387.09677419355</v>
      </c>
      <c r="F75" s="57">
        <f t="shared" si="26"/>
        <v>-108387.09677419355</v>
      </c>
      <c r="G75" s="57">
        <f t="shared" si="26"/>
        <v>-108387.09677419355</v>
      </c>
      <c r="H75" s="57">
        <f t="shared" si="26"/>
        <v>-108387.09677419355</v>
      </c>
      <c r="I75" s="57">
        <f t="shared" si="26"/>
        <v>-108387.09677419355</v>
      </c>
      <c r="J75" s="57">
        <f t="shared" si="26"/>
        <v>-108387.09677419355</v>
      </c>
      <c r="K75" s="57">
        <f t="shared" si="26"/>
        <v>-108387.09677419355</v>
      </c>
      <c r="L75" s="57">
        <f t="shared" si="26"/>
        <v>-108387.09677419355</v>
      </c>
      <c r="M75" s="57">
        <f t="shared" si="26"/>
        <v>-108387.09677419355</v>
      </c>
      <c r="N75" s="57">
        <f t="shared" si="26"/>
        <v>-108387.09677419355</v>
      </c>
      <c r="O75" s="57">
        <f t="shared" si="26"/>
        <v>-108387.09677419355</v>
      </c>
      <c r="P75" s="57">
        <f t="shared" si="26"/>
        <v>-108387.09677419355</v>
      </c>
      <c r="Q75" s="57">
        <f t="shared" si="26"/>
        <v>-108387.09677419355</v>
      </c>
      <c r="R75" s="57">
        <f t="shared" si="26"/>
        <v>-108387.09677419355</v>
      </c>
      <c r="S75" s="57">
        <f t="shared" si="26"/>
        <v>-108387.09677419355</v>
      </c>
      <c r="T75" s="57">
        <f t="shared" si="26"/>
        <v>-108387.09677419355</v>
      </c>
      <c r="U75" s="57">
        <f t="shared" si="26"/>
        <v>-108387.09677419355</v>
      </c>
      <c r="V75" s="57">
        <f t="shared" si="26"/>
        <v>-108387.09677419355</v>
      </c>
      <c r="W75" s="57">
        <f t="shared" si="26"/>
        <v>-108387.09677419355</v>
      </c>
      <c r="X75" s="57">
        <f t="shared" si="26"/>
        <v>-108387.09677419355</v>
      </c>
      <c r="Y75" s="57">
        <f t="shared" si="26"/>
        <v>-108387.09677419355</v>
      </c>
      <c r="Z75" s="57">
        <f t="shared" si="26"/>
        <v>-108387.09677419355</v>
      </c>
      <c r="AA75" s="57">
        <f t="shared" si="26"/>
        <v>-108387.09677419355</v>
      </c>
      <c r="AB75" s="57">
        <f t="shared" si="26"/>
        <v>-108387.09677419355</v>
      </c>
      <c r="AC75" s="57">
        <f t="shared" si="26"/>
        <v>-108387.09677419355</v>
      </c>
      <c r="AD75" s="57">
        <f t="shared" si="26"/>
        <v>-108387.09677419355</v>
      </c>
      <c r="AE75" s="57">
        <f t="shared" si="26"/>
        <v>-108387.09677419355</v>
      </c>
      <c r="AF75" s="57">
        <f t="shared" si="26"/>
        <v>-108387.09677419355</v>
      </c>
      <c r="AG75" s="57">
        <f t="shared" si="26"/>
        <v>-108387.09677419355</v>
      </c>
      <c r="AH75" s="57">
        <f t="shared" si="26"/>
        <v>-108387.09677419355</v>
      </c>
      <c r="AI75" s="57">
        <v>0</v>
      </c>
      <c r="AJ75" s="57">
        <v>0</v>
      </c>
      <c r="AK75" s="57">
        <v>0</v>
      </c>
      <c r="AL75" s="57">
        <v>0</v>
      </c>
      <c r="AM75" s="57">
        <v>0</v>
      </c>
      <c r="AN75" s="57">
        <v>0</v>
      </c>
    </row>
    <row r="76" spans="1:40" ht="13.5" customHeight="1" x14ac:dyDescent="0.3">
      <c r="B76" s="69" t="s">
        <v>180</v>
      </c>
      <c r="C76" s="69"/>
      <c r="D76" s="57">
        <f t="shared" ref="D76:AN76" si="27">-$C$14*$C$8/37</f>
        <v>-423783.78378378385</v>
      </c>
      <c r="E76" s="57">
        <f t="shared" si="27"/>
        <v>-423783.78378378385</v>
      </c>
      <c r="F76" s="57">
        <f t="shared" si="27"/>
        <v>-423783.78378378385</v>
      </c>
      <c r="G76" s="57">
        <f t="shared" si="27"/>
        <v>-423783.78378378385</v>
      </c>
      <c r="H76" s="57">
        <f t="shared" si="27"/>
        <v>-423783.78378378385</v>
      </c>
      <c r="I76" s="57">
        <f t="shared" si="27"/>
        <v>-423783.78378378385</v>
      </c>
      <c r="J76" s="57">
        <f t="shared" si="27"/>
        <v>-423783.78378378385</v>
      </c>
      <c r="K76" s="57">
        <f t="shared" si="27"/>
        <v>-423783.78378378385</v>
      </c>
      <c r="L76" s="57">
        <f t="shared" si="27"/>
        <v>-423783.78378378385</v>
      </c>
      <c r="M76" s="57">
        <f t="shared" si="27"/>
        <v>-423783.78378378385</v>
      </c>
      <c r="N76" s="57">
        <f t="shared" si="27"/>
        <v>-423783.78378378385</v>
      </c>
      <c r="O76" s="57">
        <f t="shared" si="27"/>
        <v>-423783.78378378385</v>
      </c>
      <c r="P76" s="57">
        <f t="shared" si="27"/>
        <v>-423783.78378378385</v>
      </c>
      <c r="Q76" s="57">
        <f t="shared" si="27"/>
        <v>-423783.78378378385</v>
      </c>
      <c r="R76" s="57">
        <f t="shared" si="27"/>
        <v>-423783.78378378385</v>
      </c>
      <c r="S76" s="57">
        <f t="shared" si="27"/>
        <v>-423783.78378378385</v>
      </c>
      <c r="T76" s="57">
        <f t="shared" si="27"/>
        <v>-423783.78378378385</v>
      </c>
      <c r="U76" s="57">
        <f t="shared" si="27"/>
        <v>-423783.78378378385</v>
      </c>
      <c r="V76" s="57">
        <f t="shared" si="27"/>
        <v>-423783.78378378385</v>
      </c>
      <c r="W76" s="57">
        <f t="shared" si="27"/>
        <v>-423783.78378378385</v>
      </c>
      <c r="X76" s="57">
        <f t="shared" si="27"/>
        <v>-423783.78378378385</v>
      </c>
      <c r="Y76" s="57">
        <f t="shared" si="27"/>
        <v>-423783.78378378385</v>
      </c>
      <c r="Z76" s="57">
        <f t="shared" si="27"/>
        <v>-423783.78378378385</v>
      </c>
      <c r="AA76" s="57">
        <f t="shared" si="27"/>
        <v>-423783.78378378385</v>
      </c>
      <c r="AB76" s="57">
        <f t="shared" si="27"/>
        <v>-423783.78378378385</v>
      </c>
      <c r="AC76" s="57">
        <f t="shared" si="27"/>
        <v>-423783.78378378385</v>
      </c>
      <c r="AD76" s="57">
        <f t="shared" si="27"/>
        <v>-423783.78378378385</v>
      </c>
      <c r="AE76" s="57">
        <f t="shared" si="27"/>
        <v>-423783.78378378385</v>
      </c>
      <c r="AF76" s="57">
        <f t="shared" si="27"/>
        <v>-423783.78378378385</v>
      </c>
      <c r="AG76" s="57">
        <f t="shared" si="27"/>
        <v>-423783.78378378385</v>
      </c>
      <c r="AH76" s="57">
        <f t="shared" si="27"/>
        <v>-423783.78378378385</v>
      </c>
      <c r="AI76" s="57">
        <f t="shared" si="27"/>
        <v>-423783.78378378385</v>
      </c>
      <c r="AJ76" s="57">
        <f t="shared" si="27"/>
        <v>-423783.78378378385</v>
      </c>
      <c r="AK76" s="57">
        <f t="shared" si="27"/>
        <v>-423783.78378378385</v>
      </c>
      <c r="AL76" s="57">
        <f t="shared" si="27"/>
        <v>-423783.78378378385</v>
      </c>
      <c r="AM76" s="57">
        <f t="shared" si="27"/>
        <v>-423783.78378378385</v>
      </c>
      <c r="AN76" s="57">
        <f t="shared" si="27"/>
        <v>-423783.78378378385</v>
      </c>
    </row>
    <row r="77" spans="1:40" ht="13.5" hidden="1" customHeight="1" x14ac:dyDescent="0.3">
      <c r="B77" s="69" t="s">
        <v>142</v>
      </c>
      <c r="C77" s="69"/>
      <c r="D77" s="57">
        <f t="shared" ref="D77:AN77" si="28">-D39*$C$8</f>
        <v>0</v>
      </c>
      <c r="E77" s="57">
        <f t="shared" si="28"/>
        <v>0</v>
      </c>
      <c r="F77" s="57">
        <f t="shared" si="28"/>
        <v>0</v>
      </c>
      <c r="G77" s="57">
        <f t="shared" si="28"/>
        <v>0</v>
      </c>
      <c r="H77" s="57">
        <f t="shared" si="28"/>
        <v>0</v>
      </c>
      <c r="I77" s="57">
        <f t="shared" si="28"/>
        <v>0</v>
      </c>
      <c r="J77" s="57">
        <f t="shared" si="28"/>
        <v>0</v>
      </c>
      <c r="K77" s="57">
        <f t="shared" si="28"/>
        <v>0</v>
      </c>
      <c r="L77" s="57">
        <f t="shared" si="28"/>
        <v>0</v>
      </c>
      <c r="M77" s="57">
        <f t="shared" si="28"/>
        <v>0</v>
      </c>
      <c r="N77" s="57">
        <f t="shared" si="28"/>
        <v>0</v>
      </c>
      <c r="O77" s="57">
        <f t="shared" si="28"/>
        <v>0</v>
      </c>
      <c r="P77" s="28">
        <f t="shared" si="28"/>
        <v>0</v>
      </c>
      <c r="Q77" s="25">
        <f t="shared" si="28"/>
        <v>0</v>
      </c>
      <c r="R77" s="25">
        <f t="shared" si="28"/>
        <v>0</v>
      </c>
      <c r="S77" s="25">
        <f t="shared" si="28"/>
        <v>0</v>
      </c>
      <c r="T77" s="25">
        <f t="shared" si="28"/>
        <v>0</v>
      </c>
      <c r="U77" s="25">
        <f t="shared" si="28"/>
        <v>0</v>
      </c>
      <c r="V77" s="25">
        <f t="shared" si="28"/>
        <v>0</v>
      </c>
      <c r="W77" s="25">
        <f t="shared" si="28"/>
        <v>0</v>
      </c>
      <c r="X77" s="25">
        <f t="shared" si="28"/>
        <v>0</v>
      </c>
      <c r="Y77" s="25">
        <f t="shared" si="28"/>
        <v>0</v>
      </c>
      <c r="Z77" s="25">
        <f t="shared" si="28"/>
        <v>0</v>
      </c>
      <c r="AA77" s="25">
        <f t="shared" si="28"/>
        <v>0</v>
      </c>
      <c r="AB77" s="25">
        <f t="shared" si="28"/>
        <v>0</v>
      </c>
      <c r="AC77" s="25">
        <f t="shared" si="28"/>
        <v>0</v>
      </c>
      <c r="AD77" s="25">
        <f t="shared" si="28"/>
        <v>0</v>
      </c>
      <c r="AE77" s="25">
        <f t="shared" si="28"/>
        <v>0</v>
      </c>
      <c r="AF77" s="25">
        <f t="shared" si="28"/>
        <v>0</v>
      </c>
      <c r="AG77" s="25">
        <f t="shared" si="28"/>
        <v>0</v>
      </c>
      <c r="AH77" s="25">
        <f t="shared" si="28"/>
        <v>0</v>
      </c>
      <c r="AI77" s="25">
        <f t="shared" si="28"/>
        <v>0</v>
      </c>
      <c r="AJ77" s="25">
        <f t="shared" si="28"/>
        <v>0</v>
      </c>
      <c r="AK77" s="25">
        <f t="shared" si="28"/>
        <v>0</v>
      </c>
      <c r="AL77" s="25">
        <f t="shared" si="28"/>
        <v>0</v>
      </c>
      <c r="AM77" s="25">
        <f t="shared" si="28"/>
        <v>0</v>
      </c>
      <c r="AN77" s="25">
        <f t="shared" si="28"/>
        <v>0</v>
      </c>
    </row>
    <row r="78" spans="1:40" ht="13.5" customHeight="1" x14ac:dyDescent="0.3">
      <c r="B78" s="69" t="s">
        <v>143</v>
      </c>
      <c r="C78" s="69"/>
      <c r="D78" s="57">
        <f t="shared" ref="D78:AN78" si="29">-D37*$C$16*$C$9</f>
        <v>0</v>
      </c>
      <c r="E78" s="57">
        <f t="shared" si="29"/>
        <v>0</v>
      </c>
      <c r="F78" s="57">
        <f t="shared" si="29"/>
        <v>0</v>
      </c>
      <c r="G78" s="57">
        <f t="shared" si="29"/>
        <v>0</v>
      </c>
      <c r="H78" s="57">
        <f t="shared" si="29"/>
        <v>-1030400</v>
      </c>
      <c r="I78" s="57">
        <f t="shared" si="29"/>
        <v>-1030400</v>
      </c>
      <c r="J78" s="57">
        <f t="shared" si="29"/>
        <v>-1545600</v>
      </c>
      <c r="K78" s="57">
        <f t="shared" si="29"/>
        <v>-1545600</v>
      </c>
      <c r="L78" s="57">
        <f t="shared" si="29"/>
        <v>-2060800</v>
      </c>
      <c r="M78" s="57">
        <f t="shared" si="29"/>
        <v>-2060800</v>
      </c>
      <c r="N78" s="57">
        <f t="shared" si="29"/>
        <v>-2576000</v>
      </c>
      <c r="O78" s="57">
        <f t="shared" si="29"/>
        <v>-2576000</v>
      </c>
      <c r="P78" s="57">
        <f t="shared" si="29"/>
        <v>-3091200</v>
      </c>
      <c r="Q78" s="57">
        <f t="shared" si="29"/>
        <v>-3091200</v>
      </c>
      <c r="R78" s="57">
        <f t="shared" si="29"/>
        <v>-3091200</v>
      </c>
      <c r="S78" s="57">
        <f t="shared" si="29"/>
        <v>-3091200</v>
      </c>
      <c r="T78" s="57">
        <f t="shared" si="29"/>
        <v>-3091200</v>
      </c>
      <c r="U78" s="57">
        <f t="shared" si="29"/>
        <v>-2576000</v>
      </c>
      <c r="V78" s="57">
        <f t="shared" si="29"/>
        <v>-2576000</v>
      </c>
      <c r="W78" s="57">
        <f t="shared" si="29"/>
        <v>-2576000</v>
      </c>
      <c r="X78" s="57">
        <f t="shared" si="29"/>
        <v>-2060800</v>
      </c>
      <c r="Y78" s="57">
        <f t="shared" si="29"/>
        <v>-2060800</v>
      </c>
      <c r="Z78" s="57">
        <f t="shared" si="29"/>
        <v>-2060800</v>
      </c>
      <c r="AA78" s="57">
        <f t="shared" si="29"/>
        <v>-2060800</v>
      </c>
      <c r="AB78" s="57">
        <f t="shared" si="29"/>
        <v>-1545600</v>
      </c>
      <c r="AC78" s="57">
        <f t="shared" si="29"/>
        <v>-1545600</v>
      </c>
      <c r="AD78" s="57">
        <f t="shared" si="29"/>
        <v>-1545600</v>
      </c>
      <c r="AE78" s="57">
        <f t="shared" si="29"/>
        <v>-1030400</v>
      </c>
      <c r="AF78" s="57">
        <f t="shared" si="29"/>
        <v>0</v>
      </c>
      <c r="AG78" s="57">
        <f t="shared" si="29"/>
        <v>0</v>
      </c>
      <c r="AH78" s="57">
        <f t="shared" si="29"/>
        <v>0</v>
      </c>
      <c r="AI78" s="57">
        <f t="shared" si="29"/>
        <v>0</v>
      </c>
      <c r="AJ78" s="57">
        <f t="shared" si="29"/>
        <v>0</v>
      </c>
      <c r="AK78" s="57">
        <f t="shared" si="29"/>
        <v>0</v>
      </c>
      <c r="AL78" s="57">
        <f t="shared" si="29"/>
        <v>0</v>
      </c>
      <c r="AM78" s="57">
        <f t="shared" si="29"/>
        <v>0</v>
      </c>
      <c r="AN78" s="57">
        <f t="shared" si="29"/>
        <v>0</v>
      </c>
    </row>
    <row r="79" spans="1:40" ht="13.5" hidden="1" customHeight="1" x14ac:dyDescent="0.3">
      <c r="B79" s="69" t="s">
        <v>144</v>
      </c>
      <c r="C79" s="69"/>
      <c r="D79" s="57">
        <f t="shared" ref="D79:AN79" si="30">-D37*$C$8*$C$17</f>
        <v>0</v>
      </c>
      <c r="E79" s="57">
        <f t="shared" si="30"/>
        <v>0</v>
      </c>
      <c r="F79" s="57">
        <f t="shared" si="30"/>
        <v>0</v>
      </c>
      <c r="G79" s="57">
        <f t="shared" si="30"/>
        <v>0</v>
      </c>
      <c r="H79" s="57">
        <f t="shared" si="30"/>
        <v>0</v>
      </c>
      <c r="I79" s="57">
        <f t="shared" si="30"/>
        <v>0</v>
      </c>
      <c r="J79" s="57">
        <f t="shared" si="30"/>
        <v>0</v>
      </c>
      <c r="K79" s="57">
        <f t="shared" si="30"/>
        <v>0</v>
      </c>
      <c r="L79" s="57">
        <f t="shared" si="30"/>
        <v>0</v>
      </c>
      <c r="M79" s="57">
        <f t="shared" si="30"/>
        <v>0</v>
      </c>
      <c r="N79" s="57">
        <f t="shared" si="30"/>
        <v>0</v>
      </c>
      <c r="O79" s="57">
        <f t="shared" si="30"/>
        <v>0</v>
      </c>
      <c r="P79" s="25">
        <f t="shared" si="30"/>
        <v>0</v>
      </c>
      <c r="Q79" s="25">
        <f t="shared" si="30"/>
        <v>0</v>
      </c>
      <c r="R79" s="25">
        <f t="shared" si="30"/>
        <v>0</v>
      </c>
      <c r="S79" s="25">
        <f t="shared" si="30"/>
        <v>0</v>
      </c>
      <c r="T79" s="25">
        <f t="shared" si="30"/>
        <v>0</v>
      </c>
      <c r="U79" s="25">
        <f t="shared" si="30"/>
        <v>0</v>
      </c>
      <c r="V79" s="25">
        <f t="shared" si="30"/>
        <v>0</v>
      </c>
      <c r="W79" s="25">
        <f t="shared" si="30"/>
        <v>0</v>
      </c>
      <c r="X79" s="25">
        <f t="shared" si="30"/>
        <v>0</v>
      </c>
      <c r="Y79" s="25">
        <f t="shared" si="30"/>
        <v>0</v>
      </c>
      <c r="Z79" s="25">
        <f t="shared" si="30"/>
        <v>0</v>
      </c>
      <c r="AA79" s="25">
        <f t="shared" si="30"/>
        <v>0</v>
      </c>
      <c r="AB79" s="25">
        <f t="shared" si="30"/>
        <v>0</v>
      </c>
      <c r="AC79" s="25">
        <f t="shared" si="30"/>
        <v>0</v>
      </c>
      <c r="AD79" s="25">
        <f t="shared" si="30"/>
        <v>0</v>
      </c>
      <c r="AE79" s="25">
        <f t="shared" si="30"/>
        <v>0</v>
      </c>
      <c r="AF79" s="25">
        <f t="shared" si="30"/>
        <v>0</v>
      </c>
      <c r="AG79" s="25">
        <f t="shared" si="30"/>
        <v>0</v>
      </c>
      <c r="AH79" s="25">
        <f t="shared" si="30"/>
        <v>0</v>
      </c>
      <c r="AI79" s="25">
        <f t="shared" si="30"/>
        <v>0</v>
      </c>
      <c r="AJ79" s="25">
        <f t="shared" si="30"/>
        <v>0</v>
      </c>
      <c r="AK79" s="25">
        <f t="shared" si="30"/>
        <v>0</v>
      </c>
      <c r="AL79" s="25">
        <f t="shared" si="30"/>
        <v>0</v>
      </c>
      <c r="AM79" s="25">
        <f t="shared" si="30"/>
        <v>0</v>
      </c>
      <c r="AN79" s="25">
        <f t="shared" si="30"/>
        <v>0</v>
      </c>
    </row>
    <row r="80" spans="1:40" ht="13.5" hidden="1" customHeight="1" x14ac:dyDescent="0.3">
      <c r="B80" s="69" t="s">
        <v>134</v>
      </c>
      <c r="C80" s="69"/>
      <c r="D80" s="57">
        <f>-$C$23*$C$8*0.075</f>
        <v>0</v>
      </c>
      <c r="E80" s="57">
        <f>-$C$23*$C$8*0.075</f>
        <v>0</v>
      </c>
      <c r="F80" s="57">
        <f>-$C$23*$C$8*0.075</f>
        <v>0</v>
      </c>
      <c r="G80" s="57">
        <f>-$C$23*$C$8*0.075</f>
        <v>0</v>
      </c>
      <c r="H80" s="57">
        <f t="shared" ref="H80:Y80" si="31">-$C$23*$C$8*0.0166666666666667</f>
        <v>0</v>
      </c>
      <c r="I80" s="57">
        <f t="shared" si="31"/>
        <v>0</v>
      </c>
      <c r="J80" s="57">
        <f t="shared" si="31"/>
        <v>0</v>
      </c>
      <c r="K80" s="57">
        <f t="shared" si="31"/>
        <v>0</v>
      </c>
      <c r="L80" s="57">
        <f t="shared" si="31"/>
        <v>0</v>
      </c>
      <c r="M80" s="57">
        <f t="shared" si="31"/>
        <v>0</v>
      </c>
      <c r="N80" s="57">
        <f t="shared" si="31"/>
        <v>0</v>
      </c>
      <c r="O80" s="57">
        <f t="shared" si="31"/>
        <v>0</v>
      </c>
      <c r="P80" s="57">
        <f t="shared" si="31"/>
        <v>0</v>
      </c>
      <c r="Q80" s="57">
        <f t="shared" si="31"/>
        <v>0</v>
      </c>
      <c r="R80" s="57">
        <f t="shared" si="31"/>
        <v>0</v>
      </c>
      <c r="S80" s="57">
        <f t="shared" si="31"/>
        <v>0</v>
      </c>
      <c r="T80" s="57">
        <f t="shared" si="31"/>
        <v>0</v>
      </c>
      <c r="U80" s="57">
        <f t="shared" si="31"/>
        <v>0</v>
      </c>
      <c r="V80" s="57">
        <f t="shared" si="31"/>
        <v>0</v>
      </c>
      <c r="W80" s="57">
        <f t="shared" si="31"/>
        <v>0</v>
      </c>
      <c r="X80" s="57">
        <f t="shared" si="31"/>
        <v>0</v>
      </c>
      <c r="Y80" s="57">
        <f t="shared" si="31"/>
        <v>0</v>
      </c>
      <c r="Z80" s="57">
        <f t="shared" ref="Z80:AE80" si="32">-$C$23*$C$8*0.0666666666666667</f>
        <v>0</v>
      </c>
      <c r="AA80" s="57">
        <f t="shared" si="32"/>
        <v>0</v>
      </c>
      <c r="AB80" s="57">
        <f t="shared" si="32"/>
        <v>0</v>
      </c>
      <c r="AC80" s="57">
        <f t="shared" si="32"/>
        <v>0</v>
      </c>
      <c r="AD80" s="57">
        <f t="shared" si="32"/>
        <v>0</v>
      </c>
      <c r="AE80" s="57">
        <f t="shared" si="32"/>
        <v>0</v>
      </c>
      <c r="AF80" s="57">
        <v>0</v>
      </c>
      <c r="AG80" s="57">
        <v>0</v>
      </c>
      <c r="AH80" s="57">
        <v>0</v>
      </c>
      <c r="AI80" s="57">
        <v>0</v>
      </c>
      <c r="AJ80" s="57">
        <v>0</v>
      </c>
      <c r="AK80" s="57">
        <v>0</v>
      </c>
      <c r="AL80" s="57">
        <v>0</v>
      </c>
      <c r="AM80" s="57">
        <v>0</v>
      </c>
      <c r="AN80" s="57">
        <v>0</v>
      </c>
    </row>
    <row r="81" spans="1:40" ht="13.5" customHeight="1" x14ac:dyDescent="0.3">
      <c r="B81" s="69" t="s">
        <v>135</v>
      </c>
      <c r="C81" s="69"/>
      <c r="D81" s="57">
        <f>-$C$24*$C$8*0.175</f>
        <v>-196000</v>
      </c>
      <c r="E81" s="57">
        <f>-$C$24*$C$8*0.175</f>
        <v>-196000</v>
      </c>
      <c r="F81" s="57">
        <f>-$C$24*$C$8*0.175</f>
        <v>-196000</v>
      </c>
      <c r="G81" s="57">
        <f>-$C$24*$C$8*0.175</f>
        <v>-196000</v>
      </c>
      <c r="H81" s="57">
        <f t="shared" ref="H81:AE81" si="33">-$C$24*$C$8*0.0125</f>
        <v>-14000</v>
      </c>
      <c r="I81" s="57">
        <f t="shared" si="33"/>
        <v>-14000</v>
      </c>
      <c r="J81" s="57">
        <f t="shared" si="33"/>
        <v>-14000</v>
      </c>
      <c r="K81" s="57">
        <f t="shared" si="33"/>
        <v>-14000</v>
      </c>
      <c r="L81" s="57">
        <f t="shared" si="33"/>
        <v>-14000</v>
      </c>
      <c r="M81" s="57">
        <f t="shared" si="33"/>
        <v>-14000</v>
      </c>
      <c r="N81" s="57">
        <f t="shared" si="33"/>
        <v>-14000</v>
      </c>
      <c r="O81" s="57">
        <f t="shared" si="33"/>
        <v>-14000</v>
      </c>
      <c r="P81" s="57">
        <f t="shared" si="33"/>
        <v>-14000</v>
      </c>
      <c r="Q81" s="57">
        <f t="shared" si="33"/>
        <v>-14000</v>
      </c>
      <c r="R81" s="57">
        <f t="shared" si="33"/>
        <v>-14000</v>
      </c>
      <c r="S81" s="57">
        <f t="shared" si="33"/>
        <v>-14000</v>
      </c>
      <c r="T81" s="57">
        <f t="shared" si="33"/>
        <v>-14000</v>
      </c>
      <c r="U81" s="57">
        <f t="shared" si="33"/>
        <v>-14000</v>
      </c>
      <c r="V81" s="57">
        <f t="shared" si="33"/>
        <v>-14000</v>
      </c>
      <c r="W81" s="57">
        <f t="shared" si="33"/>
        <v>-14000</v>
      </c>
      <c r="X81" s="57">
        <f t="shared" si="33"/>
        <v>-14000</v>
      </c>
      <c r="Y81" s="57">
        <f t="shared" si="33"/>
        <v>-14000</v>
      </c>
      <c r="Z81" s="57">
        <f t="shared" si="33"/>
        <v>-14000</v>
      </c>
      <c r="AA81" s="57">
        <f t="shared" si="33"/>
        <v>-14000</v>
      </c>
      <c r="AB81" s="57">
        <f t="shared" si="33"/>
        <v>-14000</v>
      </c>
      <c r="AC81" s="57">
        <f t="shared" si="33"/>
        <v>-14000</v>
      </c>
      <c r="AD81" s="57">
        <f t="shared" si="33"/>
        <v>-14000</v>
      </c>
      <c r="AE81" s="57">
        <f t="shared" si="33"/>
        <v>-14000</v>
      </c>
      <c r="AF81" s="57">
        <v>0</v>
      </c>
      <c r="AG81" s="57">
        <v>0</v>
      </c>
      <c r="AH81" s="57">
        <v>0</v>
      </c>
      <c r="AI81" s="57">
        <v>0</v>
      </c>
      <c r="AJ81" s="57">
        <v>0</v>
      </c>
      <c r="AK81" s="57">
        <v>0</v>
      </c>
      <c r="AL81" s="57">
        <v>0</v>
      </c>
      <c r="AM81" s="57">
        <v>0</v>
      </c>
      <c r="AN81" s="57">
        <v>0</v>
      </c>
    </row>
    <row r="82" spans="1:40" s="57" customFormat="1" ht="14.25" hidden="1" customHeight="1" x14ac:dyDescent="0.3">
      <c r="B82" s="57" t="s">
        <v>145</v>
      </c>
      <c r="D82" s="57">
        <f t="shared" ref="D82:AN82" si="34">-D37*$C$8*$C$21</f>
        <v>0</v>
      </c>
      <c r="E82" s="57">
        <f t="shared" si="34"/>
        <v>0</v>
      </c>
      <c r="F82" s="57">
        <f t="shared" si="34"/>
        <v>0</v>
      </c>
      <c r="G82" s="57">
        <f t="shared" si="34"/>
        <v>0</v>
      </c>
      <c r="H82" s="57">
        <f t="shared" si="34"/>
        <v>0</v>
      </c>
      <c r="I82" s="57">
        <f t="shared" si="34"/>
        <v>0</v>
      </c>
      <c r="J82" s="57">
        <f t="shared" si="34"/>
        <v>0</v>
      </c>
      <c r="K82" s="57">
        <f t="shared" si="34"/>
        <v>0</v>
      </c>
      <c r="L82" s="57">
        <f t="shared" si="34"/>
        <v>0</v>
      </c>
      <c r="M82" s="57">
        <f t="shared" si="34"/>
        <v>0</v>
      </c>
      <c r="N82" s="57">
        <f t="shared" si="34"/>
        <v>0</v>
      </c>
      <c r="O82" s="57">
        <f t="shared" si="34"/>
        <v>0</v>
      </c>
      <c r="P82" s="57">
        <f t="shared" si="34"/>
        <v>0</v>
      </c>
      <c r="Q82" s="57">
        <f t="shared" si="34"/>
        <v>0</v>
      </c>
      <c r="R82" s="57">
        <f t="shared" si="34"/>
        <v>0</v>
      </c>
      <c r="S82" s="57">
        <f t="shared" si="34"/>
        <v>0</v>
      </c>
      <c r="T82" s="57">
        <f t="shared" si="34"/>
        <v>0</v>
      </c>
      <c r="U82" s="57">
        <f t="shared" si="34"/>
        <v>0</v>
      </c>
      <c r="V82" s="57">
        <f t="shared" si="34"/>
        <v>0</v>
      </c>
      <c r="W82" s="57">
        <f t="shared" si="34"/>
        <v>0</v>
      </c>
      <c r="X82" s="57">
        <f t="shared" si="34"/>
        <v>0</v>
      </c>
      <c r="Y82" s="57">
        <f t="shared" si="34"/>
        <v>0</v>
      </c>
      <c r="Z82" s="57">
        <f t="shared" si="34"/>
        <v>0</v>
      </c>
      <c r="AA82" s="57">
        <f t="shared" si="34"/>
        <v>0</v>
      </c>
      <c r="AB82" s="57">
        <f t="shared" si="34"/>
        <v>0</v>
      </c>
      <c r="AC82" s="57">
        <f t="shared" si="34"/>
        <v>0</v>
      </c>
      <c r="AD82" s="57">
        <f t="shared" si="34"/>
        <v>0</v>
      </c>
      <c r="AE82" s="57">
        <f t="shared" si="34"/>
        <v>0</v>
      </c>
      <c r="AF82" s="57">
        <f t="shared" si="34"/>
        <v>0</v>
      </c>
      <c r="AG82" s="57">
        <f t="shared" si="34"/>
        <v>0</v>
      </c>
      <c r="AH82" s="57">
        <f t="shared" si="34"/>
        <v>0</v>
      </c>
      <c r="AI82" s="57">
        <f t="shared" si="34"/>
        <v>0</v>
      </c>
      <c r="AJ82" s="57">
        <f t="shared" si="34"/>
        <v>0</v>
      </c>
      <c r="AK82" s="57">
        <f t="shared" si="34"/>
        <v>0</v>
      </c>
      <c r="AL82" s="57">
        <f t="shared" si="34"/>
        <v>0</v>
      </c>
      <c r="AM82" s="57">
        <f t="shared" si="34"/>
        <v>0</v>
      </c>
      <c r="AN82" s="57">
        <f t="shared" si="34"/>
        <v>0</v>
      </c>
    </row>
    <row r="83" spans="1:40" ht="13.5" customHeight="1" x14ac:dyDescent="0.3">
      <c r="B83" s="70" t="s">
        <v>146</v>
      </c>
      <c r="C83" s="70"/>
      <c r="D83" s="71">
        <f t="shared" ref="D83:AN83" si="35">-D47*$C$22</f>
        <v>0</v>
      </c>
      <c r="E83" s="71">
        <f t="shared" si="35"/>
        <v>-10848.864864864867</v>
      </c>
      <c r="F83" s="71">
        <f t="shared" si="35"/>
        <v>-18443.070270270262</v>
      </c>
      <c r="G83" s="71">
        <f t="shared" si="35"/>
        <v>-22782.616216216229</v>
      </c>
      <c r="H83" s="71">
        <f t="shared" si="35"/>
        <v>-62812.602810810778</v>
      </c>
      <c r="I83" s="71">
        <f t="shared" si="35"/>
        <v>-76618.558270270223</v>
      </c>
      <c r="J83" s="71">
        <f t="shared" si="35"/>
        <v>-111372.89686486486</v>
      </c>
      <c r="K83" s="71">
        <f t="shared" si="35"/>
        <v>-123551.52259459459</v>
      </c>
      <c r="L83" s="71">
        <f t="shared" si="35"/>
        <v>-159316.3554594595</v>
      </c>
      <c r="M83" s="71">
        <f t="shared" si="35"/>
        <v>-166570.37145945959</v>
      </c>
      <c r="N83" s="71">
        <f t="shared" si="35"/>
        <v>-209296.68843243242</v>
      </c>
      <c r="O83" s="71">
        <f t="shared" si="35"/>
        <v>-212168.53794594586</v>
      </c>
      <c r="P83" s="71">
        <f t="shared" si="35"/>
        <v>-240934.69059459463</v>
      </c>
      <c r="Q83" s="71">
        <f t="shared" si="35"/>
        <v>-249933.04908108056</v>
      </c>
      <c r="R83" s="71">
        <f t="shared" si="35"/>
        <v>-239695.59524324327</v>
      </c>
      <c r="S83" s="71">
        <f t="shared" si="35"/>
        <v>-244194.77448648692</v>
      </c>
      <c r="T83" s="71">
        <f t="shared" si="35"/>
        <v>-224958.96216216238</v>
      </c>
      <c r="U83" s="71">
        <f t="shared" si="35"/>
        <v>-191986.16216216236</v>
      </c>
      <c r="V83" s="71">
        <f t="shared" si="35"/>
        <v>-191986.16216216236</v>
      </c>
      <c r="W83" s="71">
        <f t="shared" si="35"/>
        <v>-191986.16216216207</v>
      </c>
      <c r="X83" s="71">
        <f t="shared" si="35"/>
        <v>-159013.36216216267</v>
      </c>
      <c r="Y83" s="71">
        <f t="shared" si="35"/>
        <v>-159013.36216216206</v>
      </c>
      <c r="Z83" s="71">
        <f t="shared" si="35"/>
        <v>-159013.36216216206</v>
      </c>
      <c r="AA83" s="71">
        <f t="shared" si="35"/>
        <v>-159013.36216216206</v>
      </c>
      <c r="AB83" s="71">
        <f t="shared" si="35"/>
        <v>-126040.56216216266</v>
      </c>
      <c r="AC83" s="71">
        <f t="shared" si="35"/>
        <v>-126040.56216216207</v>
      </c>
      <c r="AD83" s="71">
        <f t="shared" si="35"/>
        <v>-126040.56216216207</v>
      </c>
      <c r="AE83" s="71">
        <f t="shared" si="35"/>
        <v>-93067.762162163257</v>
      </c>
      <c r="AF83" s="71">
        <f t="shared" si="35"/>
        <v>-27122.162162162065</v>
      </c>
      <c r="AG83" s="71">
        <f t="shared" si="35"/>
        <v>-27122.162162162662</v>
      </c>
      <c r="AH83" s="71">
        <f t="shared" si="35"/>
        <v>-27122.162162162065</v>
      </c>
      <c r="AI83" s="71">
        <f t="shared" si="35"/>
        <v>-27122.162162162662</v>
      </c>
      <c r="AJ83" s="71">
        <f t="shared" si="35"/>
        <v>-27122.162162162065</v>
      </c>
      <c r="AK83" s="71">
        <f t="shared" si="35"/>
        <v>-27122.162162162065</v>
      </c>
      <c r="AL83" s="71">
        <f t="shared" si="35"/>
        <v>-27122.162162162065</v>
      </c>
      <c r="AM83" s="71">
        <f t="shared" si="35"/>
        <v>-27122.162162162662</v>
      </c>
      <c r="AN83" s="71">
        <f t="shared" si="35"/>
        <v>-27122.162162162065</v>
      </c>
    </row>
    <row r="84" spans="1:40" ht="13.5" customHeight="1" x14ac:dyDescent="0.3">
      <c r="B84" s="69"/>
      <c r="C84" s="69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</row>
    <row r="85" spans="1:40" ht="13.5" customHeight="1" x14ac:dyDescent="0.3">
      <c r="B85" s="72"/>
      <c r="C85" s="72"/>
      <c r="D85" s="73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</row>
    <row r="86" spans="1:40" s="74" customFormat="1" ht="13.5" customHeight="1" x14ac:dyDescent="0.3">
      <c r="B86" s="74" t="s">
        <v>147</v>
      </c>
      <c r="D86" s="74">
        <f t="shared" ref="D86:AN86" si="36">D75+D74+D76+D77+D78+D79+D80+D81+D82+D83-D71</f>
        <v>-728170.88055797736</v>
      </c>
      <c r="E86" s="74">
        <f t="shared" si="36"/>
        <v>-478646.98866608541</v>
      </c>
      <c r="F86" s="74">
        <f t="shared" si="36"/>
        <v>-303980.26434176142</v>
      </c>
      <c r="G86" s="74">
        <f t="shared" si="36"/>
        <v>-204170.70758500422</v>
      </c>
      <c r="H86" s="74">
        <f t="shared" si="36"/>
        <v>-131881.01590932952</v>
      </c>
      <c r="I86" s="74">
        <f t="shared" si="36"/>
        <v>185655.95965823787</v>
      </c>
      <c r="J86" s="74">
        <f t="shared" si="36"/>
        <v>469805.74733391474</v>
      </c>
      <c r="K86" s="74">
        <f t="shared" si="36"/>
        <v>749914.13911769819</v>
      </c>
      <c r="L86" s="74">
        <f t="shared" si="36"/>
        <v>1057305.2950095912</v>
      </c>
      <c r="M86" s="74">
        <f t="shared" si="36"/>
        <v>1224147.6630095933</v>
      </c>
      <c r="N86" s="74">
        <f t="shared" si="36"/>
        <v>1691652.9533879678</v>
      </c>
      <c r="O86" s="74">
        <f t="shared" si="36"/>
        <v>1757705.4921987774</v>
      </c>
      <c r="P86" s="74">
        <f t="shared" si="36"/>
        <v>1904127.0031176989</v>
      </c>
      <c r="Q86" s="74">
        <f t="shared" si="36"/>
        <v>2111089.2483068751</v>
      </c>
      <c r="R86" s="74">
        <f t="shared" si="36"/>
        <v>1875627.8100366176</v>
      </c>
      <c r="S86" s="74">
        <f t="shared" si="36"/>
        <v>1979108.9326312216</v>
      </c>
      <c r="T86" s="74">
        <f t="shared" si="36"/>
        <v>1536685.2491717567</v>
      </c>
      <c r="U86" s="74">
        <f t="shared" si="36"/>
        <v>1293510.8491717568</v>
      </c>
      <c r="V86" s="74">
        <f t="shared" si="36"/>
        <v>1293510.8491717568</v>
      </c>
      <c r="W86" s="74">
        <f t="shared" si="36"/>
        <v>1293510.8491717498</v>
      </c>
      <c r="X86" s="74">
        <f t="shared" si="36"/>
        <v>1050336.4491717643</v>
      </c>
      <c r="Y86" s="74">
        <f t="shared" si="36"/>
        <v>1050336.4491717503</v>
      </c>
      <c r="Z86" s="74">
        <f t="shared" si="36"/>
        <v>1050336.4491717503</v>
      </c>
      <c r="AA86" s="74">
        <f t="shared" si="36"/>
        <v>1050336.4491717503</v>
      </c>
      <c r="AB86" s="74">
        <f t="shared" si="36"/>
        <v>807162.04917176417</v>
      </c>
      <c r="AC86" s="74">
        <f t="shared" si="36"/>
        <v>807162.04917175043</v>
      </c>
      <c r="AD86" s="74">
        <f t="shared" si="36"/>
        <v>807162.04917175043</v>
      </c>
      <c r="AE86" s="74">
        <f t="shared" si="36"/>
        <v>563987.64917177754</v>
      </c>
      <c r="AF86" s="74">
        <f t="shared" si="36"/>
        <v>91638.849171750073</v>
      </c>
      <c r="AG86" s="74">
        <f t="shared" si="36"/>
        <v>91638.84917176381</v>
      </c>
      <c r="AH86" s="74">
        <f t="shared" si="36"/>
        <v>91638.849171750073</v>
      </c>
      <c r="AI86" s="74">
        <f t="shared" si="36"/>
        <v>200025.94594595738</v>
      </c>
      <c r="AJ86" s="74">
        <f t="shared" si="36"/>
        <v>200025.94594594365</v>
      </c>
      <c r="AK86" s="74">
        <f t="shared" si="36"/>
        <v>200025.94594594365</v>
      </c>
      <c r="AL86" s="74">
        <f t="shared" si="36"/>
        <v>200025.94594594365</v>
      </c>
      <c r="AM86" s="74">
        <f t="shared" si="36"/>
        <v>200025.94594595738</v>
      </c>
      <c r="AN86" s="74">
        <f t="shared" si="36"/>
        <v>200025.94594594365</v>
      </c>
    </row>
    <row r="87" spans="1:40" s="74" customFormat="1" ht="13.5" customHeight="1" x14ac:dyDescent="0.3">
      <c r="B87" s="74" t="s">
        <v>148</v>
      </c>
      <c r="D87" s="74">
        <f>D86</f>
        <v>-728170.88055797736</v>
      </c>
      <c r="E87" s="74">
        <f t="shared" ref="E87:AN87" si="37">D87+E86</f>
        <v>-1206817.8692240627</v>
      </c>
      <c r="F87" s="74">
        <f t="shared" si="37"/>
        <v>-1510798.133565824</v>
      </c>
      <c r="G87" s="74">
        <f t="shared" si="37"/>
        <v>-1714968.8411508282</v>
      </c>
      <c r="H87" s="74">
        <f t="shared" si="37"/>
        <v>-1846849.8570601577</v>
      </c>
      <c r="I87" s="74">
        <f t="shared" si="37"/>
        <v>-1661193.8974019198</v>
      </c>
      <c r="J87" s="74">
        <f t="shared" si="37"/>
        <v>-1191388.1500680051</v>
      </c>
      <c r="K87" s="74">
        <f t="shared" si="37"/>
        <v>-441474.0109503069</v>
      </c>
      <c r="L87" s="74">
        <f t="shared" si="37"/>
        <v>615831.28405928425</v>
      </c>
      <c r="M87" s="74">
        <f t="shared" si="37"/>
        <v>1839978.9470688775</v>
      </c>
      <c r="N87" s="74">
        <f t="shared" si="37"/>
        <v>3531631.9004568453</v>
      </c>
      <c r="O87" s="74">
        <f t="shared" si="37"/>
        <v>5289337.3926556222</v>
      </c>
      <c r="P87" s="74">
        <f t="shared" si="37"/>
        <v>7193464.3957733214</v>
      </c>
      <c r="Q87" s="74">
        <f t="shared" si="37"/>
        <v>9304553.6440801956</v>
      </c>
      <c r="R87" s="74">
        <f t="shared" si="37"/>
        <v>11180181.454116814</v>
      </c>
      <c r="S87" s="74">
        <f t="shared" si="37"/>
        <v>13159290.386748035</v>
      </c>
      <c r="T87" s="74">
        <f t="shared" si="37"/>
        <v>14695975.635919791</v>
      </c>
      <c r="U87" s="74">
        <f t="shared" si="37"/>
        <v>15989486.485091548</v>
      </c>
      <c r="V87" s="74">
        <f t="shared" si="37"/>
        <v>17282997.334263306</v>
      </c>
      <c r="W87" s="74">
        <f t="shared" si="37"/>
        <v>18576508.183435056</v>
      </c>
      <c r="X87" s="74">
        <f t="shared" si="37"/>
        <v>19626844.632606819</v>
      </c>
      <c r="Y87" s="74">
        <f t="shared" si="37"/>
        <v>20677181.081778571</v>
      </c>
      <c r="Z87" s="74">
        <f t="shared" si="37"/>
        <v>21727517.530950323</v>
      </c>
      <c r="AA87" s="74">
        <f t="shared" si="37"/>
        <v>22777853.980122074</v>
      </c>
      <c r="AB87" s="74">
        <f t="shared" si="37"/>
        <v>23585016.029293839</v>
      </c>
      <c r="AC87" s="74">
        <f t="shared" si="37"/>
        <v>24392178.078465588</v>
      </c>
      <c r="AD87" s="74">
        <f t="shared" si="37"/>
        <v>25199340.127637338</v>
      </c>
      <c r="AE87" s="74">
        <f t="shared" si="37"/>
        <v>25763327.776809115</v>
      </c>
      <c r="AF87" s="74">
        <f t="shared" si="37"/>
        <v>25854966.625980865</v>
      </c>
      <c r="AG87" s="74">
        <f t="shared" si="37"/>
        <v>25946605.47515263</v>
      </c>
      <c r="AH87" s="74">
        <f t="shared" si="37"/>
        <v>26038244.324324381</v>
      </c>
      <c r="AI87" s="74">
        <f t="shared" si="37"/>
        <v>26238270.270270336</v>
      </c>
      <c r="AJ87" s="74">
        <f t="shared" si="37"/>
        <v>26438296.216216281</v>
      </c>
      <c r="AK87" s="74">
        <f t="shared" si="37"/>
        <v>26638322.162162226</v>
      </c>
      <c r="AL87" s="74">
        <f t="shared" si="37"/>
        <v>26838348.10810817</v>
      </c>
      <c r="AM87" s="74">
        <f t="shared" si="37"/>
        <v>27038374.054054126</v>
      </c>
      <c r="AN87" s="74">
        <f t="shared" si="37"/>
        <v>27238400.000000071</v>
      </c>
    </row>
    <row r="88" spans="1:40" ht="13.5" customHeight="1" x14ac:dyDescent="0.3"/>
    <row r="89" spans="1:40" s="38" customFormat="1" ht="13.5" customHeight="1" x14ac:dyDescent="0.3">
      <c r="A89" s="63"/>
      <c r="B89" s="75" t="s">
        <v>149</v>
      </c>
      <c r="C89" s="76"/>
      <c r="D89" s="77">
        <f>IRR(D86:AN86)</f>
        <v>0.25953134645431741</v>
      </c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</row>
    <row r="90" spans="1:40" ht="13.5" customHeight="1" x14ac:dyDescent="0.3">
      <c r="B90" s="78" t="s">
        <v>150</v>
      </c>
      <c r="C90" s="64"/>
      <c r="D90" s="59">
        <f>(1+D89)^12 -1</f>
        <v>14.940713822291192</v>
      </c>
    </row>
    <row r="91" spans="1:40" ht="13.5" customHeight="1" x14ac:dyDescent="0.3">
      <c r="B91" s="28"/>
      <c r="C91" s="61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</row>
    <row r="92" spans="1:40" ht="13.5" customHeight="1" x14ac:dyDescent="0.3">
      <c r="B92" s="78" t="s">
        <v>151</v>
      </c>
      <c r="C92" s="64"/>
      <c r="D92" s="79">
        <f>AN87</f>
        <v>27238400.000000071</v>
      </c>
      <c r="E92" s="80"/>
    </row>
    <row r="93" spans="1:40" ht="13.5" customHeight="1" x14ac:dyDescent="0.3">
      <c r="B93" s="28" t="s">
        <v>152</v>
      </c>
      <c r="C93" s="61"/>
      <c r="D93" s="79">
        <f>-MIN(D87:AM87)</f>
        <v>1846849.8570601577</v>
      </c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</row>
    <row r="94" spans="1:40" ht="13.5" customHeight="1" x14ac:dyDescent="0.35">
      <c r="B94" s="81" t="s">
        <v>153</v>
      </c>
      <c r="C94" s="82"/>
      <c r="D94" s="83">
        <f>D93/C8</f>
        <v>1.648973086660855E-2</v>
      </c>
      <c r="E94" s="31"/>
      <c r="F94" s="31"/>
      <c r="G94" s="84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</row>
    <row r="95" spans="1:40" ht="13.5" customHeight="1" x14ac:dyDescent="0.3">
      <c r="B95" s="28" t="s">
        <v>154</v>
      </c>
      <c r="C95" s="61"/>
      <c r="D95" s="85">
        <f>D92/AN46</f>
        <v>0.2533333333333338</v>
      </c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</row>
    <row r="96" spans="1:40" ht="13.5" customHeight="1" x14ac:dyDescent="0.3">
      <c r="B96" s="28" t="s">
        <v>155</v>
      </c>
      <c r="C96" s="61"/>
      <c r="D96" s="85">
        <v>0.12659999999999999</v>
      </c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</row>
    <row r="97" spans="1:40" ht="14.25" customHeight="1" x14ac:dyDescent="0.35">
      <c r="B97" s="31" t="s">
        <v>156</v>
      </c>
      <c r="D97" s="86">
        <f>(1+D96)^(1/12) - 1</f>
        <v>9.9831901409603852E-3</v>
      </c>
      <c r="E97" s="31"/>
      <c r="F97" s="31"/>
      <c r="G97" s="87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</row>
    <row r="98" spans="1:40" ht="13.5" customHeight="1" x14ac:dyDescent="0.3">
      <c r="A98" s="25" t="s">
        <v>110</v>
      </c>
      <c r="B98" s="88" t="s">
        <v>157</v>
      </c>
      <c r="C98" s="89"/>
      <c r="D98" s="88">
        <f>D86+NPV(D97,E86:AN86)</f>
        <v>22916738.062289096</v>
      </c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</row>
    <row r="99" spans="1:40" ht="13.5" customHeight="1" x14ac:dyDescent="0.3">
      <c r="B99" s="28"/>
      <c r="C99" s="61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</row>
    <row r="100" spans="1:40" ht="13.5" customHeight="1" x14ac:dyDescent="0.35">
      <c r="B100" s="78"/>
      <c r="C100" s="64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</row>
    <row r="101" spans="1:40" ht="13.5" customHeight="1" x14ac:dyDescent="0.3">
      <c r="B101" s="75"/>
      <c r="C101" s="91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</row>
    <row r="102" spans="1:40" ht="13.5" customHeight="1" x14ac:dyDescent="0.3">
      <c r="B102" s="75"/>
      <c r="C102" s="91"/>
      <c r="D102" s="92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</row>
    <row r="103" spans="1:40" ht="13.5" customHeight="1" x14ac:dyDescent="0.3">
      <c r="B103" s="78"/>
      <c r="D103" s="94"/>
    </row>
    <row r="104" spans="1:40" ht="13.5" customHeight="1" x14ac:dyDescent="0.35">
      <c r="B104" s="78"/>
      <c r="C104" s="64"/>
      <c r="D104" s="31"/>
    </row>
    <row r="105" spans="1:40" ht="14.25" customHeight="1" x14ac:dyDescent="0.35">
      <c r="B105" s="31"/>
      <c r="D105" s="31"/>
      <c r="F105" s="25" t="s">
        <v>158</v>
      </c>
    </row>
    <row r="106" spans="1:40" ht="14.25" customHeight="1" x14ac:dyDescent="0.35">
      <c r="B106" s="31"/>
      <c r="D106" s="31"/>
    </row>
    <row r="107" spans="1:40" ht="14.25" customHeight="1" x14ac:dyDescent="0.35">
      <c r="D107" s="31"/>
      <c r="E107" s="25" t="s">
        <v>159</v>
      </c>
      <c r="F107" s="58">
        <f>D89</f>
        <v>0.25953134645431741</v>
      </c>
      <c r="G107" s="58">
        <v>0.17</v>
      </c>
      <c r="H107" s="58">
        <v>0.19</v>
      </c>
      <c r="I107" s="58">
        <v>0.21</v>
      </c>
      <c r="J107" s="58">
        <v>0.23</v>
      </c>
      <c r="K107" s="58">
        <v>0.25</v>
      </c>
    </row>
    <row r="108" spans="1:40" ht="14.25" customHeight="1" x14ac:dyDescent="0.3">
      <c r="E108" s="58">
        <f t="shared" ref="E108:E114" si="38">1-F108</f>
        <v>0.32999999999999996</v>
      </c>
      <c r="F108" s="58">
        <v>0.67</v>
      </c>
      <c r="G108" s="95">
        <v>0.22010433000677099</v>
      </c>
      <c r="H108" s="95">
        <v>0.22010433000677099</v>
      </c>
      <c r="I108" s="95">
        <v>0.22010433000677099</v>
      </c>
      <c r="J108" s="95">
        <v>0.22010433000677099</v>
      </c>
      <c r="K108" s="95">
        <v>0.22010433000677099</v>
      </c>
    </row>
    <row r="109" spans="1:40" ht="14.25" customHeight="1" x14ac:dyDescent="0.3">
      <c r="E109" s="58">
        <f t="shared" si="38"/>
        <v>0.35</v>
      </c>
      <c r="F109" s="58">
        <v>0.65</v>
      </c>
      <c r="G109" s="95">
        <v>0.24010959963494299</v>
      </c>
      <c r="H109" s="95">
        <v>0.24010959963494299</v>
      </c>
      <c r="I109" s="95">
        <v>0.24010959963494299</v>
      </c>
      <c r="J109" s="95">
        <v>0.24010959963494299</v>
      </c>
      <c r="K109" s="95">
        <v>0.24010959963494299</v>
      </c>
    </row>
    <row r="110" spans="1:40" ht="14.25" customHeight="1" x14ac:dyDescent="0.3">
      <c r="E110" s="58">
        <f t="shared" si="38"/>
        <v>0.37</v>
      </c>
      <c r="F110" s="58">
        <v>0.63</v>
      </c>
      <c r="G110" s="95">
        <v>0.26003921212214198</v>
      </c>
      <c r="H110" s="95">
        <v>0.26003921212214198</v>
      </c>
      <c r="I110" s="95">
        <v>0.26003921212214198</v>
      </c>
      <c r="J110" s="95">
        <v>0.26003921212214198</v>
      </c>
      <c r="K110" s="95">
        <v>0.26003921212214198</v>
      </c>
    </row>
    <row r="111" spans="1:40" ht="14.25" customHeight="1" x14ac:dyDescent="0.3">
      <c r="E111" s="58">
        <f t="shared" si="38"/>
        <v>0.39</v>
      </c>
      <c r="F111" s="58">
        <v>0.61</v>
      </c>
      <c r="G111" s="95">
        <v>0.28002499997798702</v>
      </c>
      <c r="H111" s="95">
        <v>0.28002499997798702</v>
      </c>
      <c r="I111" s="95">
        <v>0.28002499997798702</v>
      </c>
      <c r="J111" s="95">
        <v>0.28002499997798702</v>
      </c>
      <c r="K111" s="95">
        <v>0.28002499997798702</v>
      </c>
    </row>
    <row r="112" spans="1:40" ht="14.25" customHeight="1" x14ac:dyDescent="0.3">
      <c r="E112" s="58">
        <f t="shared" si="38"/>
        <v>0.41000000000000003</v>
      </c>
      <c r="F112" s="58">
        <v>0.59</v>
      </c>
      <c r="G112" s="95">
        <v>0.30019477127496202</v>
      </c>
      <c r="H112" s="95">
        <v>0.30019477127496202</v>
      </c>
      <c r="I112" s="95">
        <v>0.30019477127496202</v>
      </c>
      <c r="J112" s="95">
        <v>0.30019477127496202</v>
      </c>
      <c r="K112" s="95">
        <v>0.30019477127496202</v>
      </c>
    </row>
    <row r="113" spans="5:11" ht="14.25" customHeight="1" x14ac:dyDescent="0.3">
      <c r="E113" s="58">
        <f t="shared" si="38"/>
        <v>0.43000000000000005</v>
      </c>
      <c r="F113" s="58">
        <v>0.56999999999999995</v>
      </c>
      <c r="G113" s="95">
        <v>0.32067541943212202</v>
      </c>
      <c r="H113" s="95">
        <v>0.32067541943212202</v>
      </c>
      <c r="I113" s="95">
        <v>0.32067541943212202</v>
      </c>
      <c r="J113" s="95">
        <v>0.32067541943212202</v>
      </c>
      <c r="K113" s="95">
        <v>0.32067541943212202</v>
      </c>
    </row>
    <row r="114" spans="5:11" ht="14.25" customHeight="1" x14ac:dyDescent="0.3">
      <c r="E114" s="58">
        <f t="shared" si="38"/>
        <v>0.44999999999999996</v>
      </c>
      <c r="F114" s="58">
        <v>0.55000000000000004</v>
      </c>
      <c r="G114" s="95">
        <v>0.34159601158640301</v>
      </c>
      <c r="H114" s="95">
        <v>0.34159601158640301</v>
      </c>
      <c r="I114" s="95">
        <v>0.34159601158640301</v>
      </c>
      <c r="J114" s="95">
        <v>0.34159601158640301</v>
      </c>
      <c r="K114" s="95">
        <v>0.34159601158640301</v>
      </c>
    </row>
    <row r="115" spans="5:11" ht="14.25" customHeight="1" x14ac:dyDescent="0.3"/>
    <row r="116" spans="5:11" ht="14.25" customHeight="1" x14ac:dyDescent="0.3"/>
    <row r="117" spans="5:11" ht="14.25" customHeight="1" x14ac:dyDescent="0.3"/>
    <row r="118" spans="5:11" ht="14.25" customHeight="1" x14ac:dyDescent="0.3"/>
    <row r="119" spans="5:11" ht="14.25" customHeight="1" x14ac:dyDescent="0.3"/>
    <row r="120" spans="5:11" ht="14.25" customHeight="1" x14ac:dyDescent="0.3"/>
    <row r="121" spans="5:11" ht="14.25" customHeight="1" x14ac:dyDescent="0.3"/>
    <row r="122" spans="5:11" ht="14.25" customHeight="1" x14ac:dyDescent="0.3"/>
    <row r="123" spans="5:11" ht="14.25" customHeight="1" x14ac:dyDescent="0.3"/>
    <row r="124" spans="5:11" ht="14.25" customHeight="1" x14ac:dyDescent="0.3"/>
    <row r="125" spans="5:11" ht="14.25" customHeight="1" x14ac:dyDescent="0.3"/>
    <row r="126" spans="5:11" ht="14.25" customHeight="1" x14ac:dyDescent="0.3"/>
    <row r="127" spans="5:11" ht="14.25" customHeight="1" x14ac:dyDescent="0.3"/>
    <row r="128" spans="5:11" ht="13.5" customHeight="1" x14ac:dyDescent="0.3"/>
  </sheetData>
  <conditionalFormatting sqref="G108:K114">
    <cfRule type="colorScale" priority="1">
      <colorScale>
        <cfvo type="min"/>
        <cfvo type="max"/>
        <color rgb="FF0070C0"/>
        <color rgb="FF203864"/>
      </colorScale>
    </cfRule>
    <cfRule type="colorScale" priority="2">
      <colorScale>
        <cfvo type="min"/>
        <cfvo type="max"/>
        <color rgb="FF0070C0"/>
        <color rgb="FF203864"/>
      </colorScale>
    </cfRule>
    <cfRule type="colorScale" priority="3">
      <colorScale>
        <cfvo type="min"/>
        <cfvo type="max"/>
        <color rgb="FF0070C0"/>
        <color rgb="FF203864"/>
      </colorScale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Modelo</vt:lpstr>
      <vt:lpstr>FCFF</vt:lpstr>
      <vt:lpstr>Multiplos</vt:lpstr>
      <vt:lpstr>Buildup da Receita</vt:lpstr>
      <vt:lpstr>Inputs - BP</vt:lpstr>
      <vt:lpstr>Inputs - DRE</vt:lpstr>
      <vt:lpstr>Inputs - Operacionais</vt:lpstr>
      <vt:lpstr>Projeções Macro</vt:lpstr>
      <vt:lpstr>Unit Direcional</vt:lpstr>
      <vt:lpstr>Unit Riva</vt:lpstr>
      <vt:lpstr>Unit INCC</vt:lpstr>
      <vt:lpstr>Unit Parcelamento</vt:lpstr>
      <vt:lpstr>Unit Cury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Simoes</dc:creator>
  <cp:lastModifiedBy>Guilherme Simoes</cp:lastModifiedBy>
  <dcterms:created xsi:type="dcterms:W3CDTF">2026-05-11T23:58:38Z</dcterms:created>
  <dcterms:modified xsi:type="dcterms:W3CDTF">2026-05-15T14:34:35Z</dcterms:modified>
</cp:coreProperties>
</file>