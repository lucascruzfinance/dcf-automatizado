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DA\PEP\"/>
    </mc:Choice>
  </mc:AlternateContent>
  <xr:revisionPtr revIDLastSave="0" documentId="8_{3C7770FD-262C-442B-98BA-918B8AFA6E44}" xr6:coauthVersionLast="47" xr6:coauthVersionMax="47" xr10:uidLastSave="{00000000-0000-0000-0000-000000000000}"/>
  <bookViews>
    <workbookView xWindow="-120" yWindow="-120" windowWidth="20730" windowHeight="11160" firstSheet="2" activeTab="3" xr2:uid="{9011EF5F-8175-4E66-8550-35F200B13326}"/>
  </bookViews>
  <sheets>
    <sheet name="Capa" sheetId="14" r:id="rId1"/>
    <sheet name="To do list" sheetId="13" r:id="rId2"/>
    <sheet name="Model " sheetId="2" r:id="rId3"/>
    <sheet name="Build-Up" sheetId="1" r:id="rId4"/>
    <sheet name="Unit Economics" sheetId="5" r:id="rId5"/>
    <sheet name="D@G" sheetId="3" r:id="rId6"/>
    <sheet name="AVP" sheetId="7" r:id="rId7"/>
    <sheet name="Macro" sheetId="8" r:id="rId8"/>
  </sheets>
  <definedNames>
    <definedName name="______F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___F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__F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__F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_F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_F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a1" localSheetId="0" hidden="1">{#N/A,#N/A,FALSE,"FlCx99";#N/A,#N/A,FALSE,"Dívida99"}</definedName>
    <definedName name="___a1" hidden="1">{#N/A,#N/A,FALSE,"FlCx99";#N/A,#N/A,FALSE,"Dívida99"}</definedName>
    <definedName name="___a3" localSheetId="0" hidden="1">{#N/A,#N/A,FALSE,"FlCx99";#N/A,#N/A,FALSE,"Dívida99"}</definedName>
    <definedName name="___a3" hidden="1">{#N/A,#N/A,FALSE,"FlCx99";#N/A,#N/A,FALSE,"Dívida99"}</definedName>
    <definedName name="___a4" localSheetId="0" hidden="1">{#N/A,#N/A,FALSE,"FlCx99";#N/A,#N/A,FALSE,"Dívida99"}</definedName>
    <definedName name="___a4" hidden="1">{#N/A,#N/A,FALSE,"FlCx99";#N/A,#N/A,FALSE,"Dívida99"}</definedName>
    <definedName name="___F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F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_V1" localSheetId="0" hidden="1">{#N/A,#N/A,FALSE,"FlCx99";#N/A,#N/A,FALSE,"Dívida99"}</definedName>
    <definedName name="___V1" hidden="1">{#N/A,#N/A,FALSE,"FlCx99";#N/A,#N/A,FALSE,"Dívida99"}</definedName>
    <definedName name="___V10" localSheetId="0" hidden="1">{#N/A,#N/A,FALSE,"FlCx99";#N/A,#N/A,FALSE,"Dívida99"}</definedName>
    <definedName name="___V10" hidden="1">{#N/A,#N/A,FALSE,"FlCx99";#N/A,#N/A,FALSE,"Dívida99"}</definedName>
    <definedName name="___V11" localSheetId="0" hidden="1">{#N/A,#N/A,FALSE,"FlCx99";#N/A,#N/A,FALSE,"Dívida99"}</definedName>
    <definedName name="___V11" hidden="1">{#N/A,#N/A,FALSE,"FlCx99";#N/A,#N/A,FALSE,"Dívida99"}</definedName>
    <definedName name="___V12" localSheetId="0" hidden="1">{#N/A,#N/A,FALSE,"FlCx99";#N/A,#N/A,FALSE,"Dívida99"}</definedName>
    <definedName name="___V12" hidden="1">{#N/A,#N/A,FALSE,"FlCx99";#N/A,#N/A,FALSE,"Dívida99"}</definedName>
    <definedName name="___V13" localSheetId="0" hidden="1">{#N/A,#N/A,FALSE,"FlCx99";#N/A,#N/A,FALSE,"Dívida99"}</definedName>
    <definedName name="___V13" hidden="1">{#N/A,#N/A,FALSE,"FlCx99";#N/A,#N/A,FALSE,"Dívida99"}</definedName>
    <definedName name="___V14" localSheetId="0" hidden="1">{#N/A,#N/A,FALSE,"FlCx99";#N/A,#N/A,FALSE,"Dívida99"}</definedName>
    <definedName name="___V14" hidden="1">{#N/A,#N/A,FALSE,"FlCx99";#N/A,#N/A,FALSE,"Dívida99"}</definedName>
    <definedName name="___V15" localSheetId="0" hidden="1">{#N/A,#N/A,FALSE,"FlCx99";#N/A,#N/A,FALSE,"Dívida99"}</definedName>
    <definedName name="___V15" hidden="1">{#N/A,#N/A,FALSE,"FlCx99";#N/A,#N/A,FALSE,"Dívida99"}</definedName>
    <definedName name="___V3" localSheetId="0" hidden="1">{#N/A,#N/A,FALSE,"FlCx99";#N/A,#N/A,FALSE,"Dívida99"}</definedName>
    <definedName name="___V3" hidden="1">{#N/A,#N/A,FALSE,"FlCx99";#N/A,#N/A,FALSE,"Dívida99"}</definedName>
    <definedName name="___V4" localSheetId="0" hidden="1">{#N/A,#N/A,FALSE,"FlCx99";#N/A,#N/A,FALSE,"Dívida99"}</definedName>
    <definedName name="___V4" hidden="1">{#N/A,#N/A,FALSE,"FlCx99";#N/A,#N/A,FALSE,"Dívida99"}</definedName>
    <definedName name="___V5" localSheetId="0" hidden="1">{#N/A,#N/A,FALSE,"FlCx99";#N/A,#N/A,FALSE,"Dívida99"}</definedName>
    <definedName name="___V5" hidden="1">{#N/A,#N/A,FALSE,"FlCx99";#N/A,#N/A,FALSE,"Dívida99"}</definedName>
    <definedName name="___V6" localSheetId="0" hidden="1">{#N/A,#N/A,FALSE,"FlCx99";#N/A,#N/A,FALSE,"Dívida99"}</definedName>
    <definedName name="___V6" hidden="1">{#N/A,#N/A,FALSE,"FlCx99";#N/A,#N/A,FALSE,"Dívida99"}</definedName>
    <definedName name="___V7" localSheetId="0" hidden="1">{#N/A,#N/A,FALSE,"FlCx99";#N/A,#N/A,FALSE,"Dívida99"}</definedName>
    <definedName name="___V7" hidden="1">{#N/A,#N/A,FALSE,"FlCx99";#N/A,#N/A,FALSE,"Dívida99"}</definedName>
    <definedName name="___V8" localSheetId="0" hidden="1">{#N/A,#N/A,FALSE,"FlCx99";#N/A,#N/A,FALSE,"Dívida99"}</definedName>
    <definedName name="___V8" hidden="1">{#N/A,#N/A,FALSE,"FlCx99";#N/A,#N/A,FALSE,"Dívida99"}</definedName>
    <definedName name="___V9" localSheetId="0" hidden="1">{#N/A,#N/A,FALSE,"FlCx99";#N/A,#N/A,FALSE,"Dívida99"}</definedName>
    <definedName name="___V9" hidden="1">{#N/A,#N/A,FALSE,"FlCx99";#N/A,#N/A,FALSE,"Dívida99"}</definedName>
    <definedName name="___vhc1" localSheetId="0" hidden="1">{#N/A,#N/A,FALSE,"FlCx99";#N/A,#N/A,FALSE,"Dívida99"}</definedName>
    <definedName name="___vhc1" hidden="1">{#N/A,#N/A,FALSE,"FlCx99";#N/A,#N/A,FALSE,"Dívida99"}</definedName>
    <definedName name="__123Graph_A" hidden="1">#REF!</definedName>
    <definedName name="__123Graph_AANIDRO" hidden="1">#REF!</definedName>
    <definedName name="__123Graph_AHIALCOOL" hidden="1">#REF!</definedName>
    <definedName name="__123Graph_AHIDRATADO" hidden="1">#REF!</definedName>
    <definedName name="__123Graph_AINDMES" hidden="1">#REF!</definedName>
    <definedName name="__123Graph_AJAYME" hidden="1">#REF!</definedName>
    <definedName name="__123Graph_AMAKIKO" hidden="1">#REF!</definedName>
    <definedName name="__123Graph_AMAKIKO2" hidden="1">#REF!</definedName>
    <definedName name="__123Graph_AMERC" hidden="1">#REF!</definedName>
    <definedName name="__123Graph_ARESFIN" hidden="1">#REF!</definedName>
    <definedName name="__123Graph_ASACAS" hidden="1">#REF!</definedName>
    <definedName name="__123Graph_ASIDECO" hidden="1">#REF!</definedName>
    <definedName name="__123Graph_AUSS" hidden="1">#REF!</definedName>
    <definedName name="__123Graph_B" hidden="1">#REF!</definedName>
    <definedName name="__123Graph_BINDMES" hidden="1">#REF!</definedName>
    <definedName name="__123Graph_BJAYME" hidden="1">#REF!</definedName>
    <definedName name="__123Graph_BMAKIKO" hidden="1">#REF!</definedName>
    <definedName name="__123Graph_BMAKIKO2" hidden="1">#REF!</definedName>
    <definedName name="__123Graph_BMERC" hidden="1">#REF!</definedName>
    <definedName name="__123Graph_BRESFIN" hidden="1">#REF!</definedName>
    <definedName name="__123Graph_BSIDECO" hidden="1">#REF!</definedName>
    <definedName name="__123Graph_C" hidden="1">#REF!</definedName>
    <definedName name="__123Graph_CINDMES" hidden="1">#REF!</definedName>
    <definedName name="__123Graph_CJAYME" hidden="1">#REF!</definedName>
    <definedName name="__123Graph_CMAKIKO" hidden="1">#REF!</definedName>
    <definedName name="__123Graph_CMAKIKO2" hidden="1">#REF!</definedName>
    <definedName name="__123Graph_CMERC" hidden="1">#REF!</definedName>
    <definedName name="__123Graph_COILDIA" hidden="1">#REF!</definedName>
    <definedName name="__123Graph_CRESFIN" hidden="1">#REF!</definedName>
    <definedName name="__123Graph_CSIDECO" hidden="1">#REF!</definedName>
    <definedName name="__123Graph_D" hidden="1">#REF!</definedName>
    <definedName name="__123Graph_DINDMES" hidden="1">#REF!</definedName>
    <definedName name="__123Graph_DMAKIKO" hidden="1">#REF!</definedName>
    <definedName name="__123Graph_DMAKIKO2" hidden="1">#REF!</definedName>
    <definedName name="__123Graph_DOILDIA" hidden="1">#REF!</definedName>
    <definedName name="__123Graph_E" hidden="1">#REF!</definedName>
    <definedName name="__123Graph_EMAKIKO" hidden="1">#REF!</definedName>
    <definedName name="__123Graph_EMAKIKO2" hidden="1">#REF!</definedName>
    <definedName name="__123Graph_EOILDIA" hidden="1">#REF!</definedName>
    <definedName name="__123Graph_F" hidden="1">#REF!</definedName>
    <definedName name="__123Graph_FOILDIA" hidden="1">#REF!</definedName>
    <definedName name="__123Graph_X" hidden="1">#REF!</definedName>
    <definedName name="__123Graph_XANIDRO" hidden="1">#REF!</definedName>
    <definedName name="__123Graph_XHIALCOOL" hidden="1">#REF!</definedName>
    <definedName name="__123Graph_XHIDRATADO" hidden="1">#REF!</definedName>
    <definedName name="__123Graph_XINDMES" hidden="1">#REF!</definedName>
    <definedName name="__123Graph_XJAYME" hidden="1">#REF!</definedName>
    <definedName name="__123Graph_XMAKIKO" hidden="1">#REF!</definedName>
    <definedName name="__123Graph_XMAKIKO2" hidden="1">#REF!</definedName>
    <definedName name="__123Graph_XMERC" hidden="1">#REF!</definedName>
    <definedName name="__123Graph_XRESFIN" hidden="1">#REF!</definedName>
    <definedName name="__123Graph_XSACAS" hidden="1">#REF!</definedName>
    <definedName name="__123Graph_XSIDECO" hidden="1">#REF!</definedName>
    <definedName name="__123Graph_XUSS" hidden="1">#REF!</definedName>
    <definedName name="__CBD02" localSheetId="0" hidden="1">{"PLAN MED.PROVISORIA",#N/A,FALSE,"IRENDA"}</definedName>
    <definedName name="__CBD02" hidden="1">{"PLAN MED.PROVISORIA",#N/A,FALSE,"IRENDA"}</definedName>
    <definedName name="__CEN30" localSheetId="0" hidden="1">{#N/A,#N/A,FALSE,"SIM95"}</definedName>
    <definedName name="__CEN30" hidden="1">{#N/A,#N/A,FALSE,"SIM95"}</definedName>
    <definedName name="__DRE0700" localSheetId="0" hidden="1">{"'PXR_6500'!$A$1:$I$124"}</definedName>
    <definedName name="__DRE0700" hidden="1">{"'PXR_6500'!$A$1:$I$124"}</definedName>
    <definedName name="__E1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E21" localSheetId="0" hidden="1">{"Despesas Diferidas Indedutíveis de 1998",#N/A,FALSE,"Impressão"}</definedName>
    <definedName name="__E21" hidden="1">{"Despesas Diferidas Indedutíveis de 1998",#N/A,FALSE,"Impressão"}</definedName>
    <definedName name="__F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F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__FDS_HYPERLINK_TOGGLE_STATE__" hidden="1">"ON"</definedName>
    <definedName name="__FDS_UNIQUE_RANGE_ID_GENERATOR_COUNTER" hidden="1">5</definedName>
    <definedName name="__K2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Key2" hidden="1">#REF!</definedName>
    <definedName name="__T2" localSheetId="0" hidden="1">{#N/A,#N/A,FALSE,"1321";#N/A,#N/A,FALSE,"1324";#N/A,#N/A,FALSE,"1333";#N/A,#N/A,FALSE,"1371"}</definedName>
    <definedName name="__T2" hidden="1">{#N/A,#N/A,FALSE,"1321";#N/A,#N/A,FALSE,"1324";#N/A,#N/A,FALSE,"1333";#N/A,#N/A,FALSE,"1371"}</definedName>
    <definedName name="_1__123Graph_ACHART_1" hidden="1">#REF!</definedName>
    <definedName name="_1__123Graph_ACHART_2" hidden="1">#REF!</definedName>
    <definedName name="_1__FDSAUDITLINK__" localSheetId="0" hidden="1">{"fdsup://IBCentral/FAT Viewer?action=UPDATE&amp;creator=factset&amp;DOC_NAME=fat:reuters_annual_pshs_src_window.fat&amp;display_string=Audit&amp;DYN_ARGS=TRUE&amp;VAR:ID1=TUPPERWARE BRANDS&amp;VAR:RCODE=FDSEPSDIL&amp;VAR:SDATE=0&amp;VAR:FREQ=Y&amp;VAR:RELITEM=RP&amp;VAR:CURRENCY=LOCAL&amp;VAR:CURRSO","URCE=EXSHARE&amp;VAR:NATFREQ=ANNUAL&amp;VAR:RFIELD=FINALIZED&amp;VAR:DB_TYPE=NR&amp;VAR:UNITS=M&amp;window=popup&amp;width=450&amp;height=300&amp;START_MAXIMIZED=FALSE"}</definedName>
    <definedName name="_1__FDSAUDITLINK__" hidden="1">{"fdsup://IBCentral/FAT Viewer?action=UPDATE&amp;creator=factset&amp;DOC_NAME=fat:reuters_annual_pshs_src_window.fat&amp;display_string=Audit&amp;DYN_ARGS=TRUE&amp;VAR:ID1=TUPPERWARE BRANDS&amp;VAR:RCODE=FDSEPSDIL&amp;VAR:SDATE=0&amp;VAR:FREQ=Y&amp;VAR:RELITEM=RP&amp;VAR:CURRENCY=LOCAL&amp;VAR:CURRSO","URCE=EXSHARE&amp;VAR:NATFREQ=ANNUAL&amp;VAR:RFIELD=FINALIZED&amp;VAR:DB_TYPE=NR&amp;VAR:UNITS=M&amp;window=popup&amp;width=450&amp;height=300&amp;START_MAXIMIZED=FALSE"}</definedName>
    <definedName name="_10__123Graph_BCHART_15" hidden="1">#REF!</definedName>
    <definedName name="_10__123Graph_CCHART_3" hidden="1">#REF!</definedName>
    <definedName name="_100__123Graph_XCHART_23" hidden="1">#REF!</definedName>
    <definedName name="_101__123Graph_XChart_3" hidden="1">#REF!</definedName>
    <definedName name="_102__123Graph_XChart_4" hidden="1">#REF!</definedName>
    <definedName name="_103__123Graph_XChart_5" hidden="1">#REF!</definedName>
    <definedName name="_104__123Graph_XChart_6" hidden="1">#REF!</definedName>
    <definedName name="_11__123Graph_BCHART_17" hidden="1">#REF!</definedName>
    <definedName name="_11__123Graph_CCHART_4" hidden="1">#REF!</definedName>
    <definedName name="_12__123Graph_BCHART_19" hidden="1">#REF!</definedName>
    <definedName name="_12__123Graph_CCHART_5" hidden="1">#REF!</definedName>
    <definedName name="_123Graph_AChart1A" hidden="1">#REF!</definedName>
    <definedName name="_123Graph_AChart2A" hidden="1">#REF!</definedName>
    <definedName name="_123Graph_BChart1A" hidden="1">#REF!</definedName>
    <definedName name="_123Graph_CChart1A" hidden="1">#REF!</definedName>
    <definedName name="_123Graph_XChart1A" hidden="1">#REF!</definedName>
    <definedName name="_123Graph_XChart2A" hidden="1">#REF!</definedName>
    <definedName name="_13__123Graph_BChart_1A" hidden="1">#REF!</definedName>
    <definedName name="_13__123Graph_DCHART_2" hidden="1">#REF!</definedName>
    <definedName name="_14__123Graph_BCHART_2" hidden="1">#REF!</definedName>
    <definedName name="_14__123Graph_DCHART_3" hidden="1">#REF!</definedName>
    <definedName name="_15__123Graph_BCHART_4" hidden="1">#REF!</definedName>
    <definedName name="_15__123Graph_DCHART_4" hidden="1">#REF!</definedName>
    <definedName name="_16__123Graph_BCHART_8" hidden="1">#REF!</definedName>
    <definedName name="_16__123Graph_DCHART_5" hidden="1">#REF!</definedName>
    <definedName name="_17__123Graph_CCHART_1" hidden="1">#REF!</definedName>
    <definedName name="_17__123Graph_ECHART_2" hidden="1">#REF!</definedName>
    <definedName name="_18__123Graph_CCHART_15" hidden="1">#REF!</definedName>
    <definedName name="_18__123Graph_ECHART_3" hidden="1">#REF!</definedName>
    <definedName name="_19__123Graph_CCHART_17" hidden="1">#REF!</definedName>
    <definedName name="_19__123Graph_ECHART_4" hidden="1">#REF!</definedName>
    <definedName name="_2__123Graph_ACHART_10" hidden="1">#REF!</definedName>
    <definedName name="_2__123Graph_ACHART_2" hidden="1">#REF!</definedName>
    <definedName name="_2__123Graph_ACHART_3" hidden="1">#REF!</definedName>
    <definedName name="_2__FDSAUDITLINK__" localSheetId="0" hidden="1">{"fdsup://IBCentral/FAT Viewer?action=UPDATE&amp;creator=factset&amp;DOC_NAME=fat:reuters_annual_pshs_src_window.fat&amp;display_string=Audit&amp;DYN_ARGS=TRUE&amp;VAR:ID1=NATURA&amp;VAR:RCODE=FDSEPSDIL&amp;VAR:SDATE=0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__FDSAUDITLINK__" hidden="1">{"fdsup://IBCentral/FAT Viewer?action=UPDATE&amp;creator=factset&amp;DOC_NAME=fat:reuters_annual_pshs_src_window.fat&amp;display_string=Audit&amp;DYN_ARGS=TRUE&amp;VAR:ID1=NATURA&amp;VAR:RCODE=FDSEPSDIL&amp;VAR:SDATE=0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__123Graph_CCHART_19" hidden="1">#REF!</definedName>
    <definedName name="_20__123Graph_ECHART_5" hidden="1">#REF!</definedName>
    <definedName name="_21__123Graph_CChart_1A" hidden="1">#REF!</definedName>
    <definedName name="_21__123Graph_FCHART_2" hidden="1">#REF!</definedName>
    <definedName name="_22__123Graph_CCHART_2" hidden="1">#REF!</definedName>
    <definedName name="_22__123Graph_FCHART_3" hidden="1">#REF!</definedName>
    <definedName name="_23__123Graph_FCHART_4" hidden="1">#REF!</definedName>
    <definedName name="_23__123Graph_LBL_ACHART_1" hidden="1">#REF!</definedName>
    <definedName name="_24__123Graph_FCHART_5" hidden="1">#REF!</definedName>
    <definedName name="_24__123Graph_LBL_ACHART_2" hidden="1">#REF!</definedName>
    <definedName name="_25__123Graph_A_Chart_1A" hidden="1">#REF!</definedName>
    <definedName name="_25__123Graph_LBL_BCHART_1" hidden="1">#REF!</definedName>
    <definedName name="_26__123Graph_AChart_1" hidden="1">#REF!</definedName>
    <definedName name="_26__123Graph_LBL_ECHART_1" hidden="1">#REF!</definedName>
    <definedName name="_27__123Graph_ACHART_19" hidden="1">#REF!</definedName>
    <definedName name="_27__123Graph_XCHART_1" hidden="1">#REF!</definedName>
    <definedName name="_28__123Graph_AChart_2" hidden="1">#REF!</definedName>
    <definedName name="_28__123Graph_XCHART_10" hidden="1">#REF!</definedName>
    <definedName name="_29__123Graph_ACHART_20" hidden="1">#REF!</definedName>
    <definedName name="_29__123Graph_XCHART_15" hidden="1">#REF!</definedName>
    <definedName name="_3__123Graph_AChart_1A" hidden="1">#REF!</definedName>
    <definedName name="_3__123Graph_ACHART_4" hidden="1">#REF!</definedName>
    <definedName name="_3__123Graph_BCHART_5" hidden="1">#REF!</definedName>
    <definedName name="_3__FDSAUDITLINK__" localSheetId="0" hidden="1">{"fdsup://IBCentral/FAT Viewer?action=UPDATE&amp;creator=factset&amp;DOC_NAME=fat:reuters_annual_pshs_src_window.fat&amp;display_string=Audit&amp;DYN_ARGS=TRUE&amp;VAR:ID1=TUPPERWARE BRANDS&amp;VAR:RCODE=FDSEPSDIL&amp;VAR:SDATE=0&amp;VAR:FREQ=Y&amp;VAR:RELITEM=RP&amp;VAR:CURRENCY=LOCAL&amp;VAR:CURRSO","URCE=EXSHARE&amp;VAR:NATFREQ=ANNUAL&amp;VAR:RFIELD=FINALIZED&amp;VAR:DB_TYPE=NR&amp;VAR:UNITS=M&amp;window=popup&amp;width=450&amp;height=300&amp;START_MAXIMIZED=FALSE"}</definedName>
    <definedName name="_3__FDSAUDITLINK__" hidden="1">{"fdsup://IBCentral/FAT Viewer?action=UPDATE&amp;creator=factset&amp;DOC_NAME=fat:reuters_annual_pshs_src_window.fat&amp;display_string=Audit&amp;DYN_ARGS=TRUE&amp;VAR:ID1=TUPPERWARE BRANDS&amp;VAR:RCODE=FDSEPSDIL&amp;VAR:SDATE=0&amp;VAR:FREQ=Y&amp;VAR:RELITEM=RP&amp;VAR:CURRENCY=LOCAL&amp;VAR:CURRSO","URCE=EXSHARE&amp;VAR:NATFREQ=ANNUAL&amp;VAR:RFIELD=FINALIZED&amp;VAR:DB_TYPE=NR&amp;VAR:UNITS=M&amp;window=popup&amp;width=450&amp;height=300&amp;START_MAXIMIZED=FALSE"}</definedName>
    <definedName name="_3_0__123Grap" hidden="1">#REF!</definedName>
    <definedName name="_3_0_S" hidden="1">#REF!</definedName>
    <definedName name="_30__123Graph_ACHART_22" hidden="1">#REF!</definedName>
    <definedName name="_30__123Graph_XCHART_17" hidden="1">#REF!</definedName>
    <definedName name="_31__123Graph_ACHART_23" hidden="1">#REF!</definedName>
    <definedName name="_31__123Graph_XCHART_19" hidden="1">#REF!</definedName>
    <definedName name="_32__123Graph_AChart_3" hidden="1">#REF!</definedName>
    <definedName name="_32__123Graph_XChart_1A" hidden="1">#REF!</definedName>
    <definedName name="_33__123Graph_AChart_4" hidden="1">#REF!</definedName>
    <definedName name="_33__123Graph_XCHART_2" hidden="1">#REF!</definedName>
    <definedName name="_34__123Graph_AChart_5" hidden="1">#REF!</definedName>
    <definedName name="_34__123Graph_XChart_2A" hidden="1">#REF!</definedName>
    <definedName name="_35__123Graph_AChart_6" hidden="1">#REF!</definedName>
    <definedName name="_35__123Graph_XCHART_4" hidden="1">#REF!</definedName>
    <definedName name="_36__123Graph_B_Chart_1A" hidden="1">#REF!</definedName>
    <definedName name="_36__123Graph_XCHART_5" hidden="1">#REF!</definedName>
    <definedName name="_37__123Graph_BCHART_12" hidden="1">#REF!</definedName>
    <definedName name="_38__123Graph_C_Chart_1A" hidden="1">#REF!</definedName>
    <definedName name="_39__123Graph_CCHART_10" hidden="1">#REF!</definedName>
    <definedName name="_4__123Graph_ACHART_2" hidden="1">#REF!</definedName>
    <definedName name="_4__123Graph_ACHART_5" hidden="1">#REF!</definedName>
    <definedName name="_4__123Graph_LBL_ACHART_1" hidden="1">#REF!</definedName>
    <definedName name="_4__FDSAUDITLINK__" localSheetId="0" hidden="1">{"fdsup://IBCentral/FAT Viewer?action=UPDATE&amp;creator=factset&amp;DOC_NAME=fat:reuters_annual_pshs_src_window.fat&amp;display_string=Audit&amp;DYN_ARGS=TRUE&amp;VAR:ID1=NATURA&amp;VAR:RCODE=FDSEPSDIL&amp;VAR:SDATE=0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4__FDSAUDITLINK__" hidden="1">{"fdsup://IBCentral/FAT Viewer?action=UPDATE&amp;creator=factset&amp;DOC_NAME=fat:reuters_annual_pshs_src_window.fat&amp;display_string=Audit&amp;DYN_ARGS=TRUE&amp;VAR:ID1=NATURA&amp;VAR:RCODE=FDSEPSDIL&amp;VAR:SDATE=0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40__123Graph_CCHART_11" hidden="1">#REF!</definedName>
    <definedName name="_41__123Graph_CCHART_12" hidden="1">#REF!</definedName>
    <definedName name="_42__123Graph_CCHART_13" hidden="1">#REF!</definedName>
    <definedName name="_43__123Graph_CCHART_14" hidden="1">#REF!</definedName>
    <definedName name="_44__123Graph_CCHART_15" hidden="1">#REF!</definedName>
    <definedName name="_45__123Graph_CCHART_16" hidden="1">#REF!</definedName>
    <definedName name="_46__123Graph_CCHART_17" hidden="1">#REF!</definedName>
    <definedName name="_47__123Graph_CCHART_18" hidden="1">#REF!</definedName>
    <definedName name="_48__123Graph_CCHART_4" hidden="1">#REF!</definedName>
    <definedName name="_49__123Graph_CCHART_6" hidden="1">#REF!</definedName>
    <definedName name="_5__123Graph_AChart_2A" hidden="1">#REF!</definedName>
    <definedName name="_5__123Graph_BCHART_2" hidden="1">#REF!</definedName>
    <definedName name="_5__123Graph_LBL_ACHART_2" hidden="1">#REF!</definedName>
    <definedName name="_50__123Graph_CCHART_7" hidden="1">#REF!</definedName>
    <definedName name="_51__123Graph_CCHART_8" hidden="1">#REF!</definedName>
    <definedName name="_52__123Graph_CCHART_9" hidden="1">#REF!</definedName>
    <definedName name="_53__123Graph_D_Chart_1A" hidden="1">#REF!</definedName>
    <definedName name="_54__123Graph_DCHART_10" hidden="1">#REF!</definedName>
    <definedName name="_55__123Graph_DCHART_11" hidden="1">#REF!</definedName>
    <definedName name="_56__123Graph_DCHART_12" hidden="1">#REF!</definedName>
    <definedName name="_57__123Graph_DCHART_13" hidden="1">#REF!</definedName>
    <definedName name="_58__123Graph_DCHART_14" hidden="1">#REF!</definedName>
    <definedName name="_59__123Graph_DCHART_15" hidden="1">#REF!</definedName>
    <definedName name="_6__123Graph_ACHART_4" hidden="1">#REF!</definedName>
    <definedName name="_6__123Graph_BCHART_3" hidden="1">#REF!</definedName>
    <definedName name="_6__123Graph_XCHART_1" hidden="1">#REF!</definedName>
    <definedName name="_60__123Graph_DCHART_16" hidden="1">#REF!</definedName>
    <definedName name="_61__123Graph_DCHART_17" hidden="1">#REF!</definedName>
    <definedName name="_62__123Graph_DCHART_18" hidden="1">#REF!</definedName>
    <definedName name="_63__123Graph_DCHART_4" hidden="1">#REF!</definedName>
    <definedName name="_64__123Graph_DCHART_6" hidden="1">#REF!</definedName>
    <definedName name="_65__123Graph_DCHART_7" hidden="1">#REF!</definedName>
    <definedName name="_66__123Graph_DCHART_8" hidden="1">#REF!</definedName>
    <definedName name="_67__123Graph_DCHART_9" hidden="1">#REF!</definedName>
    <definedName name="_68__123Graph_E_Chart_1A" hidden="1">#REF!</definedName>
    <definedName name="_69__123Graph_ECHART_10" hidden="1">#REF!</definedName>
    <definedName name="_7__123Graph_ACHART_5" hidden="1">#REF!</definedName>
    <definedName name="_7__123Graph_BCHART_4" hidden="1">#REF!</definedName>
    <definedName name="_7__123Graph_XCHART_2" hidden="1">#REF!</definedName>
    <definedName name="_70__123Graph_ECHART_11" hidden="1">#REF!</definedName>
    <definedName name="_71__123Graph_ECHART_12" hidden="1">#REF!</definedName>
    <definedName name="_72__123Graph_ECHART_13" hidden="1">#REF!</definedName>
    <definedName name="_73__123Graph_ECHART_14" hidden="1">#REF!</definedName>
    <definedName name="_74__123Graph_ECHART_15" hidden="1">#REF!</definedName>
    <definedName name="_75__123Graph_ECHART_16" hidden="1">#REF!</definedName>
    <definedName name="_76__123Graph_ECHART_17" hidden="1">#REF!</definedName>
    <definedName name="_77__123Graph_ECHART_18" hidden="1">#REF!</definedName>
    <definedName name="_78__123Graph_ECHART_4" hidden="1">#REF!</definedName>
    <definedName name="_79__123Graph_ECHART_6" hidden="1">#REF!</definedName>
    <definedName name="_8__123Graph_BCHART_1" hidden="1">#REF!</definedName>
    <definedName name="_8__123Graph_BCHART_5" hidden="1">#REF!</definedName>
    <definedName name="_80__123Graph_ECHART_7" hidden="1">#REF!</definedName>
    <definedName name="_81__123Graph_ECHART_8" hidden="1">#REF!</definedName>
    <definedName name="_82__123Graph_ECHART_9" hidden="1">#REF!</definedName>
    <definedName name="_83__123Graph_F_Chart_1A" hidden="1">#REF!</definedName>
    <definedName name="_84__123Graph_FCHART_10" hidden="1">#REF!</definedName>
    <definedName name="_85__123Graph_FCHART_11" hidden="1">#REF!</definedName>
    <definedName name="_86__123Graph_FCHART_12" hidden="1">#REF!</definedName>
    <definedName name="_87__123Graph_FCHART_13" hidden="1">#REF!</definedName>
    <definedName name="_88__123Graph_FCHART_14" hidden="1">#REF!</definedName>
    <definedName name="_89__123Graph_FCHART_15" hidden="1">#REF!</definedName>
    <definedName name="_9__123Graph_BCHART_10" hidden="1">#REF!</definedName>
    <definedName name="_9__123Graph_CCHART_2" hidden="1">#REF!</definedName>
    <definedName name="_90__123Graph_FCHART_16" hidden="1">#REF!</definedName>
    <definedName name="_91__123Graph_FCHART_4" hidden="1">#REF!</definedName>
    <definedName name="_92__123Graph_FCHART_6" hidden="1">#REF!</definedName>
    <definedName name="_93__123Graph_FCHART_7" hidden="1">#REF!</definedName>
    <definedName name="_94__123Graph_FCHART_8" hidden="1">#REF!</definedName>
    <definedName name="_95__123Graph_FCHART_9" hidden="1">#REF!</definedName>
    <definedName name="_96__123Graph_X_Chart_1A" hidden="1">#REF!</definedName>
    <definedName name="_97__123Graph_XChart_1" hidden="1">#REF!</definedName>
    <definedName name="_98__123Graph_XChart_2" hidden="1">#REF!</definedName>
    <definedName name="_99__123Graph_XCHART_20" hidden="1">#REF!</definedName>
    <definedName name="_a3" localSheetId="0" hidden="1">{#N/A,#N/A,FALSE,"FlCx99";#N/A,#N/A,FALSE,"Dívida99"}</definedName>
    <definedName name="_a3" hidden="1">{#N/A,#N/A,FALSE,"FlCx99";#N/A,#N/A,FALSE,"Dívida99"}</definedName>
    <definedName name="_a4" localSheetId="0" hidden="1">{#N/A,#N/A,FALSE,"FlCx99";#N/A,#N/A,FALSE,"Dívida99"}</definedName>
    <definedName name="_a4" hidden="1">{#N/A,#N/A,FALSE,"FlCx99";#N/A,#N/A,FALSE,"Dívida99"}</definedName>
    <definedName name="_ADS1" localSheetId="0" hidden="1">{"FCB_ALL",#N/A,FALSE,"FCB"}</definedName>
    <definedName name="_ADS1" hidden="1">{"FCB_ALL",#N/A,FALSE,"FCB"}</definedName>
    <definedName name="_as1" localSheetId="0" hidden="1">{"FCB_ALL",#N/A,FALSE,"FCB"}</definedName>
    <definedName name="_as1" hidden="1">{"FCB_ALL",#N/A,FALSE,"FCB"}</definedName>
    <definedName name="_as3" localSheetId="0" hidden="1">{"FCB_ALL",#N/A,FALSE,"FCB"}</definedName>
    <definedName name="_as3" hidden="1">{"FCB_ALL",#N/A,FALSE,"FCB"}</definedName>
    <definedName name="_AS4" localSheetId="0" hidden="1">{"FCB_ALL",#N/A,FALSE,"FCB"}</definedName>
    <definedName name="_AS4" hidden="1">{"FCB_ALL",#N/A,FALSE,"FCB"}</definedName>
    <definedName name="_as6" localSheetId="0" hidden="1">{"FCB_ALL",#N/A,FALSE,"FCB"}</definedName>
    <definedName name="_as6" hidden="1">{"FCB_ALL",#N/A,FALSE,"FCB"}</definedName>
    <definedName name="_AS7" localSheetId="0" hidden="1">{"FCB_ALL",#N/A,FALSE,"FCB"}</definedName>
    <definedName name="_AS7" hidden="1">{"FCB_ALL",#N/A,FALSE,"FCB"}</definedName>
    <definedName name="_b2" localSheetId="0" hidden="1">{"PVGraph2",#N/A,FALSE,"PV Data"}</definedName>
    <definedName name="_b2" hidden="1">{"PVGraph2",#N/A,FALSE,"PV Data"}</definedName>
    <definedName name="_BA1" localSheetId="0" hidden="1">{"'Directory'!$A$72:$E$91"}</definedName>
    <definedName name="_BA1" hidden="1">{"'Directory'!$A$72:$E$91"}</definedName>
    <definedName name="_BA12" localSheetId="0" hidden="1">{"'Directory'!$A$72:$E$91"}</definedName>
    <definedName name="_BA12" hidden="1">{"'Directory'!$A$72:$E$91"}</definedName>
    <definedName name="_BA14" localSheetId="0" hidden="1">{"'Directory'!$A$72:$E$91"}</definedName>
    <definedName name="_BA14" hidden="1">{"'Directory'!$A$72:$E$91"}</definedName>
    <definedName name="_BA15" localSheetId="0" hidden="1">{"'Directory'!$A$72:$E$91"}</definedName>
    <definedName name="_BA15" hidden="1">{"'Directory'!$A$72:$E$91"}</definedName>
    <definedName name="_BA16" localSheetId="0" hidden="1">{"'Directory'!$A$72:$E$91"}</definedName>
    <definedName name="_BA16" hidden="1">{"'Directory'!$A$72:$E$91"}</definedName>
    <definedName name="_BA17" localSheetId="0" hidden="1">{#N/A,#N/A,FALSE,"Earn'gs &amp; Val'n";#N/A,#N/A,FALSE,"Interim"}</definedName>
    <definedName name="_BA17" hidden="1">{#N/A,#N/A,FALSE,"Earn'gs &amp; Val'n";#N/A,#N/A,FALSE,"Interim"}</definedName>
    <definedName name="_BA2" localSheetId="0" hidden="1">{"'Directory'!$A$72:$E$91"}</definedName>
    <definedName name="_BA2" hidden="1">{"'Directory'!$A$72:$E$91"}</definedName>
    <definedName name="_BA4" localSheetId="0" hidden="1">{"'Directory'!$A$72:$E$91"}</definedName>
    <definedName name="_BA4" hidden="1">{"'Directory'!$A$72:$E$91"}</definedName>
    <definedName name="_bdm.0849567B7E3A4EB1A10F4E1E58C480D7.edm" hidden="1">#REF!</definedName>
    <definedName name="_bdm.21D7D386D9E84985AF664F3C7799C259.edm" hidden="1">#REF!</definedName>
    <definedName name="_bdm.22BA8A02C5D54E4998F522876BD11ACE.edm" hidden="1">#REF!</definedName>
    <definedName name="_bdm.2A91C1ED3A2545C59EA4503C8F8573E9.edm" hidden="1">#REF!</definedName>
    <definedName name="_bdm.33B70CF3A0F2437297087AD3DF03D4F0.edm" hidden="1">#REF!</definedName>
    <definedName name="_bdm.386FB3C366E0413CA869AA4F4092560E.edm" hidden="1">#REF!</definedName>
    <definedName name="_bdm.4D6232F0709B41D7B8F4A7AF51538954.edm" hidden="1">#REF!</definedName>
    <definedName name="_bdm.623926599D314EB19888B270F00CE46B.edm" hidden="1">#REF!</definedName>
    <definedName name="_bdm.66EB2CED205C4212998F04F10A7D7AC6.edm" hidden="1">#REF!</definedName>
    <definedName name="_bdm.67BC21E674014F51BAAC0A526DF5929B.edm" hidden="1">#REF!</definedName>
    <definedName name="_bdm.699CD8F11CD64CCEB68FD26E795FD379.edm" hidden="1">#REF!</definedName>
    <definedName name="_bdm.6DE43A40FFD74E7F8B5C85A1B04922EA.edm" hidden="1">#REF!</definedName>
    <definedName name="_bdm.7A0D394CB6DB4791B0C34A91DC382FC3.edm" hidden="1">#REF!</definedName>
    <definedName name="_bdm.8232BDC7ACC14EA9977510C04E996EB8.edm" hidden="1">#REF!</definedName>
    <definedName name="_bdm.861AF31121C74C0B9AEF83C8AB3BB91C.edm" hidden="1">#REF!</definedName>
    <definedName name="_bdm.86CF4161BD9E44EDA61CA69429042A87.edm" hidden="1">#REF!</definedName>
    <definedName name="_bdm.8B845DEDA4764240BB041D1DE3393E97.edm" hidden="1">#REF!</definedName>
    <definedName name="_bdm.91A4EE26DF9A4178B6136735ACF67D2F.edm" hidden="1">#REF!</definedName>
    <definedName name="_bdm.A76D95ECB8E84A2FBA39D4B3A9A6C8D1.edm" hidden="1">#REF!</definedName>
    <definedName name="_bdm.A78911217BFF4DBFAA0F3AF12871E309.edm" hidden="1">#REF!</definedName>
    <definedName name="_bdm.B2531D1196804A2EA7C135C950FB4C43.edm" hidden="1">#REF!</definedName>
    <definedName name="_bdm.B53DB447370A4BBE95B1CA8145D1BC90.edm" hidden="1">#REF!</definedName>
    <definedName name="_bdm.C540E9950CBF4F60951F2074C39BADB6.edm" hidden="1">#REF!</definedName>
    <definedName name="_bdm.D3626D1380EA409D90E48DFC24B79B20.edm" hidden="1">#REF!</definedName>
    <definedName name="_bdm.E25BF672C2E64CC0A63C533D88647C65.edm" hidden="1">#REF!</definedName>
    <definedName name="_bdm.EB4A45E593104102B34B7741F00678B2.edm" hidden="1">#REF!</definedName>
    <definedName name="_bdm.ED408283517448EAAA78235AD8A1FEAD.edm" hidden="1">#REF!</definedName>
    <definedName name="_bdm.F45B926099ED4CE08ADFA9F3C7F2F891.edm" hidden="1">#REF!</definedName>
    <definedName name="_bdm.FC23C64A9BE84069BA0B4E97F8D42183.edm" hidden="1">#REF!</definedName>
    <definedName name="_CBD02" localSheetId="0" hidden="1">{"PLAN MED.PROVISORIA",#N/A,FALSE,"IRENDA"}</definedName>
    <definedName name="_CBD02" hidden="1">{"PLAN MED.PROVISORIA",#N/A,FALSE,"IRENDA"}</definedName>
    <definedName name="_Chart" hidden="1">#REF!</definedName>
    <definedName name="_dfd1" localSheetId="0" hidden="1">{"FCB_ALL",#N/A,FALSE,"FCB";"GREY_ALL",#N/A,FALSE,"GREY"}</definedName>
    <definedName name="_dfd1" hidden="1">{"FCB_ALL",#N/A,FALSE,"FCB";"GREY_ALL",#N/A,FALSE,"GREY"}</definedName>
    <definedName name="_DRE0700" localSheetId="0" hidden="1">{"'PXR_6500'!$A$1:$I$124"}</definedName>
    <definedName name="_DRE0700" hidden="1">{"'PXR_6500'!$A$1:$I$124"}</definedName>
    <definedName name="_E1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localSheetId="0" hidden="1">{"Despesas Diferidas Indedutíveis de 1998",#N/A,FALSE,"Impressão"}</definedName>
    <definedName name="_E21" hidden="1">{"Despesas Diferidas Indedutíveis de 1998",#N/A,FALSE,"Impressão"}</definedName>
    <definedName name="_Fill" hidden="1">#REF!</definedName>
    <definedName name="_xlnm._FilterDatabase" localSheetId="1" hidden="1">'To do list'!$B$4:$E$4</definedName>
    <definedName name="_xlnm._FilterDatabase" hidden="1">#REF!</definedName>
    <definedName name="_fl1111" localSheetId="0" hidden="1">{"Fecha_Novembro",#N/A,FALSE,"FECHAMENTO-2002 ";"Defer_Novembro",#N/A,FALSE,"DIFERIDO";"Pis_Novembro",#N/A,FALSE,"PIS COFINS";"Iss_Novembro",#N/A,FALSE,"ISS"}</definedName>
    <definedName name="_fl1111" hidden="1">{"Fecha_Novembro",#N/A,FALSE,"FECHAMENTO-2002 ";"Defer_Novembro",#N/A,FALSE,"DIFERIDO";"Pis_Novembro",#N/A,FALSE,"PIS COFINS";"Iss_Novembro",#N/A,FALSE,"ISS"}</definedName>
    <definedName name="_G12" hidden="1">#REF!</definedName>
    <definedName name="_Goldman_FC_Cons" hidden="1">#REF!</definedName>
    <definedName name="_GSJ2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GSJ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GSRATES_1" hidden="1">"CT30000119991231        "</definedName>
    <definedName name="_GSRATES_10" hidden="1">"CF3000012003033120030101"</definedName>
    <definedName name="_GSRATES_2" hidden="1">"CT30000120000516        "</definedName>
    <definedName name="_GSRATES_3" hidden="1">"CT30000119991231        "</definedName>
    <definedName name="_GSRATES_4" hidden="1">"CT30000119981231        "</definedName>
    <definedName name="_GSRATES_5" hidden="1">"CT30000119981231        "</definedName>
    <definedName name="_GSRATES_6" hidden="1">"CT30000120000517        "</definedName>
    <definedName name="_GSRATES_7" hidden="1">"CT30000120000331        "</definedName>
    <definedName name="_GSRATES_8" hidden="1">"CT30000120020930        "</definedName>
    <definedName name="_GSRATES_9" hidden="1">"CF5000012003033120020101"</definedName>
    <definedName name="_GSRATES_COUNT" hidden="1">7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I2" localSheetId="0" hidden="1">{"PVGraph2",#N/A,FALSE,"PV Data"}</definedName>
    <definedName name="_I2" hidden="1">{"PVGraph2",#N/A,FALSE,"PV Data"}</definedName>
    <definedName name="_I22" localSheetId="0" hidden="1">{"PVGraph2",#N/A,FALSE,"PV Data"}</definedName>
    <definedName name="_I22" hidden="1">{"PVGraph2",#N/A,FALSE,"PV Data"}</definedName>
    <definedName name="_I3" localSheetId="0" hidden="1">{"PVGraph2",#N/A,FALSE,"PV Data"}</definedName>
    <definedName name="_I3" hidden="1">{"PVGraph2",#N/A,FALSE,"PV Data"}</definedName>
    <definedName name="_II2" localSheetId="0" hidden="1">{"PVGraph2",#N/A,FALSE,"PV Data"}</definedName>
    <definedName name="_II2" hidden="1">{"PVGraph2",#N/A,FALSE,"PV Data"}</definedName>
    <definedName name="_j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K16" hidden="1">25</definedName>
    <definedName name="_K2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ey1" hidden="1">#REF!</definedName>
    <definedName name="_Key2" hidden="1">#REF!</definedName>
    <definedName name="_l" localSheetId="0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_l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_MatInverse_In" hidden="1">#REF!</definedName>
    <definedName name="_new2" hidden="1">#REF!</definedName>
    <definedName name="_Order1" hidden="1">255</definedName>
    <definedName name="_Order2" hidden="1">255</definedName>
    <definedName name="_Parse_Out" hidden="1">#N/A</definedName>
    <definedName name="_PL2" localSheetId="0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_PL2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_q234" hidden="1">#REF!</definedName>
    <definedName name="_Regression_Int" hidden="1">1</definedName>
    <definedName name="_Regression_Out" hidden="1">#REF!</definedName>
    <definedName name="_Regression_X" hidden="1">#N/A</definedName>
    <definedName name="_Regression_Y" hidden="1">#N/A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ga" hidden="1">#REF!</definedName>
    <definedName name="_Sort" hidden="1">#REF!</definedName>
    <definedName name="_T2" localSheetId="0" hidden="1">{#N/A,#N/A,FALSE,"1321";#N/A,#N/A,FALSE,"1324";#N/A,#N/A,FALSE,"1333";#N/A,#N/A,FALSE,"1371"}</definedName>
    <definedName name="_T2" hidden="1">{#N/A,#N/A,FALSE,"1321";#N/A,#N/A,FALSE,"1324";#N/A,#N/A,FALSE,"1333";#N/A,#N/A,FALSE,"1371"}</definedName>
    <definedName name="_Table1_In1" hidden="1">#N/A</definedName>
    <definedName name="_Table1_Out" hidden="1">#N/A</definedName>
    <definedName name="_Table2_In1" hidden="1">#N/A</definedName>
    <definedName name="_Table2_In2" hidden="1">#N/A</definedName>
    <definedName name="_Table2_Out" hidden="1">#N/A</definedName>
    <definedName name="_Table3_In2" hidden="1">#REF!</definedName>
    <definedName name="_V1" localSheetId="0" hidden="1">{#N/A,#N/A,FALSE,"FlCx99";#N/A,#N/A,FALSE,"Dívida99"}</definedName>
    <definedName name="_V1" hidden="1">{#N/A,#N/A,FALSE,"FlCx99";#N/A,#N/A,FALSE,"Dívida99"}</definedName>
    <definedName name="_V10" localSheetId="0" hidden="1">{#N/A,#N/A,FALSE,"FlCx99";#N/A,#N/A,FALSE,"Dívida99"}</definedName>
    <definedName name="_V10" hidden="1">{#N/A,#N/A,FALSE,"FlCx99";#N/A,#N/A,FALSE,"Dívida99"}</definedName>
    <definedName name="_V11" localSheetId="0" hidden="1">{#N/A,#N/A,FALSE,"FlCx99";#N/A,#N/A,FALSE,"Dívida99"}</definedName>
    <definedName name="_V11" hidden="1">{#N/A,#N/A,FALSE,"FlCx99";#N/A,#N/A,FALSE,"Dívida99"}</definedName>
    <definedName name="_V12" localSheetId="0" hidden="1">{#N/A,#N/A,FALSE,"FlCx99";#N/A,#N/A,FALSE,"Dívida99"}</definedName>
    <definedName name="_V12" hidden="1">{#N/A,#N/A,FALSE,"FlCx99";#N/A,#N/A,FALSE,"Dívida99"}</definedName>
    <definedName name="_V13" localSheetId="0" hidden="1">{#N/A,#N/A,FALSE,"FlCx99";#N/A,#N/A,FALSE,"Dívida99"}</definedName>
    <definedName name="_V13" hidden="1">{#N/A,#N/A,FALSE,"FlCx99";#N/A,#N/A,FALSE,"Dívida99"}</definedName>
    <definedName name="_V14" localSheetId="0" hidden="1">{#N/A,#N/A,FALSE,"FlCx99";#N/A,#N/A,FALSE,"Dívida99"}</definedName>
    <definedName name="_V14" hidden="1">{#N/A,#N/A,FALSE,"FlCx99";#N/A,#N/A,FALSE,"Dívida99"}</definedName>
    <definedName name="_V15" localSheetId="0" hidden="1">{#N/A,#N/A,FALSE,"FlCx99";#N/A,#N/A,FALSE,"Dívida99"}</definedName>
    <definedName name="_V15" hidden="1">{#N/A,#N/A,FALSE,"FlCx99";#N/A,#N/A,FALSE,"Dívida99"}</definedName>
    <definedName name="_V3" localSheetId="0" hidden="1">{#N/A,#N/A,FALSE,"FlCx99";#N/A,#N/A,FALSE,"Dívida99"}</definedName>
    <definedName name="_V3" hidden="1">{#N/A,#N/A,FALSE,"FlCx99";#N/A,#N/A,FALSE,"Dívida99"}</definedName>
    <definedName name="_V4" localSheetId="0" hidden="1">{#N/A,#N/A,FALSE,"FlCx99";#N/A,#N/A,FALSE,"Dívida99"}</definedName>
    <definedName name="_V4" hidden="1">{#N/A,#N/A,FALSE,"FlCx99";#N/A,#N/A,FALSE,"Dívida99"}</definedName>
    <definedName name="_V5" localSheetId="0" hidden="1">{#N/A,#N/A,FALSE,"FlCx99";#N/A,#N/A,FALSE,"Dívida99"}</definedName>
    <definedName name="_V5" hidden="1">{#N/A,#N/A,FALSE,"FlCx99";#N/A,#N/A,FALSE,"Dívida99"}</definedName>
    <definedName name="_V6" localSheetId="0" hidden="1">{#N/A,#N/A,FALSE,"FlCx99";#N/A,#N/A,FALSE,"Dívida99"}</definedName>
    <definedName name="_V6" hidden="1">{#N/A,#N/A,FALSE,"FlCx99";#N/A,#N/A,FALSE,"Dívida99"}</definedName>
    <definedName name="_V7" localSheetId="0" hidden="1">{#N/A,#N/A,FALSE,"FlCx99";#N/A,#N/A,FALSE,"Dívida99"}</definedName>
    <definedName name="_V7" hidden="1">{#N/A,#N/A,FALSE,"FlCx99";#N/A,#N/A,FALSE,"Dívida99"}</definedName>
    <definedName name="_V8" localSheetId="0" hidden="1">{#N/A,#N/A,FALSE,"FlCx99";#N/A,#N/A,FALSE,"Dívida99"}</definedName>
    <definedName name="_V8" hidden="1">{#N/A,#N/A,FALSE,"FlCx99";#N/A,#N/A,FALSE,"Dívida99"}</definedName>
    <definedName name="_V9" localSheetId="0" hidden="1">{#N/A,#N/A,FALSE,"FlCx99";#N/A,#N/A,FALSE,"Dívida99"}</definedName>
    <definedName name="_V9" hidden="1">{#N/A,#N/A,FALSE,"FlCx99";#N/A,#N/A,FALSE,"Dívida99"}</definedName>
    <definedName name="_vhc1" localSheetId="0" hidden="1">{#N/A,#N/A,FALSE,"FlCx99";#N/A,#N/A,FALSE,"Dívida99"}</definedName>
    <definedName name="_vhc1" hidden="1">{#N/A,#N/A,FALSE,"FlCx99";#N/A,#N/A,FALSE,"Dívida99"}</definedName>
    <definedName name="_w1" localSheetId="0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hidden="1">{"PVGraph2",#N/A,FALSE,"PV Data"}</definedName>
    <definedName name="_w9" localSheetId="0" hidden="1">{"PVGraph2",#N/A,FALSE,"PV Data"}</definedName>
    <definedName name="_w9" hidden="1">{"PVGraph2",#N/A,FALSE,"PV Data"}</definedName>
    <definedName name="_wrn1" localSheetId="0" hidden="1">{"FCB_ALL",#N/A,FALSE,"FCB"}</definedName>
    <definedName name="_wrn1" hidden="1">{"FCB_ALL",#N/A,FALSE,"FCB"}</definedName>
    <definedName name="_wrn9" localSheetId="0" hidden="1">{"FCB_ALL",#N/A,FALSE,"FCB"}</definedName>
    <definedName name="_wrn9" hidden="1">{"FCB_ALL",#N/A,FALSE,"FCB"}</definedName>
    <definedName name="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2" localSheetId="0" hidden="1">{"PVGraph2",#N/A,FALSE,"PV Data"}</definedName>
    <definedName name="_x2" hidden="1">{"PVGraph2",#N/A,FALSE,"PV Data"}</definedName>
    <definedName name="_xlcn.WorksheetConnection_EstadosderesultadoscomparativosJulio.xlsxTabla11" hidden="1">#N/A</definedName>
    <definedName name="_xlcn.WorksheetConnection_Tabela__192.168.1.223_DB_DrConsulta_Acidentes1" hidden="1">#REF!</definedName>
    <definedName name="_y2" localSheetId="0" hidden="1">{"PVGraph2",#N/A,FALSE,"PV Data"}</definedName>
    <definedName name="_y2" hidden="1">{"PVGraph2",#N/A,FALSE,"PV Data"}</definedName>
    <definedName name="AAA_DOCTOPS" hidden="1">"AAA_SET"</definedName>
    <definedName name="AAA_duser" hidden="1">"OFF"</definedName>
    <definedName name="aaaa" hidden="1">#REF!</definedName>
    <definedName name="aaaaa" hidden="1">#REF!</definedName>
    <definedName name="aaaaaaaaaaaaaa" localSheetId="0" hidden="1">{"'RR'!$A$2:$E$81"}</definedName>
    <definedName name="aaaaaaaaaaaaaa" hidden="1">{"'RR'!$A$2:$E$81"}</definedName>
    <definedName name="aaaaaaaaaaaaaaaaaaaaaaaaaaaasssssssssssssssss" localSheetId="0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aaaaaaaaaaaaaaaaaaaaaaaaaaaasssssssssssssssss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ld" localSheetId="0" hidden="1">{#N/A,#N/A,FALSE,"Hoja1";#N/A,#N/A,FALSE,"Hoja2"}</definedName>
    <definedName name="aald" hidden="1">{#N/A,#N/A,FALSE,"Hoja1";#N/A,#N/A,FALSE,"Hoja2"}</definedName>
    <definedName name="aasa" hidden="1">#REF!</definedName>
    <definedName name="ab" localSheetId="0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aba" hidden="1">#REF!</definedName>
    <definedName name="ABBA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ABBA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abc" localSheetId="0" hidden="1">{#N/A,#N/A,FALSE,"1321";#N/A,#N/A,FALSE,"1324";#N/A,#N/A,FALSE,"1333";#N/A,#N/A,FALSE,"1371"}</definedName>
    <definedName name="abc" hidden="1">{#N/A,#N/A,FALSE,"1321";#N/A,#N/A,FALSE,"1324";#N/A,#N/A,FALSE,"1333";#N/A,#N/A,FALSE,"1371"}</definedName>
    <definedName name="abcdef" localSheetId="0" hidden="1">{"'PXR_6500'!$A$1:$I$124"}</definedName>
    <definedName name="abcdef" hidden="1">{"'PXR_6500'!$A$1:$I$124"}</definedName>
    <definedName name="ABN" localSheetId="0" hidden="1">{"'PXR_6500'!$A$1:$I$124"}</definedName>
    <definedName name="ABN" hidden="1">{"'PXR_6500'!$A$1:$I$124"}</definedName>
    <definedName name="abx" localSheetId="0" hidden="1">{"'Edit'!$A$1:$V$2277"}</definedName>
    <definedName name="abx" hidden="1">{"'Edit'!$A$1:$V$2277"}</definedName>
    <definedName name="Access_Button" hidden="1">"Feb_Sheet2_List"</definedName>
    <definedName name="AccessDatabase" hidden="1">"G:\Controlete_Orcamentario\Andrade\RESUMO GERAL_AAA.mdb"</definedName>
    <definedName name="ACwvu.ACC." hidden="1">#REF!</definedName>
    <definedName name="ACwvu.AFAC." hidden="1">#REF!</definedName>
    <definedName name="ACwvu.ELIMLUCRO." hidden="1">#REF!</definedName>
    <definedName name="ACwvu.ESTOQUES." hidden="1">#REF!</definedName>
    <definedName name="ACwvu.Fabio." hidden="1">#REF!</definedName>
    <definedName name="ACwvu.inputs._.raw._.data." hidden="1">#REF!</definedName>
    <definedName name="ACwvu.LPERDAS." hidden="1">#REF!</definedName>
    <definedName name="ACwvu.RES432." hidden="1">#REF!</definedName>
    <definedName name="ACwvu.summary1." hidden="1">#REF!</definedName>
    <definedName name="ACwvu.summary2." hidden="1">#REF!</definedName>
    <definedName name="ACwvu.summary3." hidden="1">#REF!</definedName>
    <definedName name="ada" hidden="1">#REF!</definedName>
    <definedName name="adeletar" localSheetId="0" hidden="1">{"TotalGeralDespesasPorArea",#N/A,FALSE,"VinculosAccessEfetivo"}</definedName>
    <definedName name="adeletar" hidden="1">{"TotalGeralDespesasPorArea",#N/A,FALSE,"VinculosAccessEfetivo"}</definedName>
    <definedName name="adeletar1" localSheetId="0" hidden="1">{"TotalGeralDespesasPorArea",#N/A,FALSE,"VinculosAccessEfetivo"}</definedName>
    <definedName name="adeletar1" hidden="1">{"TotalGeralDespesasPorArea",#N/A,FALSE,"VinculosAccessEfetivo"}</definedName>
    <definedName name="adeletar10" localSheetId="0" hidden="1">{"TotalGeralDespesasPorArea",#N/A,FALSE,"VinculosAccessEfetivo"}</definedName>
    <definedName name="adeletar10" hidden="1">{"TotalGeralDespesasPorArea",#N/A,FALSE,"VinculosAccessEfetivo"}</definedName>
    <definedName name="adeletar2" localSheetId="0" hidden="1">{"TotalGeralDespesasPorArea",#N/A,FALSE,"VinculosAccessEfetivo"}</definedName>
    <definedName name="adeletar2" hidden="1">{"TotalGeralDespesasPorArea",#N/A,FALSE,"VinculosAccessEfetivo"}</definedName>
    <definedName name="adeletar20" localSheetId="0" hidden="1">{"TotalGeralDespesasPorArea",#N/A,FALSE,"VinculosAccessEfetivo"}</definedName>
    <definedName name="adeletar20" hidden="1">{"TotalGeralDespesasPorArea",#N/A,FALSE,"VinculosAccessEfetivo"}</definedName>
    <definedName name="adeletar4" localSheetId="0" hidden="1">{"TotalGeralDespesasPorArea",#N/A,FALSE,"VinculosAccessEfetivo"}</definedName>
    <definedName name="adeletar4" hidden="1">{"TotalGeralDespesasPorArea",#N/A,FALSE,"VinculosAccessEfetivo"}</definedName>
    <definedName name="adeletar50" localSheetId="0" hidden="1">{"TotalGeralDespesasPorArea",#N/A,FALSE,"VinculosAccessEfetivo"}</definedName>
    <definedName name="adeletar50" hidden="1">{"TotalGeralDespesasPorArea",#N/A,FALSE,"VinculosAccessEfetivo"}</definedName>
    <definedName name="adeletar51" localSheetId="0" hidden="1">{"TotalGeralDespesasPorArea",#N/A,FALSE,"VinculosAccessEfetivo"}</definedName>
    <definedName name="adeletar51" hidden="1">{"TotalGeralDespesasPorArea",#N/A,FALSE,"VinculosAccessEfetivo"}</definedName>
    <definedName name="adfadf" hidden="1">#REF!</definedName>
    <definedName name="ads" localSheetId="0" hidden="1">{"FCB_ALL",#N/A,FALSE,"FCB"}</definedName>
    <definedName name="ads" hidden="1">{"FCB_ALL",#N/A,FALSE,"FCB"}</definedName>
    <definedName name="adsew" localSheetId="0" hidden="1">{"FCB_ALL",#N/A,FALSE,"FCB"}</definedName>
    <definedName name="adsew" hidden="1">{"FCB_ALL",#N/A,FALSE,"FCB"}</definedName>
    <definedName name="adsfa" hidden="1">#REF!</definedName>
    <definedName name="adsfaw" localSheetId="0" hidden="1">{"FCB_ALL",#N/A,FALSE,"FCB";"GREY_ALL",#N/A,FALSE,"GREY"}</definedName>
    <definedName name="adsfaw" hidden="1">{"FCB_ALL",#N/A,FALSE,"FCB";"GREY_ALL",#N/A,FALSE,"GREY"}</definedName>
    <definedName name="adsfca" localSheetId="0" hidden="1">{"FCB_ALL",#N/A,FALSE,"FCB";"GREY_ALL",#N/A,FALSE,"GREY"}</definedName>
    <definedName name="adsfca" hidden="1">{"FCB_ALL",#N/A,FALSE,"FCB";"GREY_ALL",#N/A,FALSE,"GREY"}</definedName>
    <definedName name="adsfeklj" localSheetId="0" hidden="1">{"FCB_ALL",#N/A,FALSE,"FCB"}</definedName>
    <definedName name="adsfeklj" hidden="1">{"FCB_ALL",#N/A,FALSE,"FCB"}</definedName>
    <definedName name="adsfgadfv" hidden="1">#REF!</definedName>
    <definedName name="adsfkl" localSheetId="0" hidden="1">{"FCB_ALL",#N/A,FALSE,"FCB";"GREY_ALL",#N/A,FALSE,"GREY"}</definedName>
    <definedName name="adsfkl" hidden="1">{"FCB_ALL",#N/A,FALSE,"FCB";"GREY_ALL",#N/A,FALSE,"GREY"}</definedName>
    <definedName name="adsga" localSheetId="0" hidden="1">{"FCB_ALL",#N/A,FALSE,"FCB"}</definedName>
    <definedName name="adsga" hidden="1">{"FCB_ALL",#N/A,FALSE,"FCB"}</definedName>
    <definedName name="adsgawe" localSheetId="0" hidden="1">{"FCB_ALL",#N/A,FALSE,"FCB"}</definedName>
    <definedName name="adsgawe" hidden="1">{"FCB_ALL",#N/A,FALSE,"FCB"}</definedName>
    <definedName name="adss" hidden="1">#REF!</definedName>
    <definedName name="adwasd" hidden="1">4</definedName>
    <definedName name="adwdlkj" localSheetId="0" hidden="1">{"FCB_ALL",#N/A,FALSE,"FCB"}</definedName>
    <definedName name="adwdlkj" hidden="1">{"FCB_ALL",#N/A,FALSE,"FCB"}</definedName>
    <definedName name="aefa" hidden="1">#REF!</definedName>
    <definedName name="aew" hidden="1">#REF!</definedName>
    <definedName name="aewfwe" localSheetId="0" hidden="1">{#N/A,#N/A,FALSE,"Brad_DCFM";#N/A,#N/A,FALSE,"Nick_DCFM";#N/A,#N/A,FALSE,"Mobile_DCFM"}</definedName>
    <definedName name="aewfwe" hidden="1">{#N/A,#N/A,FALSE,"Brad_DCFM";#N/A,#N/A,FALSE,"Nick_DCFM";#N/A,#N/A,FALSE,"Mobile_DCFM"}</definedName>
    <definedName name="afasd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afasd" hidden="1">{"Assumptions1",#N/A,FALSE,"Assumptions";"MergerPlans1","20yearamort",FALSE,"MergerPlans";"MergerPlans1","40yearamort",FALSE,"MergerPlans";"MergerPlans2",#N/A,FALSE,"MergerPlans";"inputs",#N/A,FALSE,"MergerPlans"}</definedName>
    <definedName name="afge" localSheetId="0" hidden="1">{"FCB_ALL",#N/A,FALSE,"FCB";"GREY_ALL",#N/A,FALSE,"GREY"}</definedName>
    <definedName name="afge" hidden="1">{"FCB_ALL",#N/A,FALSE,"FCB";"GREY_ALL",#N/A,FALSE,"GREY"}</definedName>
    <definedName name="agne" localSheetId="0" hidden="1">{"FCB_ALL",#N/A,FALSE,"FCB";"GREY_ALL",#N/A,FALSE,"GREY"}</definedName>
    <definedName name="agne" hidden="1">{"FCB_ALL",#N/A,FALSE,"FCB";"GREY_ALL",#N/A,FALSE,"GREY"}</definedName>
    <definedName name="agos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roarte" localSheetId="0" hidden="1">{#N/A,#N/A,FALSE,"1321";#N/A,#N/A,FALSE,"1324";#N/A,#N/A,FALSE,"1333";#N/A,#N/A,FALSE,"1371"}</definedName>
    <definedName name="Agroarte" hidden="1">{#N/A,#N/A,FALSE,"1321";#N/A,#N/A,FALSE,"1324";#N/A,#N/A,FALSE,"1333";#N/A,#N/A,FALSE,"1371"}</definedName>
    <definedName name="ahge" localSheetId="0" hidden="1">{"FCB_ALL",#N/A,FALSE,"FCB";"GREY_ALL",#N/A,FALSE,"GREY"}</definedName>
    <definedName name="ahge" hidden="1">{"FCB_ALL",#N/A,FALSE,"FCB";"GREY_ALL",#N/A,FALSE,"GREY"}</definedName>
    <definedName name="al" localSheetId="0" hidden="1">{"MDU Equipments",#N/A,FALSE,"Custos Equipamentos"}</definedName>
    <definedName name="al" hidden="1">{"MDU Equipments",#N/A,FALSE,"Custos Equipamentos"}</definedName>
    <definedName name="alda" hidden="1">#REF!</definedName>
    <definedName name="ale" localSheetId="0" hidden="1">{"Fixed Assets equipments",#N/A,FALSE,"Import-inventory Flow"}</definedName>
    <definedName name="ale" hidden="1">{"Fixed Assets equipments",#N/A,FALSE,"Import-inventory Flow"}</definedName>
    <definedName name="alexandre" localSheetId="0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alexandre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ALL" localSheetId="0" hidden="1">{"'Edit'!$A$1:$V$2277"}</definedName>
    <definedName name="ALL" hidden="1">{"'Edit'!$A$1:$V$2277"}</definedName>
    <definedName name="almena" hidden="1">#REF!</definedName>
    <definedName name="aluguel" localSheetId="0" hidden="1">{#N/A,#N/A,FALSE,"PACCIL";#N/A,#N/A,FALSE,"PAITACAN";#N/A,#N/A,FALSE,"PARECO";#N/A,#N/A,FALSE,"PA62";#N/A,#N/A,FALSE,"PAFINAL";#N/A,#N/A,FALSE,"PARECONF";#N/A,#N/A,FALSE,"PARECOND"}</definedName>
    <definedName name="aluguel" hidden="1">{#N/A,#N/A,FALSE,"PACCIL";#N/A,#N/A,FALSE,"PAITACAN";#N/A,#N/A,FALSE,"PARECO";#N/A,#N/A,FALSE,"PA62";#N/A,#N/A,FALSE,"PAFINAL";#N/A,#N/A,FALSE,"PARECONF";#N/A,#N/A,FALSE,"PARECOND"}</definedName>
    <definedName name="ANALYSIS_REP" localSheetId="0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ANALYSIS_REP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animal" localSheetId="0" hidden="1">{"Imported by GLB",#N/A,FALSE,"Custo imp. GLB"}</definedName>
    <definedName name="animal" hidden="1">{"Imported by GLB",#N/A,FALSE,"Custo imp. GLB"}</definedName>
    <definedName name="anscount" hidden="1">2</definedName>
    <definedName name="antecipações" localSheetId="0" hidden="1">{"Fecha_Outubro",#N/A,FALSE,"FECHAMENTO-2002 ";"Defer_Outubro",#N/A,FALSE,"DIFERIDO";"Pis_Outubro",#N/A,FALSE,"PIS COFINS";"Iss_Outubro",#N/A,FALSE,"ISS"}</definedName>
    <definedName name="antecipações" hidden="1">{"Fecha_Outubro",#N/A,FALSE,"FECHAMENTO-2002 ";"Defer_Outubro",#N/A,FALSE,"DIFERIDO";"Pis_Outubro",#N/A,FALSE,"PIS COFINS";"Iss_Outubro",#N/A,FALSE,"ISS"}</definedName>
    <definedName name="ANTICIPO" localSheetId="0" hidden="1">{"'Balance'!$A$1:$J$46","'Balance'!$A$1","'Balance'!$A$1"}</definedName>
    <definedName name="ANTICIPO" hidden="1">{"'Balance'!$A$1:$J$46","'Balance'!$A$1","'Balance'!$A$1"}</definedName>
    <definedName name="antonio" localSheetId="0" hidden="1">{#N/A,"70% Success",FALSE,"Sales Forecast";#N/A,#N/A,FALSE,"Sheet2"}</definedName>
    <definedName name="antonio" hidden="1">{#N/A,"70% Success",FALSE,"Sales Forecast";#N/A,#N/A,FALSE,"Sheet2"}</definedName>
    <definedName name="APL" localSheetId="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APL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aplicação" localSheetId="0" hidden="1">{#N/A,#N/A,FALSE,"1321";#N/A,#N/A,FALSE,"1324";#N/A,#N/A,FALSE,"1333";#N/A,#N/A,FALSE,"1371"}</definedName>
    <definedName name="aplicação" hidden="1">{#N/A,#N/A,FALSE,"1321";#N/A,#N/A,FALSE,"1324";#N/A,#N/A,FALSE,"1333";#N/A,#N/A,FALSE,"1371"}</definedName>
    <definedName name="as" localSheetId="0" hidden="1">{"SOC E MEN balanços",#N/A,FALSE,"BALFEV97"}</definedName>
    <definedName name="as" hidden="1">{"SOC E MEN balanços",#N/A,FALSE,"BALFEV97"}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qas" hidden="1">#REF!</definedName>
    <definedName name="asasq" hidden="1">#REF!</definedName>
    <definedName name="asd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asd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asda" hidden="1">#REF!</definedName>
    <definedName name="ASDads" hidden="1">#REF!</definedName>
    <definedName name="ASDASD" hidden="1">#REF!</definedName>
    <definedName name="asdaw" localSheetId="0" hidden="1">{"FCB_ALL",#N/A,FALSE,"FCB"}</definedName>
    <definedName name="asdaw" hidden="1">{"FCB_ALL",#N/A,FALSE,"FCB"}</definedName>
    <definedName name="asdfdd" hidden="1">"AS2DocumentBrowse"</definedName>
    <definedName name="asdfe" localSheetId="0" hidden="1">{"FCB_ALL",#N/A,FALSE,"FCB"}</definedName>
    <definedName name="asdfe" hidden="1">{"FCB_ALL",#N/A,FALSE,"FCB"}</definedName>
    <definedName name="asdfn" localSheetId="0" hidden="1">{"FCB_ALL",#N/A,FALSE,"FCB";"GREY_ALL",#N/A,FALSE,"GREY"}</definedName>
    <definedName name="asdfn" hidden="1">{"FCB_ALL",#N/A,FALSE,"FCB";"GREY_ALL",#N/A,FALSE,"GREY"}</definedName>
    <definedName name="asdgaew" localSheetId="0" hidden="1">{"FCB_ALL",#N/A,FALSE,"FCB"}</definedName>
    <definedName name="asdgaew" hidden="1">{"FCB_ALL",#N/A,FALSE,"FCB"}</definedName>
    <definedName name="asdqs" hidden="1">#REF!</definedName>
    <definedName name="asdr5" localSheetId="0" hidden="1">{"FCB_ALL",#N/A,FALSE,"FCB";"GREY_ALL",#N/A,FALSE,"GREY"}</definedName>
    <definedName name="asdr5" hidden="1">{"FCB_ALL",#N/A,FALSE,"FCB";"GREY_ALL",#N/A,FALSE,"GREY"}</definedName>
    <definedName name="asfd" localSheetId="0" hidden="1">{"FCB_ALL",#N/A,FALSE,"FCB"}</definedName>
    <definedName name="asfd" hidden="1">{"FCB_ALL",#N/A,FALSE,"FCB"}</definedName>
    <definedName name="ASSAD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dsad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dsad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S" localSheetId="0" hidden="1">{"FCB_ALL",#N/A,FALSE,"FCB"}</definedName>
    <definedName name="ASSS" hidden="1">{"FCB_ALL",#N/A,FALSE,"FCB"}</definedName>
    <definedName name="assssss" localSheetId="0" hidden="1">{"FCB_ALL",#N/A,FALSE,"FCB"}</definedName>
    <definedName name="assssss" hidden="1">{"FCB_ALL",#N/A,FALSE,"FCB"}</definedName>
    <definedName name="awe" localSheetId="0" hidden="1">{"FCB_ALL",#N/A,FALSE,"FCB"}</definedName>
    <definedName name="awe" hidden="1">{"FCB_ALL",#N/A,FALSE,"FCB"}</definedName>
    <definedName name="awea" localSheetId="0" hidden="1">{"FCB_ALL",#N/A,FALSE,"FCB";"GREY_ALL",#N/A,FALSE,"GREY"}</definedName>
    <definedName name="awea" hidden="1">{"FCB_ALL",#N/A,FALSE,"FCB";"GREY_ALL",#N/A,FALSE,"GREY"}</definedName>
    <definedName name="BA" localSheetId="0" hidden="1">{#N/A,#N/A,FALSE,"Earn'gs &amp; Val'n";#N/A,#N/A,FALSE,"Interim"}</definedName>
    <definedName name="BA" hidden="1">{#N/A,#N/A,FALSE,"Earn'gs &amp; Val'n";#N/A,#N/A,FALSE,"Interim"}</definedName>
    <definedName name="BalType" hidden="1">TRUE</definedName>
    <definedName name="bb" localSheetId="0" hidden="1">{#N/A,#N/A,FALSE,"PACCIL";#N/A,#N/A,FALSE,"PAITACAN";#N/A,#N/A,FALSE,"PARECO";#N/A,#N/A,FALSE,"PA62";#N/A,#N/A,FALSE,"PAFINAL";#N/A,#N/A,FALSE,"PARECONF";#N/A,#N/A,FALSE,"PARECOND"}</definedName>
    <definedName name="bb" hidden="1">{#N/A,#N/A,FALSE,"PACCIL";#N/A,#N/A,FALSE,"PAITACAN";#N/A,#N/A,FALSE,"PARECO";#N/A,#N/A,FALSE,"PA62";#N/A,#N/A,FALSE,"PAFINAL";#N/A,#N/A,FALSE,"PARECONF";#N/A,#N/A,FALSE,"PARECOND"}</definedName>
    <definedName name="bbbb" hidden="1">2</definedName>
    <definedName name="BCHART" hidden="1">#REF!</definedName>
    <definedName name="BD_YTS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elnew" localSheetId="0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G_Del" hidden="1">15</definedName>
    <definedName name="BG_Ins" hidden="1">4</definedName>
    <definedName name="BG_Mod" hidden="1">6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001" hidden="1">#REF!</definedName>
    <definedName name="BLPH1002" hidden="1">#REF!</definedName>
    <definedName name="BLPH1003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m" localSheetId="0" hidden="1">{"wpocash",#N/A,FALSE,"WPOALLT";"wpoinc",#N/A,FALSE,"WPOALLT";"wpobroad",#N/A,FALSE,"WPOALLT";"wpocable",#N/A,FALSE,"WPOALLT";"wpoexcl",#N/A,FALSE,"WPOALLT";"wponwsweek",#N/A,FALSE,"WPOALLT";"wpopost",#N/A,FALSE,"WPOALLT"}</definedName>
    <definedName name="bnm" hidden="1">{"wpocash",#N/A,FALSE,"WPOALLT";"wpoinc",#N/A,FALSE,"WPOALLT";"wpobroad",#N/A,FALSE,"WPOALLT";"wpocable",#N/A,FALSE,"WPOALLT";"wpoexcl",#N/A,FALSE,"WPOALLT";"wponwsweek",#N/A,FALSE,"WPOALLT";"wpopost",#N/A,FALSE,"WPOALLT"}</definedName>
    <definedName name="bnmbmm" localSheetId="0" hidden="1">{"wpocash",#N/A,FALSE,"WPOALLT";"wpoinc",#N/A,FALSE,"WPOALLT";"wpobroad",#N/A,FALSE,"WPOALLT";"wpocable",#N/A,FALSE,"WPOALLT";"wpoexcl",#N/A,FALSE,"WPOALLT";"wponwsweek",#N/A,FALSE,"WPOALLT";"wpopost",#N/A,FALSE,"WPOALLT"}</definedName>
    <definedName name="bnmbmm" hidden="1">{"wpocash",#N/A,FALSE,"WPOALLT";"wpoinc",#N/A,FALSE,"WPOALLT";"wpobroad",#N/A,FALSE,"WPOALLT";"wpocable",#N/A,FALSE,"WPOALLT";"wpoexcl",#N/A,FALSE,"WPOALLT";"wponwsweek",#N/A,FALSE,"WPOALLT";"wpopost",#N/A,FALSE,"WPOALLT"}</definedName>
    <definedName name="bnmbnm" localSheetId="0" hidden="1">{"wpocash",#N/A,FALSE,"WPOALLT";"wpoinc",#N/A,FALSE,"WPOALLT";"wpobroad",#N/A,FALSE,"WPOALLT";"wpocable",#N/A,FALSE,"WPOALLT";"wpoexcl",#N/A,FALSE,"WPOALLT";"wponwsweek",#N/A,FALSE,"WPOALLT";"wpopost",#N/A,FALSE,"WPOALLT"}</definedName>
    <definedName name="bnmbnm" hidden="1">{"wpocash",#N/A,FALSE,"WPOALLT";"wpoinc",#N/A,FALSE,"WPOALLT";"wpobroad",#N/A,FALSE,"WPOALLT";"wpocable",#N/A,FALSE,"WPOALLT";"wpoexcl",#N/A,FALSE,"WPOALLT";"wponwsweek",#N/A,FALSE,"WPOALLT";"wpopost",#N/A,FALSE,"WPOALLT"}</definedName>
    <definedName name="bnmbnmb" localSheetId="0" hidden="1">{"FCB_ALL",#N/A,FALSE,"FCB"}</definedName>
    <definedName name="bnmbnmb" hidden="1">{"FCB_ALL",#N/A,FALSE,"FCB"}</definedName>
    <definedName name="bnmbnmbn" localSheetId="0" hidden="1">{"FCB_ALL",#N/A,FALSE,"FCB";"GREY_ALL",#N/A,FALSE,"GREY"}</definedName>
    <definedName name="bnmbnmbn" hidden="1">{"FCB_ALL",#N/A,FALSE,"FCB";"GREY_ALL",#N/A,FALSE,"GREY"}</definedName>
    <definedName name="bnmbnmm" localSheetId="0" hidden="1">{"FCB_ALL",#N/A,FALSE,"FCB"}</definedName>
    <definedName name="bnmbnmm" hidden="1">{"FCB_ALL",#N/A,FALSE,"FCB"}</definedName>
    <definedName name="bnmmnb" localSheetId="0" hidden="1">{"wpocash",#N/A,FALSE,"WPOALLT";"wpoinc",#N/A,FALSE,"WPOALLT";"wpobroad",#N/A,FALSE,"WPOALLT";"wpocable",#N/A,FALSE,"WPOALLT";"wpoexcl",#N/A,FALSE,"WPOALLT";"wponwsweek",#N/A,FALSE,"WPOALLT";"wpopost",#N/A,FALSE,"WPOALLT"}</definedName>
    <definedName name="bnmmnb" hidden="1">{"wpocash",#N/A,FALSE,"WPOALLT";"wpoinc",#N/A,FALSE,"WPOALLT";"wpobroad",#N/A,FALSE,"WPOALLT";"wpocable",#N/A,FALSE,"WPOALLT";"wpoexcl",#N/A,FALSE,"WPOALLT";"wponwsweek",#N/A,FALSE,"WPOALLT";"wpopost",#N/A,FALSE,"WPOALLT"}</definedName>
    <definedName name="boston" localSheetId="0" hidden="1">{"TotalGeralDespesasPorArea",#N/A,FALSE,"VinculosAccessEfetivo"}</definedName>
    <definedName name="boston" hidden="1">{"TotalGeralDespesasPorArea",#N/A,FALSE,"VinculosAccessEfetivo"}</definedName>
    <definedName name="bvmmm" localSheetId="0" hidden="1">{"FCB_ALL",#N/A,FALSE,"FCB";"GREY_ALL",#N/A,FALSE,"GREY"}</definedName>
    <definedName name="bvmmm" hidden="1">{"FCB_ALL",#N/A,FALSE,"FCB";"GREY_ALL",#N/A,FALSE,"GREY"}</definedName>
    <definedName name="BYD" localSheetId="0" hidden="1">{#N/A,#N/A,FALSE,"Earn'gs &amp; Val'n";#N/A,#N/A,FALSE,"Interim"}</definedName>
    <definedName name="BYD" hidden="1">{#N/A,#N/A,FALSE,"Earn'gs &amp; Val'n";#N/A,#N/A,FALSE,"Interim"}</definedName>
    <definedName name="cade" localSheetId="0" hidden="1">{"FCB_ALL",#N/A,FALSE,"FCB"}</definedName>
    <definedName name="cade" hidden="1">{"FCB_ALL",#N/A,FALSE,"FCB"}</definedName>
    <definedName name="cads" localSheetId="0" hidden="1">{"FCB_ALL",#N/A,FALSE,"FCB"}</definedName>
    <definedName name="cads" hidden="1">{"FCB_ALL",#N/A,FALSE,"FCB"}</definedName>
    <definedName name="cadsf" localSheetId="0" hidden="1">{"FCB_ALL",#N/A,FALSE,"FCB"}</definedName>
    <definedName name="cadsf" hidden="1">{"FCB_ALL",#N/A,FALSE,"FCB"}</definedName>
    <definedName name="caega" localSheetId="0" hidden="1">{"FCB_ALL",#N/A,FALSE,"FCB"}</definedName>
    <definedName name="caega" hidden="1">{"FCB_ALL",#N/A,FALSE,"FCB"}</definedName>
    <definedName name="caer" localSheetId="0" hidden="1">{"FCB_ALL",#N/A,FALSE,"FCB"}</definedName>
    <definedName name="caer" hidden="1">{"FCB_ALL",#N/A,FALSE,"FCB"}</definedName>
    <definedName name="cagare" localSheetId="0" hidden="1">{"FCB_ALL",#N/A,FALSE,"FCB"}</definedName>
    <definedName name="cagare" hidden="1">{"FCB_ALL",#N/A,FALSE,"FCB"}</definedName>
    <definedName name="camiala" hidden="1">#REF!</definedName>
    <definedName name="camila" hidden="1">#REF!</definedName>
    <definedName name="canada" hidden="1">#REF!</definedName>
    <definedName name="Canadacounter" hidden="1">#REF!</definedName>
    <definedName name="capex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apex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apex0504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apex0504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APEX98" hidden="1">#REF!</definedName>
    <definedName name="carlos2" localSheetId="0" hidden="1">{"Fixed Assets equipments",#N/A,FALSE,"Import-inventory Flow"}</definedName>
    <definedName name="carlos2" hidden="1">{"Fixed Assets equipments",#N/A,FALSE,"Import-inventory Flow"}</definedName>
    <definedName name="carol" hidden="1">#REF!</definedName>
    <definedName name="cavde" localSheetId="0" hidden="1">{"FCB_ALL",#N/A,FALSE,"FCB"}</definedName>
    <definedName name="cavde" hidden="1">{"FCB_ALL",#N/A,FALSE,"FCB"}</definedName>
    <definedName name="cbs" localSheetId="0" hidden="1">{#N/A,#N/A,FALSE,"IRENDA"}</definedName>
    <definedName name="cbs" hidden="1">{#N/A,#N/A,FALSE,"IRENDA"}</definedName>
    <definedName name="CBWorkbookPriority" hidden="1">-1184384521</definedName>
    <definedName name="cc" localSheetId="0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cc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CCCC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CCC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ccccc" localSheetId="0" hidden="1">{"PARTE1",#N/A,FALSE,"Plan1"}</definedName>
    <definedName name="cccccc" hidden="1">{"PARTE1",#N/A,FALSE,"Plan1"}</definedName>
    <definedName name="ccwe" hidden="1">#REF!</definedName>
    <definedName name="cdsc" localSheetId="0" hidden="1">{#N/A,#N/A,FALSE,"FFCXOUT3"}</definedName>
    <definedName name="cdsc" hidden="1">{#N/A,#N/A,FALSE,"FFCXOUT3"}</definedName>
    <definedName name="cdscs" hidden="1">#REF!</definedName>
    <definedName name="cdscsdc" hidden="1">#REF!</definedName>
    <definedName name="cdwcklk" hidden="1">#REF!</definedName>
    <definedName name="cgaf" localSheetId="0" hidden="1">{"FCB_ALL",#N/A,FALSE,"FCB"}</definedName>
    <definedName name="cgaf" hidden="1">{"FCB_ALL",#N/A,FALSE,"FCB"}</definedName>
    <definedName name="cgafde" localSheetId="0" hidden="1">{"FCB_ALL",#N/A,FALSE,"FCB"}</definedName>
    <definedName name="cgafde" hidden="1">{"FCB_ALL",#N/A,FALSE,"FCB"}</definedName>
    <definedName name="Chandler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ngeRange" hidden="1">#N/A</definedName>
    <definedName name="chgeas" localSheetId="0" hidden="1">{"FCB_ALL",#N/A,FALSE,"FCB"}</definedName>
    <definedName name="chgeas" hidden="1">{"FCB_ALL",#N/A,FALSE,"FCB"}</definedName>
    <definedName name="CIQWBGuid" hidden="1">"b315e233-aaf1-4a38-b6f5-00e3df79f053"</definedName>
    <definedName name="CIQWBInfo" hidden="1">"{ ""CIQVersion"":""9.50.2716.4594"" }"</definedName>
    <definedName name="claudia" localSheetId="0" hidden="1">{#N/A,"70% Success",FALSE,"Sales Forecast";#N/A,#N/A,FALSE,"Sheet2"}</definedName>
    <definedName name="claudia" hidden="1">{#N/A,"70% Success",FALSE,"Sales Forecast";#N/A,#N/A,FALSE,"Sheet2"}</definedName>
    <definedName name="cmailala" hidden="1">#REF!</definedName>
    <definedName name="COCO" localSheetId="0" hidden="1">{#N/A,#N/A,FALSE,"Aging Summary";#N/A,#N/A,FALSE,"Ratio Analysis";#N/A,#N/A,FALSE,"Test 120 Day Accts";#N/A,#N/A,FALSE,"Tickmarks"}</definedName>
    <definedName name="COCO" hidden="1">{#N/A,#N/A,FALSE,"Aging Summary";#N/A,#N/A,FALSE,"Ratio Analysis";#N/A,#N/A,FALSE,"Test 120 Day Accts";#N/A,#N/A,FALSE,"Tickmarks"}</definedName>
    <definedName name="COFINS" localSheetId="0" hidden="1">{"Fecha_Dezembro",#N/A,FALSE,"FECHAMENTO-2002 ";"Defer_Dezermbro",#N/A,FALSE,"DIFERIDO";"Pis_Dezembro",#N/A,FALSE,"PIS COFINS";"Iss_Dezembro",#N/A,FALSE,"ISS"}</definedName>
    <definedName name="COFINS" hidden="1">{"Fecha_Dezembro",#N/A,FALSE,"FECHAMENTO-2002 ";"Defer_Dezermbro",#N/A,FALSE,"DIFERIDO";"Pis_Dezembro",#N/A,FALSE,"PIS COFINS";"Iss_Dezembro",#N/A,FALSE,"ISS"}</definedName>
    <definedName name="cofins1" localSheetId="0" hidden="1">{"Fecha_Outubro",#N/A,FALSE,"FECHAMENTO-2002 ";"Defer_Outubro",#N/A,FALSE,"DIFERIDO";"Pis_Outubro",#N/A,FALSE,"PIS COFINS";"Iss_Outubro",#N/A,FALSE,"ISS"}</definedName>
    <definedName name="cofins1" hidden="1">{"Fecha_Outubro",#N/A,FALSE,"FECHAMENTO-2002 ";"Defer_Outubro",#N/A,FALSE,"DIFERIDO";"Pis_Outubro",#N/A,FALSE,"PIS COFINS";"Iss_Outubro",#N/A,FALSE,"ISS"}</definedName>
    <definedName name="Concessão_Malha_Sul" localSheetId="0" hidden="1">{#N/A,"100% Success",TRUE,"Sales Forecast";#N/A,#N/A,TRUE,"Sheet2"}</definedName>
    <definedName name="Concessão_Malha_Sul" hidden="1">{#N/A,"100% Success",TRUE,"Sales Forecast";#N/A,#N/A,TRUE,"Sheet2"}</definedName>
    <definedName name="conciliacai" hidden="1">"AS2DocumentBrowse"</definedName>
    <definedName name="CONT02092000.4" localSheetId="0" hidden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entsHelp" hidden="1">#N/A</definedName>
    <definedName name="continuar" hidden="1">#REF!</definedName>
    <definedName name="Cortes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rtes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untermeasures" hidden="1">#REF!</definedName>
    <definedName name="Cover" hidden="1">#N/A</definedName>
    <definedName name="CreateTable" hidden="1">#N/A</definedName>
    <definedName name="cscdsc" hidden="1">#REF!</definedName>
    <definedName name="cscdscs" hidden="1">#REF!</definedName>
    <definedName name="cscscw" hidden="1">#REF!</definedName>
    <definedName name="cscsdc" hidden="1">#REF!</definedName>
    <definedName name="cscsdcsd" hidden="1">#REF!</definedName>
    <definedName name="CSG" localSheetId="0" hidden="1">{"cap_structure",#N/A,FALSE,"Graph-Mkt Cap";"price",#N/A,FALSE,"Graph-Price";"ebit",#N/A,FALSE,"Graph-EBITDA";"ebitda",#N/A,FALSE,"Graph-EBITDA"}</definedName>
    <definedName name="CSG" hidden="1">{"cap_structure",#N/A,FALSE,"Graph-Mkt Cap";"price",#N/A,FALSE,"Graph-Price";"ebit",#N/A,FALSE,"Graph-EBITDA";"ebitda",#N/A,FALSE,"Graph-EBITDA"}</definedName>
    <definedName name="Csh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sh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CSSL1998" localSheetId="0" hidden="1">{#N/A,#N/A,FALSE,"IR E CS 1997";#N/A,#N/A,FALSE,"PR ND";#N/A,#N/A,FALSE,"8191";#N/A,#N/A,FALSE,"8383";#N/A,#N/A,FALSE,"MP 1024";#N/A,#N/A,FALSE,"AD_EX_97";#N/A,#N/A,FALSE,"BD 97"}</definedName>
    <definedName name="CSSL1998" hidden="1">{#N/A,#N/A,FALSE,"IR E CS 1997";#N/A,#N/A,FALSE,"PR ND";#N/A,#N/A,FALSE,"8191";#N/A,#N/A,FALSE,"8383";#N/A,#N/A,FALSE,"MP 1024";#N/A,#N/A,FALSE,"AD_EX_97";#N/A,#N/A,FALSE,"BD 97"}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vade" localSheetId="0" hidden="1">{"FCB_ALL",#N/A,FALSE,"FCB"}</definedName>
    <definedName name="cvade" hidden="1">{"FCB_ALL",#N/A,FALSE,"FCB"}</definedName>
    <definedName name="Cwvu.GREY_ALL." hidden="1">#REF!</definedName>
    <definedName name="Cwvy.GREY_ALL._dcf" hidden="1">#REF!</definedName>
    <definedName name="czp" hidden="1">#REF!</definedName>
    <definedName name="da" localSheetId="0" hidden="1">{"'RR'!$A$2:$E$81"}</definedName>
    <definedName name="da" hidden="1">{"'RR'!$A$2:$E$81"}</definedName>
    <definedName name="DA_2104045555300000230" hidden="1">#REF!</definedName>
    <definedName name="DA_2104045555300000252" hidden="1">#REF!</definedName>
    <definedName name="DA_2856640630700002227" hidden="1">#REF!</definedName>
    <definedName name="DA_2856640630700002229" hidden="1">#REF!</definedName>
    <definedName name="DA_2856640630700002239" hidden="1">#REF!</definedName>
    <definedName name="DA_2856640630700002241" hidden="1">#REF!</definedName>
    <definedName name="DA_2856640630700002249" hidden="1">#REF!</definedName>
    <definedName name="DA_2856640630700002251" hidden="1">#REF!</definedName>
    <definedName name="DA_2856640630700002253" hidden="1">#REF!</definedName>
    <definedName name="DA_2856640630700002261" hidden="1">#REF!</definedName>
    <definedName name="DA_2856640630700002263" hidden="1">#REF!</definedName>
    <definedName name="DA_2913549090900000307" hidden="1">#REF!</definedName>
    <definedName name="DA_2913549090900000312" hidden="1">#REF!</definedName>
    <definedName name="dados_ok" localSheetId="0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localSheetId="0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eklj" localSheetId="0" hidden="1">{"FCB_ALL",#N/A,FALSE,"FCB"}</definedName>
    <definedName name="daeklj" hidden="1">{"FCB_ALL",#N/A,FALSE,"FCB"}</definedName>
    <definedName name="daewkl" localSheetId="0" hidden="1">{"FCB_ALL",#N/A,FALSE,"FCB";"GREY_ALL",#N/A,FALSE,"GREY"}</definedName>
    <definedName name="daewkl" hidden="1">{"FCB_ALL",#N/A,FALSE,"FCB";"GREY_ALL",#N/A,FALSE,"GREY"}</definedName>
    <definedName name="das" localSheetId="0" hidden="1">{"FCB_ALL",#N/A,FALSE,"FCB";"GREY_ALL",#N/A,FALSE,"GREY"}</definedName>
    <definedName name="das" hidden="1">{"FCB_ALL",#N/A,FALSE,"FCB";"GREY_ALL",#N/A,FALSE,"GREY"}</definedName>
    <definedName name="dasfdsfa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dasfdsfa" hidden="1">{"Assumptions1",#N/A,FALSE,"Assumptions";"MergerPlans1","20yearamort",FALSE,"MergerPlans";"MergerPlans1","40yearamort",FALSE,"MergerPlans";"MergerPlans2",#N/A,FALSE,"MergerPlans";"inputs",#N/A,FALSE,"MergerPlans"}</definedName>
    <definedName name="dasgfdag" localSheetId="0" hidden="1">{"FCB_ALL",#N/A,FALSE,"FCB"}</definedName>
    <definedName name="dasgfdag" hidden="1">{"FCB_ALL",#N/A,FALSE,"FCB"}</definedName>
    <definedName name="dasklej" localSheetId="0" hidden="1">{"FCB_ALL",#N/A,FALSE,"FCB"}</definedName>
    <definedName name="dasklej" hidden="1">{"FCB_ALL",#N/A,FALSE,"FCB"}</definedName>
    <definedName name="ddd" localSheetId="0" hidden="1">{#N/A,#N/A,FALSE,"PACCIL";#N/A,#N/A,FALSE,"PAITACAN";#N/A,#N/A,FALSE,"PARECO";#N/A,#N/A,FALSE,"PA62";#N/A,#N/A,FALSE,"PAFINAL";#N/A,#N/A,FALSE,"PARECONF";#N/A,#N/A,FALSE,"PARECOND"}</definedName>
    <definedName name="ddd" hidden="1">{#N/A,#N/A,FALSE,"PACCIL";#N/A,#N/A,FALSE,"PAITACAN";#N/A,#N/A,FALSE,"PARECO";#N/A,#N/A,FALSE,"PA62";#N/A,#N/A,FALSE,"PAFINAL";#N/A,#N/A,FALSE,"PARECONF";#N/A,#N/A,FALSE,"PARECOND"}</definedName>
    <definedName name="dddd" hidden="1">#REF!</definedName>
    <definedName name="dddddd" localSheetId="0" hidden="1">{"FCB_ALL",#N/A,FALSE,"FCB";"GREY_ALL",#N/A,FALSE,"GREY"}</definedName>
    <definedName name="dddddd" hidden="1">{"FCB_ALL",#N/A,FALSE,"FCB";"GREY_ALL",#N/A,FALSE,"GREY"}</definedName>
    <definedName name="ddddddd" localSheetId="0" hidden="1">{"'RR'!$A$2:$E$81"}</definedName>
    <definedName name="ddddddd" hidden="1">{"'RR'!$A$2:$E$81"}</definedName>
    <definedName name="dddddddddddd" localSheetId="0" hidden="1">{0,#N/A,FALSE,0;0,#N/A,FALSE,0;0,#N/A,FALSE,0;0,#N/A,FALSE,0}</definedName>
    <definedName name="dddddddddddd" hidden="1">{0,#N/A,FALSE,0;0,#N/A,FALSE,0;0,#N/A,FALSE,0;0,#N/A,FALSE,0}</definedName>
    <definedName name="ddt" localSheetId="0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eee" localSheetId="0" hidden="1">{"Fecha_Setembro",#N/A,FALSE,"FECHAMENTO-2002 ";"Defer_Setembro",#N/A,FALSE,"DIFERIDO";"Pis_Setembro",#N/A,FALSE,"PIS COFINS";"Iss_Setembro",#N/A,FALSE,"ISS"}</definedName>
    <definedName name="deee" hidden="1">{"Fecha_Setembro",#N/A,FALSE,"FECHAMENTO-2002 ";"Defer_Setembro",#N/A,FALSE,"DIFERIDO";"Pis_Setembro",#N/A,FALSE,"PIS COFINS";"Iss_Setembro",#N/A,FALSE,"ISS"}</definedName>
    <definedName name="def" hidden="1">8</definedName>
    <definedName name="DeleteRange" hidden="1">#N/A</definedName>
    <definedName name="DeleteTable" hidden="1">#N/A</definedName>
    <definedName name="denis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denis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dfd" localSheetId="0" hidden="1">{"FCB_ALL",#N/A,FALSE,"FCB";"GREY_ALL",#N/A,FALSE,"GREY"}</definedName>
    <definedName name="dfd" hidden="1">{"FCB_ALL",#N/A,FALSE,"FCB";"GREY_ALL",#N/A,FALSE,"GREY"}</definedName>
    <definedName name="dfdas" localSheetId="0" hidden="1">{"FCB_ALL",#N/A,FALSE,"FCB";"GREY_ALL",#N/A,FALSE,"GREY"}</definedName>
    <definedName name="dfdas" hidden="1">{"FCB_ALL",#N/A,FALSE,"FCB";"GREY_ALL",#N/A,FALSE,"GREY"}</definedName>
    <definedName name="dfdas1" localSheetId="0" hidden="1">{"FCB_ALL",#N/A,FALSE,"FCB";"GREY_ALL",#N/A,FALSE,"GREY"}</definedName>
    <definedName name="dfdas1" hidden="1">{"FCB_ALL",#N/A,FALSE,"FCB";"GREY_ALL",#N/A,FALSE,"GREY"}</definedName>
    <definedName name="dfdfd" localSheetId="0" hidden="1">{"FCB_ALL",#N/A,FALSE,"FCB";"GREY_ALL",#N/A,FALSE,"GREY"}</definedName>
    <definedName name="dfdfd" hidden="1">{"FCB_ALL",#N/A,FALSE,"FCB";"GREY_ALL",#N/A,FALSE,"GREY"}</definedName>
    <definedName name="dfdfdd" localSheetId="0" hidden="1">{"FCB_ALL",#N/A,FALSE,"FCB";"GREY_ALL",#N/A,FALSE,"GREY"}</definedName>
    <definedName name="dfdfdd" hidden="1">{"FCB_ALL",#N/A,FALSE,"FCB";"GREY_ALL",#N/A,FALSE,"GREY"}</definedName>
    <definedName name="dfdfdfd" localSheetId="0" hidden="1">{"FCB_ALL",#N/A,FALSE,"FCB"}</definedName>
    <definedName name="dfdfdfd" hidden="1">{"FCB_ALL",#N/A,FALSE,"FCB"}</definedName>
    <definedName name="dfdfdfd1" localSheetId="0" hidden="1">{"FCB_ALL",#N/A,FALSE,"FCB"}</definedName>
    <definedName name="dfdfdfd1" hidden="1">{"FCB_ALL",#N/A,FALSE,"FCB"}</definedName>
    <definedName name="dfdsf" localSheetId="0" hidden="1">{"FCB_ALL",#N/A,FALSE,"FCB";"GREY_ALL",#N/A,FALSE,"GREY"}</definedName>
    <definedName name="dfdsf" hidden="1">{"FCB_ALL",#N/A,FALSE,"FCB";"GREY_ALL",#N/A,FALSE,"GREY"}</definedName>
    <definedName name="dfgdgd" localSheetId="0" hidden="1">{"FCB_ALL",#N/A,FALSE,"FCB"}</definedName>
    <definedName name="dfgdgd" hidden="1">{"FCB_ALL",#N/A,FALSE,"FCB"}</definedName>
    <definedName name="dfgdxfv" localSheetId="0" hidden="1">{"FCB_ALL",#N/A,FALSE,"FCB"}</definedName>
    <definedName name="dfgdxfv" hidden="1">{"FCB_ALL",#N/A,FALSE,"FCB"}</definedName>
    <definedName name="dfgsdf" localSheetId="0" hidden="1">{"FCB_ALL",#N/A,FALSE,"FCB"}</definedName>
    <definedName name="dfgsdf" hidden="1">{"FCB_ALL",#N/A,FALSE,"FCB"}</definedName>
    <definedName name="dgtdf" localSheetId="0" hidden="1">{"FCB_ALL",#N/A,FALSE,"FCB"}</definedName>
    <definedName name="dgtdf" hidden="1">{"FCB_ALL",#N/A,FALSE,"FCB"}</definedName>
    <definedName name="Dios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os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retos" localSheetId="0" hidden="1">{"Fecha_Novembro",#N/A,FALSE,"FECHAMENTO-2002 ";"Defer_Novembro",#N/A,FALSE,"DIFERIDO";"Pis_Novembro",#N/A,FALSE,"PIS COFINS";"Iss_Novembro",#N/A,FALSE,"ISS"}</definedName>
    <definedName name="diretos" hidden="1">{"Fecha_Novembro",#N/A,FALSE,"FECHAMENTO-2002 ";"Defer_Novembro",#N/A,FALSE,"DIFERIDO";"Pis_Novembro",#N/A,FALSE,"PIS COFINS";"Iss_Novembro",#N/A,FALSE,"ISS"}</definedName>
    <definedName name="dksndas" localSheetId="0" hidden="1">{"'RR'!$A$2:$E$81"}</definedName>
    <definedName name="dksndas" hidden="1">{"'RR'!$A$2:$E$81"}</definedName>
    <definedName name="DLOV_DesktopGlAccountsCrossValRulesPageDef_ConditionSegmentName_AccountSin_0" hidden="1">#REF!</definedName>
    <definedName name="DLOV_DesktopGlAccountsCrossValRulesPageDef_ValidationSegmentName_AccountSin_0" hidden="1">#REF!</definedName>
    <definedName name="dnlkwdknw" hidden="1">#REF!</definedName>
    <definedName name="dqwfds" hidden="1">#REF!</definedName>
    <definedName name="dreyer" localSheetId="0" hidden="1">{"FCB_ALL",#N/A,FALSE,"FCB"}</definedName>
    <definedName name="dreyer" hidden="1">{"FCB_ALL",#N/A,FALSE,"FCB"}</definedName>
    <definedName name="drgd" localSheetId="0" hidden="1">{"FCB_ALL",#N/A,FALSE,"FCB"}</definedName>
    <definedName name="drgd" hidden="1">{"FCB_ALL",#N/A,FALSE,"FCB"}</definedName>
    <definedName name="drtd" localSheetId="0" hidden="1">{"FCB_ALL",#N/A,FALSE,"FCB"}</definedName>
    <definedName name="drtd" hidden="1">{"FCB_ALL",#N/A,FALSE,"FCB"}</definedName>
    <definedName name="drtg" localSheetId="0" hidden="1">{"FCB_ALL",#N/A,FALSE,"FCB"}</definedName>
    <definedName name="drtg" hidden="1">{"FCB_ALL",#N/A,FALSE,"FCB"}</definedName>
    <definedName name="drtgdg" localSheetId="0" hidden="1">{"FCB_ALL",#N/A,FALSE,"FCB"}</definedName>
    <definedName name="drtgdg" hidden="1">{"FCB_ALL",#N/A,FALSE,"FCB"}</definedName>
    <definedName name="dsaflkj" localSheetId="0" hidden="1">{"FCB_ALL",#N/A,FALSE,"FCB";"GREY_ALL",#N/A,FALSE,"GREY"}</definedName>
    <definedName name="dsaflkj" hidden="1">{"FCB_ALL",#N/A,FALSE,"FCB";"GREY_ALL",#N/A,FALSE,"GREY"}</definedName>
    <definedName name="dsaflkje" localSheetId="0" hidden="1">{"FCB_ALL",#N/A,FALSE,"FCB"}</definedName>
    <definedName name="dsaflkje" hidden="1">{"FCB_ALL",#N/A,FALSE,"FCB"}</definedName>
    <definedName name="dsafwlekj" localSheetId="0" hidden="1">{"FCB_ALL",#N/A,FALSE,"FCB";"GREY_ALL",#N/A,FALSE,"GREY"}</definedName>
    <definedName name="dsafwlekj" hidden="1">{"FCB_ALL",#N/A,FALSE,"FCB";"GREY_ALL",#N/A,FALSE,"GREY"}</definedName>
    <definedName name="dsagdhasdashfdj" localSheetId="0" hidden="1">{"'RR'!$A$2:$E$81"}</definedName>
    <definedName name="dsagdhasdashfdj" hidden="1">{"'RR'!$A$2:$E$81"}</definedName>
    <definedName name="dscsdcsd" hidden="1">10</definedName>
    <definedName name="dsea" localSheetId="0" hidden="1">{"FCB_ALL",#N/A,FALSE,"FCB"}</definedName>
    <definedName name="dsea" hidden="1">{"FCB_ALL",#N/A,FALSE,"FCB"}</definedName>
    <definedName name="dsfgr" localSheetId="0" hidden="1">{"FCB_ALL",#N/A,FALSE,"FCB"}</definedName>
    <definedName name="dsfgr" hidden="1">{"FCB_ALL",#N/A,FALSE,"FCB"}</definedName>
    <definedName name="dsp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dsp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dsqqs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dsqqs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dwedfwed" hidden="1">#REF!</definedName>
    <definedName name="dwefewfew" localSheetId="0" hidden="1">{#N/A,#N/A,FALSE,"Aging Summary";#N/A,#N/A,FALSE,"Ratio Analysis";#N/A,#N/A,FALSE,"Test 120 Day Accts";#N/A,#N/A,FALSE,"Tickmarks"}</definedName>
    <definedName name="dwefewfew" hidden="1">{#N/A,#N/A,FALSE,"Aging Summary";#N/A,#N/A,FALSE,"Ratio Analysis";#N/A,#N/A,FALSE,"Test 120 Day Accts";#N/A,#N/A,FALSE,"Tickmarks"}</definedName>
    <definedName name="E567JHJ" hidden="1">#REF!</definedName>
    <definedName name="ea9_P" hidden="1">#REF!</definedName>
    <definedName name="EBITDA" localSheetId="0" hidden="1">{"'RR'!$A$2:$E$81"}</definedName>
    <definedName name="EBITDA" hidden="1">{"'RR'!$A$2:$E$81"}</definedName>
    <definedName name="ECNOFIBRAS" localSheetId="0" hidden="1">{"'PXR_6500'!$A$1:$I$124"}</definedName>
    <definedName name="ECNOFIBRAS" hidden="1">{"'PXR_6500'!$A$1:$I$124"}</definedName>
    <definedName name="ECNOFIBRAS2" localSheetId="0" hidden="1">{"'PXR_6500'!$A$1:$I$124"}</definedName>
    <definedName name="ECNOFIBRAS2" hidden="1">{"'PXR_6500'!$A$1:$I$124"}</definedName>
    <definedName name="EEEE" hidden="1">#REF!</definedName>
    <definedName name="eer" localSheetId="0" hidden="1">{#N/A,#N/A,FALSE,"Hoja1";#N/A,#N/A,FALSE,"Hoja2"}</definedName>
    <definedName name="eer" hidden="1">{#N/A,#N/A,FALSE,"Hoja1";#N/A,#N/A,FALSE,"Hoja2"}</definedName>
    <definedName name="eerr" localSheetId="0" hidden="1">{"Alle Perioden",#N/A,FALSE,"Erf";"Alle Perioden",#N/A,FALSE,"Ang";"Alle Perioden",#N/A,FALSE,"BV";"Alle Perioden",#N/A,FALSE,"BE";"Alle Perioden",#N/A,FALSE,"Re";"Alle Perioden",#N/A,FALSE,"Vol"}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LIMLUCRO_1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LIMLUCRO_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EMEAITAFRASCANDGRAPH" hidden="1">#REF!</definedName>
    <definedName name="enri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enri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enrique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enrique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epof" hidden="1">"AS2DocumentBrowse"</definedName>
    <definedName name="er" localSheetId="0" hidden="1">{#N/A,#N/A,FALSE,"PRECIO FULL";#N/A,#N/A,FALSE,"LARA";#N/A,#N/A,FALSE,"CARACAS";#N/A,#N/A,FALSE,"DISBRACENTRO";#N/A,#N/A,FALSE,"ANDES";#N/A,#N/A,FALSE,"MAR CARIBE";#N/A,#N/A,FALSE,"RIO BEER";#N/A,#N/A,FALSE,"DISBRAH"}</definedName>
    <definedName name="er" hidden="1">{#N/A,#N/A,FALSE,"PRECIO FULL";#N/A,#N/A,FALSE,"LARA";#N/A,#N/A,FALSE,"CARACAS";#N/A,#N/A,FALSE,"DISBRACENTRO";#N/A,#N/A,FALSE,"ANDES";#N/A,#N/A,FALSE,"MAR CARIBE";#N/A,#N/A,FALSE,"RIO BEER";#N/A,#N/A,FALSE,"DISBRAH"}</definedName>
    <definedName name="erer" localSheetId="0" hidden="1">{"FCB_ALL",#N/A,FALSE,"FCB";"GREY_ALL",#N/A,FALSE,"GREY"}</definedName>
    <definedName name="erer" hidden="1">{"FCB_ALL",#N/A,FALSE,"FCB";"GREY_ALL",#N/A,FALSE,"GREY"}</definedName>
    <definedName name="err" localSheetId="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err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Errado" localSheetId="0" hidden="1">{"'Edit'!$A$1:$V$2277"}</definedName>
    <definedName name="Errado" hidden="1">{"'Edit'!$A$1:$V$2277"}</definedName>
    <definedName name="erro" localSheetId="0" hidden="1">{"'Edit'!$A$1:$V$2277"}</definedName>
    <definedName name="erro" hidden="1">{"'Edit'!$A$1:$V$2277"}</definedName>
    <definedName name="ers" localSheetId="0" hidden="1">{"FCB_ALL",#N/A,FALSE,"FCB";"GREY_ALL",#N/A,FALSE,"GREY"}</definedName>
    <definedName name="ers" hidden="1">{"FCB_ALL",#N/A,FALSE,"FCB";"GREY_ALL",#N/A,FALSE,"GREY"}</definedName>
    <definedName name="ersdf" localSheetId="0" hidden="1">{"FCB_ALL",#N/A,FALSE,"FCB";"GREY_ALL",#N/A,FALSE,"GREY"}</definedName>
    <definedName name="ersdf" hidden="1">{"FCB_ALL",#N/A,FALSE,"FCB";"GREY_ALL",#N/A,FALSE,"GREY"}</definedName>
    <definedName name="erser" localSheetId="0" hidden="1">{"FCB_ALL",#N/A,FALSE,"FCB"}</definedName>
    <definedName name="erser" hidden="1">{"FCB_ALL",#N/A,FALSE,"FCB"}</definedName>
    <definedName name="esr" localSheetId="0" hidden="1">{"FCB_ALL",#N/A,FALSE,"FCB"}</definedName>
    <definedName name="esr" hidden="1">{"FCB_ALL",#N/A,FALSE,"FCB"}</definedName>
    <definedName name="esre" localSheetId="0" hidden="1">{"inputs raw data",#N/A,TRUE,"INPUT"}</definedName>
    <definedName name="esre" hidden="1">{"inputs raw data",#N/A,TRUE,"INPUT"}</definedName>
    <definedName name="esrs" localSheetId="0" hidden="1">{"FCB_ALL",#N/A,FALSE,"FCB"}</definedName>
    <definedName name="esrs" hidden="1">{"FCB_ALL",#N/A,FALSE,"FCB"}</definedName>
    <definedName name="est" localSheetId="0" hidden="1">{"'RR'!$A$2:$E$81"}</definedName>
    <definedName name="est" hidden="1">{"'RR'!$A$2:$E$81"}</definedName>
    <definedName name="Estoque_jan" localSheetId="0" hidden="1">{"'RR'!$A$2:$E$81"}</definedName>
    <definedName name="Estoque_jan" hidden="1">{"'RR'!$A$2:$E$81"}</definedName>
    <definedName name="ev.Calculation" hidden="1">-4135</definedName>
    <definedName name="ev.Initialized" hidden="1">FALSE</definedName>
    <definedName name="EV__LASTREFTIME__" hidden="1">38611.4102430556</definedName>
    <definedName name="EV__MAXEXPCOLS__" hidden="1">100</definedName>
    <definedName name="EV__MAXEXPROWS__" hidden="1">1000</definedName>
    <definedName name="EV__MEMORYCVW__" hidden="1">0</definedName>
    <definedName name="EV__MEMORYCVW__LIBRO5" hidden="1">"C_LEGAL"</definedName>
    <definedName name="EV__MEMORYCVW__LIBRO5_CRITERIO_CONS" hidden="1">"G_A400"</definedName>
    <definedName name="EV__MEMORYCVW__LIBRO5_FUENTE_DATO" hidden="1">"ALL_DATASRC"</definedName>
    <definedName name="EV__MEMORYCVW__LIBRO5_MEASURES" hidden="1">"PERIODIC"</definedName>
    <definedName name="EV__MEMORYCVW__LIBRO5_PLAN_CUENTA" hidden="1">1</definedName>
    <definedName name="EV__MEMORYCVW__LIBRO5_SEGMENTO" hidden="1">"TSI"</definedName>
    <definedName name="EV__MEMORYCVW__LIBRO5_SOCIEDAD" hidden="1">"C414"</definedName>
    <definedName name="EV__MEMORYCVW__LIBRO5_SOCIEDAD_REL" hidden="1">"I_A002"</definedName>
    <definedName name="EV__MEMORYCVW__LIBRO5_TIEMPO" hidden="1">"2008.DEC"</definedName>
    <definedName name="EV__MEMORYCVW__LIBRO5_TIPO_MOVIM" hidden="1">"F_CLO"</definedName>
    <definedName name="EV__MEMORYCVW__LIBRO5_VERSION" hidden="1">"ACTUAL"</definedName>
    <definedName name="EV__WBEVMODE__" hidden="1">0</definedName>
    <definedName name="EV__WBREFOPTIONS__" hidden="1">134217783</definedName>
    <definedName name="EV__WBVERSION__" hidden="1">0</definedName>
    <definedName name="Evolução" localSheetId="0" hidden="1">{#N/A,#N/A,FALSE,"GP";#N/A,#N/A,FALSE,"Assinantes";#N/A,#N/A,FALSE,"Rede";#N/A,#N/A,FALSE,"Evolução";#N/A,#N/A,FALSE,"Resultado"}</definedName>
    <definedName name="Evolução" hidden="1">{#N/A,#N/A,FALSE,"GP";#N/A,#N/A,FALSE,"Assinantes";#N/A,#N/A,FALSE,"Rede";#N/A,#N/A,FALSE,"Evolução";#N/A,#N/A,FALSE,"Resultado"}</definedName>
    <definedName name="ew" localSheetId="0" hidden="1">{"CAP VOL",#N/A,FALSE,"CAPITAL";"CAP VAR",#N/A,FALSE,"CAPITAL";"CAP FIJ",#N/A,FALSE,"CAPITAL";"CAP CONS",#N/A,FALSE,"CAPITAL";"CAP DATA",#N/A,FALSE,"CAPITAL"}</definedName>
    <definedName name="ew" hidden="1">{"CAP VOL",#N/A,FALSE,"CAPITAL";"CAP VAR",#N/A,FALSE,"CAPITAL";"CAP FIJ",#N/A,FALSE,"CAPITAL";"CAP CONS",#N/A,FALSE,"CAPITAL";"CAP DATA",#N/A,FALSE,"CAPITAL"}</definedName>
    <definedName name="EZFEZ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EZFEZ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F3.1" localSheetId="0" hidden="1">{"PLAN MED.PROVISORIA",#N/A,FALSE,"IRENDA"}</definedName>
    <definedName name="F3.1" hidden="1">{"PLAN MED.PROVISORIA",#N/A,FALSE,"IRENDA"}</definedName>
    <definedName name="Fabi" localSheetId="0" hidden="1">{#N/A,#N/A,FALSE,"DIXIE TOGA"}</definedName>
    <definedName name="Fabi" hidden="1">{#N/A,#N/A,FALSE,"DIXIE TOGA"}</definedName>
    <definedName name="Fact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d" localSheetId="0" hidden="1">{#N/A,"70% Success",FALSE,"Sales Forecast";#N/A,#N/A,FALSE,"Sheet2"}</definedName>
    <definedName name="fad" hidden="1">{#N/A,"70% Success",FALSE,"Sales Forecast";#N/A,#N/A,FALSE,"Sheet2"}</definedName>
    <definedName name="fafs" localSheetId="0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localSheetId="0" hidden="1">{"Financ.total",#N/A,FALSE,"BALJAN97"}</definedName>
    <definedName name="FDDD" hidden="1">{"Financ.total",#N/A,FALSE,"BALJAN97"}</definedName>
    <definedName name="fdes" localSheetId="0" hidden="1">{"Fecha_Novembro",#N/A,FALSE,"FECHAMENTO-2002 ";"Defer_Novembro",#N/A,FALSE,"DIFERIDO";"Pis_Novembro",#N/A,FALSE,"PIS COFINS";"Iss_Novembro",#N/A,FALSE,"ISS"}</definedName>
    <definedName name="fdes" hidden="1">{"Fecha_Novembro",#N/A,FALSE,"FECHAMENTO-2002 ";"Defer_Novembro",#N/A,FALSE,"DIFERIDO";"Pis_Novembro",#N/A,FALSE,"PIS COFINS";"Iss_Novembro",#N/A,FALSE,"ISS"}</definedName>
    <definedName name="fdf" hidden="1">#REF!</definedName>
    <definedName name="fdfd" hidden="1">#REF!</definedName>
    <definedName name="fdgfdg" localSheetId="0" hidden="1">{"FCB_ALL",#N/A,FALSE,"FCB";"GREY_ALL",#N/A,FALSE,"GREY"}</definedName>
    <definedName name="fdgfdg" hidden="1">{"FCB_ALL",#N/A,FALSE,"FCB";"GREY_ALL",#N/A,FALSE,"GREY"}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ag" localSheetId="0" hidden="1">{"FCB_ALL",#N/A,FALSE,"FCB"}</definedName>
    <definedName name="fdsag" hidden="1">{"FCB_ALL",#N/A,FALSE,"FCB"}</definedName>
    <definedName name="fdsakfjds" localSheetId="0" hidden="1">{"FCB_ALL",#N/A,FALSE,"FCB";"GREY_ALL",#N/A,FALSE,"GREY"}</definedName>
    <definedName name="fdsakfjds" hidden="1">{"FCB_ALL",#N/A,FALSE,"FCB";"GREY_ALL",#N/A,FALSE,"GREY"}</definedName>
    <definedName name="fdsg" localSheetId="0" hidden="1">{"FCB_ALL",#N/A,FALSE,"FCB"}</definedName>
    <definedName name="fdsg" hidden="1">{"FCB_ALL",#N/A,FALSE,"FCB"}</definedName>
    <definedName name="fe" localSheetId="0" hidden="1">{"TotalGeralDespesasPorArea",#N/A,FALSE,"VinculosAccessEfetivo"}</definedName>
    <definedName name="fe" hidden="1">{"TotalGeralDespesasPorArea",#N/A,FALSE,"VinculosAccessEfetivo"}</definedName>
    <definedName name="feewr" localSheetId="0" hidden="1">{"Fixed Assets equipments",#N/A,FALSE,"Import-inventory Flow"}</definedName>
    <definedName name="feewr" hidden="1">{"Fixed Assets equipments",#N/A,FALSE,"Import-inventory Flow"}</definedName>
    <definedName name="Fernando_II" localSheetId="0" hidden="1">{"CONSOLIDADO",#N/A,FALSE,"COMENTARIOS"}</definedName>
    <definedName name="Fernando_II" hidden="1">{"CONSOLIDADO",#N/A,FALSE,"COMENTARIOS"}</definedName>
    <definedName name="fewgw" localSheetId="0" hidden="1">{"MDU Equipments",#N/A,FALSE,"Custos Equipamentos"}</definedName>
    <definedName name="fewgw" hidden="1">{"MDU Equipments",#N/A,FALSE,"Custos Equipamentos"}</definedName>
    <definedName name="FFF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FFF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FFFF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FFFF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ffffff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fff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ffffffff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localSheetId="0" hidden="1">{"FCB_ALL",#N/A,FALSE,"FCB";"GREY_ALL",#N/A,FALSE,"GREY"}</definedName>
    <definedName name="fgfdg" hidden="1">{"FCB_ALL",#N/A,FALSE,"FCB";"GREY_ALL",#N/A,FALSE,"GREY"}</definedName>
    <definedName name="fgfg" localSheetId="0" hidden="1">{#N/A,#N/A,FALSE,"Aging Summary";#N/A,#N/A,FALSE,"Ratio Analysis";#N/A,#N/A,FALSE,"Test 120 Day Accts";#N/A,#N/A,FALSE,"Tickmarks"}</definedName>
    <definedName name="fgfg" hidden="1">{#N/A,#N/A,FALSE,"Aging Summary";#N/A,#N/A,FALSE,"Ratio Analysis";#N/A,#N/A,FALSE,"Test 120 Day Accts";#N/A,#N/A,FALSE,"Tickmarks"}</definedName>
    <definedName name="Fin_CounterGraphJuly02" hidden="1">#REF!</definedName>
    <definedName name="fin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l_Summary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kjkfg" hidden="1">#REF!</definedName>
    <definedName name="FLXCX" localSheetId="0" hidden="1">{#N/A,#N/A,FALSE,"DOARCNB";#N/A,#N/A,FALSE,"PLCNB";#N/A,#N/A,FALSE,"DRECNB";#N/A,#N/A,FALSE,"BPCNB";#N/A,#N/A,FALSE,"fluxo de caixa"}</definedName>
    <definedName name="FLXCX" hidden="1">{#N/A,#N/A,FALSE,"DOARCNB";#N/A,#N/A,FALSE,"PLCNB";#N/A,#N/A,FALSE,"DRECNB";#N/A,#N/A,FALSE,"BPCNB";#N/A,#N/A,FALSE,"fluxo de caixa"}</definedName>
    <definedName name="formu" hidden="1">#REF!</definedName>
    <definedName name="fr" localSheetId="0" hidden="1">{#N/A,#N/A,FALSE,"Aging Summary";#N/A,#N/A,FALSE,"Ratio Analysis";#N/A,#N/A,FALSE,"Test 120 Day Accts";#N/A,#N/A,FALSE,"Tickmarks"}</definedName>
    <definedName name="fr" hidden="1">{#N/A,#N/A,FALSE,"Aging Summary";#N/A,#N/A,FALSE,"Ratio Analysis";#N/A,#N/A,FALSE,"Test 120 Day Accts";#N/A,#N/A,FALSE,"Tickmarks"}</definedName>
    <definedName name="FRAITASCAND_graph" hidden="1">#REF!</definedName>
    <definedName name="frdf" hidden="1">#REF!</definedName>
    <definedName name="fsad" localSheetId="0" hidden="1">{#N/A,#N/A,FALSE,"Aging Summary";#N/A,#N/A,FALSE,"Ratio Analysis";#N/A,#N/A,FALSE,"Test 120 Day Accts";#N/A,#N/A,FALSE,"Tickmarks"}</definedName>
    <definedName name="fsad" hidden="1">{#N/A,#N/A,FALSE,"Aging Summary";#N/A,#N/A,FALSE,"Ratio Analysis";#N/A,#N/A,FALSE,"Test 120 Day Accts";#N/A,#N/A,FALSE,"Tickmarks"}</definedName>
    <definedName name="fsgdr" localSheetId="0" hidden="1">{"FCB_ALL",#N/A,FALSE,"FCB"}</definedName>
    <definedName name="fsgdr" hidden="1">{"FCB_ALL",#N/A,FALSE,"FCB"}</definedName>
    <definedName name="fsr" localSheetId="0" hidden="1">{"FCB_ALL",#N/A,FALSE,"FCB"}</definedName>
    <definedName name="fsr" hidden="1">{"FCB_ALL",#N/A,FALSE,"FCB"}</definedName>
    <definedName name="fsv" localSheetId="0" hidden="1">{"FCB_ALL",#N/A,FALSE,"FCB";"GREY_ALL",#N/A,FALSE,"GREY"}</definedName>
    <definedName name="fsv" hidden="1">{"FCB_ALL",#N/A,FALSE,"FCB";"GREY_ALL",#N/A,FALSE,"GREY"}</definedName>
    <definedName name="ftjy" localSheetId="0" hidden="1">{"Accretion",#N/A,FALSE,"Assum"}</definedName>
    <definedName name="ftjy" hidden="1">{"Accretion",#N/A,FALSE,"Assum"}</definedName>
    <definedName name="ftyf" localSheetId="0" hidden="1">{"FCB_ALL",#N/A,FALSE,"FCB";"GREY_ALL",#N/A,FALSE,"GREY"}</definedName>
    <definedName name="ftyf" hidden="1">{"FCB_ALL",#N/A,FALSE,"FCB";"GREY_ALL",#N/A,FALSE,"GREY"}</definedName>
    <definedName name="ftytf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ftytf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gadew" localSheetId="0" hidden="1">{"FCB_ALL",#N/A,FALSE,"FCB"}</definedName>
    <definedName name="gadew" hidden="1">{"FCB_ALL",#N/A,FALSE,"FCB"}</definedName>
    <definedName name="gadfsh" localSheetId="0" hidden="1">{"FCB_ALL",#N/A,FALSE,"FCB"}</definedName>
    <definedName name="gadfsh" hidden="1">{"FCB_ALL",#N/A,FALSE,"FCB"}</definedName>
    <definedName name="gads" localSheetId="0" hidden="1">{"FCB_ALL",#N/A,FALSE,"FCB"}</definedName>
    <definedName name="gads" hidden="1">{"FCB_ALL",#N/A,FALSE,"FCB"}</definedName>
    <definedName name="gadse" localSheetId="0" hidden="1">{"FCB_ALL",#N/A,FALSE,"FCB"}</definedName>
    <definedName name="gadse" hidden="1">{"FCB_ALL",#N/A,FALSE,"FCB"}</definedName>
    <definedName name="gagfg" hidden="1">#REF!</definedName>
    <definedName name="gawea" localSheetId="0" hidden="1">{"FCB_ALL",#N/A,FALSE,"FCB"}</definedName>
    <definedName name="gawea" hidden="1">{"FCB_ALL",#N/A,FALSE,"FCB"}</definedName>
    <definedName name="gawen" localSheetId="0" hidden="1">{"FCB_ALL",#N/A,FALSE,"FCB"}</definedName>
    <definedName name="gawen" hidden="1">{"FCB_ALL",#N/A,FALSE,"FCB"}</definedName>
    <definedName name="general_exp." localSheetId="0" hidden="1">{#N/A,"100% Success",TRUE,"Sales Forecast";#N/A,#N/A,TRUE,"Sheet2"}</definedName>
    <definedName name="general_exp." hidden="1">{#N/A,"100% Success",TRUE,"Sales Forecast";#N/A,#N/A,TRUE,"Sheet2"}</definedName>
    <definedName name="ger" hidden="1">#N/A</definedName>
    <definedName name="gfasd" localSheetId="0" hidden="1">{"FCB_ALL",#N/A,FALSE,"FCB"}</definedName>
    <definedName name="gfasd" hidden="1">{"FCB_ALL",#N/A,FALSE,"FCB"}</definedName>
    <definedName name="gfsdn" localSheetId="0" hidden="1">{"FCB_ALL",#N/A,FALSE,"FCB";"GREY_ALL",#N/A,FALSE,"GREY"}</definedName>
    <definedName name="gfsdn" hidden="1">{"FCB_ALL",#N/A,FALSE,"FCB";"GREY_ALL",#N/A,FALSE,"GREY"}</definedName>
    <definedName name="gggg" localSheetId="0" hidden="1">{"'Edit'!$A$1:$V$2277"}</definedName>
    <definedName name="gggg" hidden="1">{"'Edit'!$A$1:$V$2277"}</definedName>
    <definedName name="ggj" localSheetId="0" hidden="1">{"'COMBUSTÍVEIS'!$A$1:$K$88"}</definedName>
    <definedName name="ggj" hidden="1">{"'COMBUSTÍVEIS'!$A$1:$K$88"}</definedName>
    <definedName name="ghg" hidden="1">#REF!</definedName>
    <definedName name="ghhhh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ghhhh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ghjkhgk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hjkhg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hjkhjkhjkh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jkhjkhjkh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kgjkhjkhjk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kgjkhjkhj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khjkjhkjh" localSheetId="0" hidden="1">{"summary1",#N/A,TRUE,"Comps";"summary2",#N/A,TRUE,"Comps";"summary3",#N/A,TRUE,"Comps"}</definedName>
    <definedName name="ghkhjkjhkjh" hidden="1">{"summary1",#N/A,TRUE,"Comps";"summary2",#N/A,TRUE,"Comps";"summary3",#N/A,TRUE,"Comps"}</definedName>
    <definedName name="ghkjhkhk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hkjhkh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iulio" localSheetId="0" hidden="1">{#N/A,#N/A,FALSE,"Aging Summary";#N/A,#N/A,FALSE,"Ratio Analysis";#N/A,#N/A,FALSE,"Test 120 Day Accts";#N/A,#N/A,FALSE,"Tickmarks"}</definedName>
    <definedName name="Giulio" hidden="1">{#N/A,#N/A,FALSE,"Aging Summary";#N/A,#N/A,FALSE,"Ratio Analysis";#N/A,#N/A,FALSE,"Test 120 Day Accts";#N/A,#N/A,FALSE,"Tickmarks"}</definedName>
    <definedName name="Graph" hidden="1">#REF!</definedName>
    <definedName name="GrpAcct1" hidden="1">"6311"</definedName>
    <definedName name="GrpAcct2" hidden="1">"6320"</definedName>
    <definedName name="GrpAcct3" hidden="1">"6330"</definedName>
    <definedName name="GrpAcct4" hidden="1">"36.10.20.00"</definedName>
    <definedName name="GrpAcct5" hidden="1">"36.10.25.00"</definedName>
    <definedName name="GrpLevel" hidden="1">2</definedName>
    <definedName name="gyuy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y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ello" hidden="1">#REF!</definedName>
    <definedName name="Hello1" hidden="1">#REF!</definedName>
    <definedName name="hfd" localSheetId="0" hidden="1">{"FCB_ALL",#N/A,FALSE,"FCB";"GREY_ALL",#N/A,FALSE,"GREY"}</definedName>
    <definedName name="hfd" hidden="1">{"FCB_ALL",#N/A,FALSE,"FCB";"GREY_ALL",#N/A,FALSE,"GREY"}</definedName>
    <definedName name="hfydf" localSheetId="0" hidden="1">{"FCB_ALL",#N/A,FALSE,"FCB"}</definedName>
    <definedName name="hfydf" hidden="1">{"FCB_ALL",#N/A,FALSE,"FCB"}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srt" localSheetId="0" hidden="1">{"FCB_ALL",#N/A,FALSE,"FCB";"GREY_ALL",#N/A,FALSE,"GREY"}</definedName>
    <definedName name="hgsrt" hidden="1">{"FCB_ALL",#N/A,FALSE,"FCB";"GREY_ALL",#N/A,FALSE,"GREY"}</definedName>
    <definedName name="hhg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hhg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hhhh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hhhh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hjghj" localSheetId="0" hidden="1">{"cap_structure",#N/A,FALSE,"Graph-Mkt Cap";"price",#N/A,FALSE,"Graph-Price";"ebit",#N/A,FALSE,"Graph-EBITDA";"ebitda",#N/A,FALSE,"Graph-EBITDA"}</definedName>
    <definedName name="hjghj" hidden="1">{"cap_structure",#N/A,FALSE,"Graph-Mkt Cap";"price",#N/A,FALSE,"Graph-Price";"ebit",#N/A,FALSE,"Graph-EBITDA";"ebitda",#N/A,FALSE,"Graph-EBITDA"}</definedName>
    <definedName name="hjhjhj" localSheetId="0" hidden="1">{"'Edit'!$A$1:$V$2277"}</definedName>
    <definedName name="hjhjhj" hidden="1">{"'Edit'!$A$1:$V$2277"}</definedName>
    <definedName name="hjj" localSheetId="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hjj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hjkljlk" hidden="1">#REF!</definedName>
    <definedName name="hjlkhgkh" localSheetId="0" hidden="1">{"inputs raw data",#N/A,TRUE,"INPUT"}</definedName>
    <definedName name="hjlkhgkh" hidden="1">{"inputs raw data",#N/A,TRUE,"INPUT"}</definedName>
    <definedName name="hk" localSheetId="0" hidden="1">{"'Directory'!$A$72:$E$91"}</definedName>
    <definedName name="hk" hidden="1">{"'Directory'!$A$72:$E$91"}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rtrt" localSheetId="0" hidden="1">{"FCB_ALL",#N/A,FALSE,"FCB";"GREY_ALL",#N/A,FALSE,"GREY"}</definedName>
    <definedName name="hrtrt" hidden="1">{"FCB_ALL",#N/A,FALSE,"FCB";"GREY_ALL",#N/A,FALSE,"GREY"}</definedName>
    <definedName name="hth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tht" localSheetId="0" hidden="1">{"cap_structure",#N/A,FALSE,"Graph-Mkt Cap";"price",#N/A,FALSE,"Graph-Price";"ebit",#N/A,FALSE,"Graph-EBITDA";"ebitda",#N/A,FALSE,"Graph-EBITDA"}</definedName>
    <definedName name="htht" hidden="1">{"cap_structure",#N/A,FALSE,"Graph-Mkt Cap";"price",#N/A,FALSE,"Graph-Price";"ebit",#N/A,FALSE,"Graph-EBITDA";"ebitda",#N/A,FALSE,"Graph-EBITDA"}</definedName>
    <definedName name="HTML" localSheetId="0" hidden="1">{"'PXR_6500'!$A$1:$I$124"}</definedName>
    <definedName name="HTML" hidden="1">{"'PXR_6500'!$A$1:$I$124"}</definedName>
    <definedName name="HTML_CodePage" hidden="1">1252</definedName>
    <definedName name="HTML_Control" localSheetId="0" hidden="1">{"'FLUXO-99'!$A$962:$G$963","'FLUXO-99'!$A$962:$G$963","'FLUXO-99'!$A$962:$G$963","'FLUXO-99'!$A$962:$G$963","'FLUXO-99'!$A$962:$G$963","'FLUXO-99'!$A$962:$G$963"}</definedName>
    <definedName name="HTML_Control" hidden="1">{"'FLUXO-99'!$A$962:$G$963","'FLUXO-99'!$A$962:$G$963","'FLUXO-99'!$A$962:$G$963","'FLUXO-99'!$A$962:$G$963","'FLUXO-99'!$A$962:$G$963","'FLUXO-99'!$A$962:$G$963"}</definedName>
    <definedName name="HTML_Description" hidden="1">""</definedName>
    <definedName name="HTML_Email" hidden="1">""</definedName>
    <definedName name="HTML_Header" hidden="1">"FLUXO-99"</definedName>
    <definedName name="HTML_LastUpdate" hidden="1">"08/12/99"</definedName>
    <definedName name="HTML_LineAfter" hidden="1">FALSE</definedName>
    <definedName name="HTML_LineBefore" hidden="1">FALSE</definedName>
    <definedName name="HTML_Name" hidden="1">"Grupo Multiplan"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"C:\TRAB\EXCEL\BALANÇOS\MeuHTML.htm"</definedName>
    <definedName name="HTML_PathFileMac" hidden="1">"Macintosh HD:HomePageStuff:New_Home_Page:datafile:histret.html"</definedName>
    <definedName name="HTML_PathTemplateMac" hidden="1">"Macintosh HD:HomePageStuff:New_Home_Page:datafile:Betas.html"</definedName>
    <definedName name="HTML_Title" hidden="1">"BLMTP99"</definedName>
    <definedName name="HTML1_1" hidden="1">"'[CART0497.XLS]Ct Intranet'!$A$1:$M$31"</definedName>
    <definedName name="HTML1_10" hidden="1">""</definedName>
    <definedName name="HTML1_11" hidden="1">1</definedName>
    <definedName name="HTML1_12" hidden="1">"F:\ABRILNET\TRANSPOR\Ctplj.htm"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"'[CART0497.XLS]Ct Intranet'!$A$1:$M$63"</definedName>
    <definedName name="HTML2_10" hidden="1">""</definedName>
    <definedName name="HTML2_11" hidden="1">1</definedName>
    <definedName name="HTML2_12" hidden="1">"F:\ABRILNET\TRANSPOR\Ctplj.htm"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"'[CART0497.XLS]Ct Intranet'!$A$1:$M$61"</definedName>
    <definedName name="HTML3_10" hidden="1">""</definedName>
    <definedName name="HTML3_11" hidden="1">1</definedName>
    <definedName name="HTML3_12" hidden="1">"F:\ABRILNET\TRANSPOR\Ctplj.htm"</definedName>
    <definedName name="HTML3_2" hidden="1">1</definedName>
    <definedName name="HTML3_3" hidden="1">"Carta de Planejamento"</definedName>
    <definedName name="HTML3_4" hidden="1">"Carta de Planejamento"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"'[CART0497.XLS]Ct Intranet'!$A$1:$M$53"</definedName>
    <definedName name="HTML4_10" hidden="1">""</definedName>
    <definedName name="HTML4_11" hidden="1">1</definedName>
    <definedName name="HTML4_12" hidden="1">"F:\ABRILNET\TRANSPOR\ctplj.htm"</definedName>
    <definedName name="HTML4_2" hidden="1">1</definedName>
    <definedName name="HTML4_3" hidden="1">"Carta de Planejamento"</definedName>
    <definedName name="HTML4_4" hidden="1">"Carta de Planejamento"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"[APU97.XLS]INTRA!$D$2:$E$92"</definedName>
    <definedName name="HTML5_10" hidden="1">""</definedName>
    <definedName name="HTML5_11" hidden="1">1</definedName>
    <definedName name="HTML5_12" hidden="1">"C:\Meus Documentos\IR1997\csirinfo.htm"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"21/08/97"</definedName>
    <definedName name="HTML5_9" hidden="1">""</definedName>
    <definedName name="HTML6_1" hidden="1">"[APU97.XLS]INTRA!$G$2:$H$92"</definedName>
    <definedName name="HTML6_10" hidden="1">""</definedName>
    <definedName name="HTML6_11" hidden="1">1</definedName>
    <definedName name="HTML6_12" hidden="1">"C:\Meus Documentos\IR1997\csiritph.htm"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"21/08/97"</definedName>
    <definedName name="HTML6_9" hidden="1">""</definedName>
    <definedName name="HTML7_1" hidden="1">"[APU97.XLS]INTRA!$J$2:$K$92"</definedName>
    <definedName name="HTML7_10" hidden="1">""</definedName>
    <definedName name="HTML7_11" hidden="1">1</definedName>
    <definedName name="HTML7_12" hidden="1">"C:\Meus Documentos\IR1997\csircom.htm"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"21/08/97"</definedName>
    <definedName name="HTML7_9" hidden="1">""</definedName>
    <definedName name="HTML8_1" hidden="1">"[APU97.XLS]INTRA!$M$2:$N$92"</definedName>
    <definedName name="HTML8_10" hidden="1">""</definedName>
    <definedName name="HTML8_11" hidden="1">1</definedName>
    <definedName name="HTML8_12" hidden="1">"C:\Meus Documentos\IR1997\csiripp.htm"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"21/08/97"</definedName>
    <definedName name="HTML8_9" hidden="1">""</definedName>
    <definedName name="HTMLControl" localSheetId="0" hidden="1">{"'Edit'!$A$1:$V$2277"}</definedName>
    <definedName name="HTMLControl" hidden="1">{"'Edit'!$A$1:$V$2277"}</definedName>
    <definedName name="HTMLCount" hidden="1">4</definedName>
    <definedName name="Hty" hidden="1">7</definedName>
    <definedName name="hytjy" localSheetId="0" hidden="1">{"FCB_ALL",#N/A,FALSE,"FCB"}</definedName>
    <definedName name="hytjy" hidden="1">{"FCB_ALL",#N/A,FALSE,"FCB"}</definedName>
    <definedName name="IFRS_Ajustes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IFRS_Ajustes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iiii" localSheetId="0" hidden="1">{#N/A,#N/A,FALSE,"Acum Julio - 00"}</definedName>
    <definedName name="iiii" hidden="1">{#N/A,#N/A,FALSE,"Acum Julio - 00"}</definedName>
    <definedName name="Ilfautletrouver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Ilfautletrouver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Img_ML_1a9i6f1a" hidden="1">"IMG_18"</definedName>
    <definedName name="Img_ML_2b1a1a6f" hidden="1">"IMG_11"</definedName>
    <definedName name="Img_ML_2b2b8h8h" hidden="1">"IMG_10"</definedName>
    <definedName name="Img_ML_2b4d2b3c" hidden="1">"IMG_18"</definedName>
    <definedName name="Img_ML_2e1r5p2m" hidden="1">"IMG_4"</definedName>
    <definedName name="Img_ML_3c7g1a7g" hidden="1">"IMG_3"</definedName>
    <definedName name="Img_ML_3c9i9i4d" hidden="1">"IMG_11"</definedName>
    <definedName name="Img_ML_4d2b6f6f" hidden="1">"IMG_18"</definedName>
    <definedName name="Img_ML_4d4d7g3c" hidden="1">"IMG_5"</definedName>
    <definedName name="Img_ML_4u3z1k5l" hidden="1">"IMG_10"</definedName>
    <definedName name="Img_ML_5e1a1a7g" hidden="1">"IMG_18"</definedName>
    <definedName name="Img_ML_5e7g5e5e" hidden="1">"IMG_17"</definedName>
    <definedName name="Img_ML_5e9i9i2b" hidden="1">"IMG_10"</definedName>
    <definedName name="Img_ML_5h6q3g8u" hidden="1">"IMG_11"</definedName>
    <definedName name="Img_ML_6f2b1a5e" hidden="1">"IMG_5"</definedName>
    <definedName name="Img_ML_6f9i2b5e" hidden="1">"IMG_18"</definedName>
    <definedName name="Img_ML_6k4t7z9z" hidden="1">"IMG_10"</definedName>
    <definedName name="Img_ML_7g5e5e2b" hidden="1">"IMG_3"</definedName>
    <definedName name="Img_ML_7j6w4l1i" hidden="1">"IMG_10"</definedName>
    <definedName name="Img_ML_7m5m4k3b" hidden="1">"IMG_11"</definedName>
    <definedName name="Img_ML_8h5e9i3c" hidden="1">"IMG_17"</definedName>
    <definedName name="Img_ML_8h7g3c9i" hidden="1">"IMG_5"</definedName>
    <definedName name="Img_ML_8h7g4d4d" hidden="1">"IMG_3"</definedName>
    <definedName name="Img_Production_Breakdown" hidden="1">"IMG_3"</definedName>
    <definedName name="imob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come04" localSheetId="0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Income04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Ingresos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gresos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V_ECON_MENSAL" localSheetId="0" hidden="1">{#N/A,#N/A,FALSE,"DEF1";#N/A,#N/A,FALSE,"DEF2";#N/A,#N/A,FALSE,"DEF3"}</definedName>
    <definedName name="INV_ECON_MENSAL" hidden="1">{#N/A,#N/A,FALSE,"DEF1";#N/A,#N/A,FALSE,"DEF2";#N/A,#N/A,FALSE,"DEF3"}</definedName>
    <definedName name="inv_financ_Mensal_desemb" localSheetId="0" hidden="1">{#N/A,#N/A,FALSE,"DEF1";#N/A,#N/A,FALSE,"DEF2";#N/A,#N/A,FALSE,"DEF3"}</definedName>
    <definedName name="inv_financ_Mensal_desemb" hidden="1">{#N/A,#N/A,FALSE,"DEF1";#N/A,#N/A,FALSE,"DEF2";#N/A,#N/A,FALSE,"DEF3"}</definedName>
    <definedName name="invasão" localSheetId="0" hidden="1">{#N/A,#N/A,FALSE,"PACCIL";#N/A,#N/A,FALSE,"PAITACAN";#N/A,#N/A,FALSE,"PARECO";#N/A,#N/A,FALSE,"PA62";#N/A,#N/A,FALSE,"PAFINAL";#N/A,#N/A,FALSE,"PARECONF";#N/A,#N/A,FALSE,"PARECOND"}</definedName>
    <definedName name="invasão" hidden="1">{#N/A,#N/A,FALSE,"PACCIL";#N/A,#N/A,FALSE,"PAITACAN";#N/A,#N/A,FALSE,"PARECO";#N/A,#N/A,FALSE,"PA62";#N/A,#N/A,FALSE,"PAFINAL";#N/A,#N/A,FALSE,"PARECONF";#N/A,#N/A,FALSE,"PARECOND"}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EPS_PRIMARY" hidden="1">"c2232"</definedName>
    <definedName name="IQ_EST_ACT_FFO_THOM" hidden="1">"c4005"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FFO_DIFF_THOM" hidden="1">"c5186"</definedName>
    <definedName name="IQ_EST_FFO_SURPRISE_PERCENT_THOM" hidden="1">"c5187"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"c3668"</definedName>
    <definedName name="IQ_FFO_EST_THOM" hidden="1">"c3999"</definedName>
    <definedName name="IQ_FFO_HIGH_EST_CIQ" hidden="1">"c3670"</definedName>
    <definedName name="IQ_FFO_HIGH_EST_THOM" hidden="1">"c4001"</definedName>
    <definedName name="IQ_FFO_LOW_EST_CIQ" hidden="1">"c3671"</definedName>
    <definedName name="IQ_FFO_LOW_EST_THOM" hidden="1">"c4002"</definedName>
    <definedName name="IQ_FFO_MEDIAN_EST_CIQ" hidden="1">"c3669"</definedName>
    <definedName name="IQ_FFO_MEDIAN_EST_THOM" hidden="1">"c4000"</definedName>
    <definedName name="IQ_FFO_NUM_EST_CIQ" hidden="1">"c3672"</definedName>
    <definedName name="IQ_FFO_NUM_EST_THOM" hidden="1">"c4003"</definedName>
    <definedName name="IQ_FFO_PAYOUT_RATIO" hidden="1">"c3492"</definedName>
    <definedName name="IQ_FFO_STDDEV_EST_CIQ" hidden="1">"c3673"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"04/25/2023 14:00:43"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FFO_12MONTHS" hidden="1">"c1828"</definedName>
    <definedName name="IQ_PERCENT_CHANGE_EST_FFO_12MONTHS_CIQ" hidden="1">"c3769"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39673.7401851852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RCompanyIDFinderH100" hidden="1">#REF!</definedName>
    <definedName name="IQRCompanyIDFinderH101" hidden="1">#REF!</definedName>
    <definedName name="IQRCompanyIDFinderH102" hidden="1">#REF!</definedName>
    <definedName name="IQRCompanyIDFinderH103" hidden="1">#REF!</definedName>
    <definedName name="IQRCompanyIDFinderH104" hidden="1">#REF!</definedName>
    <definedName name="IQRCompanyIDFinderH105" hidden="1">#REF!</definedName>
    <definedName name="IQRCompanyIDFinderH106" hidden="1">#REF!</definedName>
    <definedName name="IQRCompanyIDFinderH107" hidden="1">#REF!</definedName>
    <definedName name="IQRCompanyIDFinderH108" hidden="1">#REF!</definedName>
    <definedName name="IQRCompanyIDFinderH109" hidden="1">#REF!</definedName>
    <definedName name="IQRCompanyIDFinderH110" hidden="1">#REF!</definedName>
    <definedName name="IQRCompanyIDFinderH17" hidden="1">#REF!</definedName>
    <definedName name="IQRCompanyIDFinderH24" hidden="1">#REF!</definedName>
    <definedName name="IQRCompanyIDFinderH25" hidden="1">#REF!</definedName>
    <definedName name="IQRCompanyIDFinderH28" hidden="1">#REF!</definedName>
    <definedName name="IQRCompanyIDFinderH29" hidden="1">#REF!</definedName>
    <definedName name="IQRCompanyIDFinderH32" hidden="1">#REF!</definedName>
    <definedName name="IQRCompanyIDFinderH33" hidden="1">#REF!</definedName>
    <definedName name="IQRCompanyIDFinderH37" hidden="1">#REF!</definedName>
    <definedName name="IQRCompanyIDFinderH38" hidden="1">#REF!</definedName>
    <definedName name="IQRCompanyIDFinderH40" hidden="1">#REF!</definedName>
    <definedName name="IQRCompanyIDFinderH41" hidden="1">#REF!</definedName>
    <definedName name="IQRCompanyIDFinderH43" hidden="1">#REF!</definedName>
    <definedName name="IQRCompanyIDFinderH48" hidden="1">#REF!</definedName>
    <definedName name="IQRCompanyIDFinderH49" hidden="1">#REF!</definedName>
    <definedName name="IQRCompanyIDFinderH52" hidden="1">#REF!</definedName>
    <definedName name="IQRCompanyIDFinderH53" hidden="1">#REF!</definedName>
    <definedName name="IQRCompanyIDFinderH55" hidden="1">#REF!</definedName>
    <definedName name="IQRCompanyIDFinderH59" hidden="1">#REF!</definedName>
    <definedName name="IQRCompanyIDFinderH64" hidden="1">#REF!</definedName>
    <definedName name="IQRCompanyIDFinderH65" hidden="1">#REF!</definedName>
    <definedName name="IQRCompanyIDFinderH66" hidden="1">#REF!</definedName>
    <definedName name="IQRCompanyIDFinderH67" hidden="1">#REF!</definedName>
    <definedName name="IQRCompanyIDFinderH68" hidden="1">#REF!</definedName>
    <definedName name="IQRCompanyIDFinderH69" hidden="1">#REF!</definedName>
    <definedName name="IQRCompanyIDFinderH70" hidden="1">#REF!</definedName>
    <definedName name="IQRCompanyIDFinderH71" hidden="1">#REF!</definedName>
    <definedName name="IQRCompanyIDFinderH72" hidden="1">#REF!</definedName>
    <definedName name="IQRCompanyIDFinderH73" hidden="1">#REF!</definedName>
    <definedName name="IQRCompanyIDFinderH74" hidden="1">#REF!</definedName>
    <definedName name="IQRCompanyIDFinderH75" hidden="1">#REF!</definedName>
    <definedName name="IQRCompanyIDFinderH76" hidden="1">#REF!</definedName>
    <definedName name="IQRCompanyIDFinderH77" hidden="1">#REF!</definedName>
    <definedName name="IQRCompanyIDFinderH78" hidden="1">#REF!</definedName>
    <definedName name="IQRCompanyIDFinderH79" hidden="1">#REF!</definedName>
    <definedName name="IQRCompanyIDFinderH80" hidden="1">#REF!</definedName>
    <definedName name="IQRCompanyIDFinderH81" hidden="1">#REF!</definedName>
    <definedName name="IQRCompanyIDFinderH82" hidden="1">#REF!</definedName>
    <definedName name="IQRCompanyIDFinderH83" hidden="1">#REF!</definedName>
    <definedName name="IQRCompanyIDFinderH84" hidden="1">#REF!</definedName>
    <definedName name="IQRCompanyIDFinderH85" hidden="1">#REF!</definedName>
    <definedName name="IQRCompanyIDFinderH86" hidden="1">#REF!</definedName>
    <definedName name="IQRCompanyIDFinderH87" hidden="1">#REF!</definedName>
    <definedName name="IQRCompanyIDFinderH88" hidden="1">#REF!</definedName>
    <definedName name="IQRCompanyIDFinderH89" hidden="1">#REF!</definedName>
    <definedName name="IQRCompanyIDFinderH90" hidden="1">#REF!</definedName>
    <definedName name="IQRCompanyIDFinderH91" hidden="1">#REF!</definedName>
    <definedName name="IQRCompanyIDFinderH92" hidden="1">#REF!</definedName>
    <definedName name="IQRCompanyIDFinderH93" hidden="1">#REF!</definedName>
    <definedName name="IQRCompanyIDFinderH94" hidden="1">#REF!</definedName>
    <definedName name="IQRCompanyIDFinderH95" hidden="1">#REF!</definedName>
    <definedName name="IQRCompanyIDFinderH96" hidden="1">#REF!</definedName>
    <definedName name="IQRCompanyIDFinderH97" hidden="1">#REF!</definedName>
    <definedName name="IQRCompanyIDFinderH98" hidden="1">#REF!</definedName>
    <definedName name="IQRCompanyIDFinderH99" hidden="1">#REF!</definedName>
    <definedName name="IQRCompanyIDFinderN100" hidden="1">#REF!</definedName>
    <definedName name="IQRCompanyIDFinderN101" hidden="1">#REF!</definedName>
    <definedName name="IQRCompanyIDFinderN102" hidden="1">#REF!</definedName>
    <definedName name="IQRCompanyIDFinderN103" hidden="1">#REF!</definedName>
    <definedName name="IQRCompanyIDFinderN104" hidden="1">#REF!</definedName>
    <definedName name="IQRCompanyIDFinderN105" hidden="1">#REF!</definedName>
    <definedName name="IQRCompanyIDFinderN106" hidden="1">#REF!</definedName>
    <definedName name="IQRCompanyIDFinderN107" hidden="1">#REF!</definedName>
    <definedName name="IQRCompanyIDFinderN108" hidden="1">#REF!</definedName>
    <definedName name="IQRCompanyIDFinderN109" hidden="1">#REF!</definedName>
    <definedName name="IQRCompanyIDFinderN110" hidden="1">#REF!</definedName>
    <definedName name="IQRCompanyIDFinderN111" hidden="1">#REF!</definedName>
    <definedName name="IQRCompanyIDFinderN112" hidden="1">#REF!</definedName>
    <definedName name="IQRCompanyIDFinderN113" hidden="1">#REF!</definedName>
    <definedName name="IQRCompanyIDFinderN114" hidden="1">#REF!</definedName>
    <definedName name="IQRCompanyIDFinderN115" hidden="1">#REF!</definedName>
    <definedName name="IQRCompanyIDFinderN116" hidden="1">#REF!</definedName>
    <definedName name="IQRCompanyIDFinderN117" hidden="1">#REF!</definedName>
    <definedName name="IQRCompanyIDFinderN118" hidden="1">#REF!</definedName>
    <definedName name="IQRCompanyIDFinderN119" hidden="1">#REF!</definedName>
    <definedName name="IQRCompanyIDFinderN120" hidden="1">#REF!</definedName>
    <definedName name="IQRCompanyIDFinderN121" hidden="1">#REF!</definedName>
    <definedName name="IQRCompanyIDFinderN122" hidden="1">#REF!</definedName>
    <definedName name="IQRCompanyIDFinderN123" hidden="1">#REF!</definedName>
    <definedName name="IQRCompanyIDFinderN124" hidden="1">#REF!</definedName>
    <definedName name="IQRCompanyIDFinderN125" hidden="1">#REF!</definedName>
    <definedName name="IQRCompanyIDFinderN126" hidden="1">#REF!</definedName>
    <definedName name="IQRCompanyIDFinderN127" hidden="1">#REF!</definedName>
    <definedName name="IQRCompanyIDFinderN128" hidden="1">#REF!</definedName>
    <definedName name="IQRCompanyIDFinderN129" hidden="1">#REF!</definedName>
    <definedName name="IQRCompanyIDFinderN130" hidden="1">#REF!</definedName>
    <definedName name="IQRCompanyIDFinderN131" hidden="1">#REF!</definedName>
    <definedName name="IQRCompanyIDFinderN17" hidden="1">#REF!</definedName>
    <definedName name="IQRCompanyIDFinderN18" hidden="1">#REF!</definedName>
    <definedName name="IQRCompanyIDFinderN19" hidden="1">#REF!</definedName>
    <definedName name="IQRCompanyIDFinderN25" hidden="1">#REF!</definedName>
    <definedName name="IQRCompanyIDFinderN26" hidden="1">#REF!</definedName>
    <definedName name="IQRCompanyIDFinderN27" hidden="1">#REF!</definedName>
    <definedName name="IQRCompanyIDFinderN28" hidden="1">#REF!</definedName>
    <definedName name="IQRCompanyIDFinderN29" hidden="1">#REF!</definedName>
    <definedName name="IQRCompanyIDFinderN32" hidden="1">#REF!</definedName>
    <definedName name="IQRCompanyIDFinderN33" hidden="1">#REF!</definedName>
    <definedName name="IQRCompanyIDFinderN37" hidden="1">#REF!</definedName>
    <definedName name="IQRCompanyIDFinderN38" hidden="1">#REF!</definedName>
    <definedName name="IQRCompanyIDFinderN41" hidden="1">#REF!</definedName>
    <definedName name="IQRCompanyIDFinderN42" hidden="1">#REF!</definedName>
    <definedName name="IQRCompanyIDFinderN48" hidden="1">#REF!</definedName>
    <definedName name="IQRCompanyIDFinderN49" hidden="1">#REF!</definedName>
    <definedName name="IQRCompanyIDFinderN53" hidden="1">#REF!</definedName>
    <definedName name="IQRCompanyIDFinderN59" hidden="1">#REF!</definedName>
    <definedName name="IQRCompanyIDFinderN60" hidden="1">#REF!</definedName>
    <definedName name="IQRCompanyIDFinderN61" hidden="1">#REF!</definedName>
    <definedName name="IQRCompanyIDFinderN63" hidden="1">#REF!</definedName>
    <definedName name="IQRCompanyIDFinderN64" hidden="1">#REF!</definedName>
    <definedName name="IQRCompanyIDFinderN65" hidden="1">#REF!</definedName>
    <definedName name="IQRCompanyIDFinderN66" hidden="1">#REF!</definedName>
    <definedName name="IQRCompanyIDFinderN67" hidden="1">#REF!</definedName>
    <definedName name="IQRCompanyIDFinderN68" hidden="1">#REF!</definedName>
    <definedName name="IQRCompanyIDFinderN69" hidden="1">#REF!</definedName>
    <definedName name="IQRCompanyIDFinderN70" hidden="1">#REF!</definedName>
    <definedName name="IQRCompanyIDFinderN71" hidden="1">#REF!</definedName>
    <definedName name="IQRCompanyIDFinderN72" hidden="1">#REF!</definedName>
    <definedName name="IQRCompanyIDFinderN73" hidden="1">#REF!</definedName>
    <definedName name="IQRCompanyIDFinderN74" hidden="1">#REF!</definedName>
    <definedName name="IQRCompanyIDFinderN75" hidden="1">#REF!</definedName>
    <definedName name="IQRCompanyIDFinderN76" hidden="1">#REF!</definedName>
    <definedName name="IQRCompanyIDFinderN77" hidden="1">#REF!</definedName>
    <definedName name="IQRCompanyIDFinderN78" hidden="1">#REF!</definedName>
    <definedName name="IQRCompanyIDFinderN79" hidden="1">#REF!</definedName>
    <definedName name="IQRCompanyIDFinderN80" hidden="1">#REF!</definedName>
    <definedName name="IQRCompanyIDFinderN81" hidden="1">#REF!</definedName>
    <definedName name="IQRCompanyIDFinderN82" hidden="1">#REF!</definedName>
    <definedName name="IQRCompanyIDFinderN83" hidden="1">#REF!</definedName>
    <definedName name="IQRCompanyIDFinderN84" hidden="1">#REF!</definedName>
    <definedName name="IQRCompanyIDFinderN85" hidden="1">#REF!</definedName>
    <definedName name="IQRCompanyIDFinderN86" hidden="1">#REF!</definedName>
    <definedName name="IQRCompanyIDFinderN87" hidden="1">#REF!</definedName>
    <definedName name="IQRCompanyIDFinderN88" hidden="1">#REF!</definedName>
    <definedName name="IQRCompanyIDFinderN89" hidden="1">#REF!</definedName>
    <definedName name="IQRCompanyIDFinderN90" hidden="1">#REF!</definedName>
    <definedName name="IQRCompanyIDFinderN91" hidden="1">#REF!</definedName>
    <definedName name="IQRCompanyIDFinderN92" hidden="1">#REF!</definedName>
    <definedName name="IQRCompanyIDFinderN93" hidden="1">#REF!</definedName>
    <definedName name="IQRCompanyIDFinderN94" hidden="1">#REF!</definedName>
    <definedName name="IQRCompanyIDFinderN95" hidden="1">#REF!</definedName>
    <definedName name="IQRCompanyIDFinderN96" hidden="1">#REF!</definedName>
    <definedName name="IQRCompanyIDFinderN97" hidden="1">#REF!</definedName>
    <definedName name="IQRCompanyIDFinderN98" hidden="1">#REF!</definedName>
    <definedName name="IQRCompanyIDFinderN99" hidden="1">#REF!</definedName>
    <definedName name="IQRH58" hidden="1">"$H$59:$H$65"</definedName>
    <definedName name="IQRN10" hidden="1">"$O$10:$S$10"</definedName>
    <definedName name="IQRN11" hidden="1">"$O$11:$P$11"</definedName>
    <definedName name="IQRN12" hidden="1">"$O$12:$S$12"</definedName>
    <definedName name="IQRN13" hidden="1">"$O$13:$S$13"</definedName>
    <definedName name="IQRN14" hidden="1">"$O$14:$S$14"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"$O$19:$Q$19"</definedName>
    <definedName name="IQRT10" hidden="1">"$U$10:$Y$10"</definedName>
    <definedName name="IQRT11" hidden="1">"$U$11:$V$11"</definedName>
    <definedName name="IQRT12" hidden="1">"$U$12:$Y$12"</definedName>
    <definedName name="IQRT13" hidden="1">"$U$13:$Y$13"</definedName>
    <definedName name="IQRT14" hidden="1">"$U$14:$Y$14"</definedName>
    <definedName name="IQRT15" hidden="1">"$U$15:$Y$15"</definedName>
    <definedName name="IQRT16" hidden="1">"$U$16:$Y$16"</definedName>
    <definedName name="IQRT17" hidden="1">"$U$17:$Y$17"</definedName>
    <definedName name="IQRT18" hidden="1">"$U$18:$Y$18"</definedName>
    <definedName name="IQRT19" hidden="1">"$U$19:$W$19"</definedName>
    <definedName name="iQShowHideColumns" hidden="1">"iQShowQuarterlyAnnual"</definedName>
    <definedName name="IRPJ98" localSheetId="0" hidden="1">{#N/A,#N/A,FALSE,"IR E CS 1997";#N/A,#N/A,FALSE,"PR ND";#N/A,#N/A,FALSE,"8191";#N/A,#N/A,FALSE,"8383";#N/A,#N/A,FALSE,"MP 1024";#N/A,#N/A,FALSE,"AD_EX_97";#N/A,#N/A,FALSE,"BD 97"}</definedName>
    <definedName name="IRPJ98" hidden="1">{#N/A,#N/A,FALSE,"IR E CS 1997";#N/A,#N/A,FALSE,"PR ND";#N/A,#N/A,FALSE,"8191";#N/A,#N/A,FALSE,"8383";#N/A,#N/A,FALSE,"MP 1024";#N/A,#N/A,FALSE,"AD_EX_97";#N/A,#N/A,FALSE,"BD 97"}</definedName>
    <definedName name="IsColHidden" hidden="1">FALSE</definedName>
    <definedName name="IsLTMColHidden" hidden="1">FALSE</definedName>
    <definedName name="iui" hidden="1">#REF!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ck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d" localSheetId="0" hidden="1">{#N/A,"30% Success",TRUE,"Sales Forecast";#N/A,#N/A,TRUE,"Sheet2"}</definedName>
    <definedName name="jad" hidden="1">{#N/A,"30% Success",TRUE,"Sales Forecast";#N/A,#N/A,TRUE,"Sheet2"}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hh" localSheetId="0" hidden="1">{#N/A,#N/A,FALSE,"PACCIL";#N/A,#N/A,FALSE,"PAITACAN";#N/A,#N/A,FALSE,"PARECO";#N/A,#N/A,FALSE,"PA62";#N/A,#N/A,FALSE,"PAFINAL";#N/A,#N/A,FALSE,"PARECONF";#N/A,#N/A,FALSE,"PARECOND"}</definedName>
    <definedName name="jhhh" hidden="1">{#N/A,#N/A,FALSE,"PACCIL";#N/A,#N/A,FALSE,"PAITACAN";#N/A,#N/A,FALSE,"PARECO";#N/A,#N/A,FALSE,"PA62";#N/A,#N/A,FALSE,"PAFINAL";#N/A,#N/A,FALSE,"PARECONF";#N/A,#N/A,FALSE,"PARECOND"}</definedName>
    <definedName name="jhkjh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hkj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im" localSheetId="0" hidden="1">{"'Directory'!$A$72:$E$91"}</definedName>
    <definedName name="jim" hidden="1">{"'Directory'!$A$72:$E$91"}</definedName>
    <definedName name="jnknkjn" hidden="1">#REF!</definedName>
    <definedName name="jnv" localSheetId="0" hidden="1">{#N/A,#N/A,FALSE,"Hoja1";#N/A,#N/A,FALSE,"Hoja2"}</definedName>
    <definedName name="jnv" hidden="1">{#N/A,#N/A,FALSE,"Hoja1";#N/A,#N/A,FALSE,"Hoja2"}</definedName>
    <definedName name="joaquim" localSheetId="0" hidden="1">{#N/A,"100% Success",TRUE,"Sales Forecast";#N/A,#N/A,TRUE,"Sheet2"}</definedName>
    <definedName name="joaquim" hidden="1">{#N/A,"100% Success",TRUE,"Sales Forecast";#N/A,#N/A,TRUE,"Sheet2"}</definedName>
    <definedName name="jygy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yg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ytjty" localSheetId="0" hidden="1">{"summary1",#N/A,TRUE,"Comps";"summary2",#N/A,TRUE,"Comps";"summary3",#N/A,TRUE,"Comps"}</definedName>
    <definedName name="jytjty" hidden="1">{"summary1",#N/A,TRUE,"Comps";"summary2",#N/A,TRUE,"Comps";"summary3",#N/A,TRUE,"Comps"}</definedName>
    <definedName name="jytyj" localSheetId="0" hidden="1">{#N/A,"DR",FALSE,"increm pf";#N/A,"MAMSI",FALSE,"increm pf";#N/A,"MAXI",FALSE,"increm pf";#N/A,"PCAM",FALSE,"increm pf";#N/A,"PHSV",FALSE,"increm pf";#N/A,"SIE",FALSE,"increm pf"}</definedName>
    <definedName name="jytyj" hidden="1">{#N/A,"DR",FALSE,"increm pf";#N/A,"MAMSI",FALSE,"increm pf";#N/A,"MAXI",FALSE,"increm pf";#N/A,"PCAM",FALSE,"increm pf";#N/A,"PHSV",FALSE,"increm pf";#N/A,"SIE",FALSE,"increm pf"}</definedName>
    <definedName name="Kastrup" localSheetId="0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Kastrup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keya" hidden="1">#N/A</definedName>
    <definedName name="kjk" localSheetId="0" hidden="1">{"'Edit'!$A$1:$V$2277"}</definedName>
    <definedName name="kjk" hidden="1">{"'Edit'!$A$1:$V$2277"}</definedName>
    <definedName name="kkk" hidden="1">#REF!</definedName>
    <definedName name="kkkk" localSheetId="0" hidden="1">{#N/A,#N/A,FALSE,"Acum Julio - 00"}</definedName>
    <definedName name="kkkk" hidden="1">{#N/A,#N/A,FALSE,"Acum Julio - 00"}</definedName>
    <definedName name="kkkkk" localSheetId="0" hidden="1">{"TotalGeralDespesasPorArea",#N/A,FALSE,"VinculosAccessEfetivo"}</definedName>
    <definedName name="kkkkk" hidden="1">{"TotalGeralDespesasPorArea",#N/A,FALSE,"VinculosAccessEfetivo"}</definedName>
    <definedName name="klj" localSheetId="0" hidden="1">{"'COMBUSTÍVEIS'!$A$1:$K$88"}</definedName>
    <definedName name="klj" hidden="1">{"'COMBUSTÍVEIS'!$A$1:$K$88"}</definedName>
    <definedName name="kljflksjk" localSheetId="0" hidden="1">{#N/A,#N/A,FALSE,"SIM95"}</definedName>
    <definedName name="kljflksjk" hidden="1">{#N/A,#N/A,FALSE,"SIM95"}</definedName>
    <definedName name="lala" localSheetId="0" hidden="1">{"'RR'!$A$2:$E$81"}</definedName>
    <definedName name="lala" hidden="1">{"'RR'!$A$2:$E$81"}</definedName>
    <definedName name="LBOCreditConsol" localSheetId="0" hidden="1">{"FCB_ALL",#N/A,FALSE,"FCB"}</definedName>
    <definedName name="LBOCreditConsol" hidden="1">{"FCB_ALL",#N/A,FALSE,"FCB"}</definedName>
    <definedName name="ldlwkldkwd" hidden="1">16</definedName>
    <definedName name="LEIVLAJA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IVLAJA" hidden="1">{#N/A,#N/A,TRUE,"DIVIDER PAGE";#N/A,#N/A,TRUE,"Exist + Reg A IS";#N/A,#N/A,TRUE,"Summary IS exc. B";#N/A,#N/A,TRUE,"New Stores";#N/A,#N/A,TRUE,"Existing DCF";#N/A,#N/A,TRUE,"Region A DCF";#N/A,#N/A,TRUE,"Existing + Reg. A DCF"}</definedName>
    <definedName name="LG" localSheetId="0" hidden="1">{#N/A,#N/A,FALSE,"Aging Summary";#N/A,#N/A,FALSE,"Ratio Analysis";#N/A,#N/A,FALSE,"Test 120 Day Accts";#N/A,#N/A,FALSE,"Tickmarks"}</definedName>
    <definedName name="LG" hidden="1">{#N/A,#N/A,FALSE,"Aging Summary";#N/A,#N/A,FALSE,"Ratio Analysis";#N/A,#N/A,FALSE,"Test 120 Day Accts";#N/A,#N/A,FALSE,"Tickmarks"}</definedName>
    <definedName name="LGE" localSheetId="0" hidden="1">{#N/A,#N/A,FALSE,"IR E CS 1997";#N/A,#N/A,FALSE,"PR ND";#N/A,#N/A,FALSE,"8191";#N/A,#N/A,FALSE,"8383";#N/A,#N/A,FALSE,"MP 1024";#N/A,#N/A,FALSE,"AD_EX_97";#N/A,#N/A,FALSE,"BD 97"}</definedName>
    <definedName name="LGE" hidden="1">{#N/A,#N/A,FALSE,"IR E CS 1997";#N/A,#N/A,FALSE,"PR ND";#N/A,#N/A,FALSE,"8191";#N/A,#N/A,FALSE,"8383";#N/A,#N/A,FALSE,"MP 1024";#N/A,#N/A,FALSE,"AD_EX_97";#N/A,#N/A,FALSE,"BD 97"}</definedName>
    <definedName name="limcount" hidden="1">4</definedName>
    <definedName name="ListOffset" hidden="1">1</definedName>
    <definedName name="ll" localSheetId="0" hidden="1">{#N/A,#N/A,FALSE,"DIXIE TOGA"}</definedName>
    <definedName name="ll" hidden="1">{#N/A,#N/A,FALSE,"DIXIE TOGA"}</definedName>
    <definedName name="lllllllll" hidden="1">#REF!</definedName>
    <definedName name="LLLLLLLLLLLLLL" localSheetId="0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LLLLLLLLLLLLLL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lopes" localSheetId="0" hidden="1">{#N/A,#N/A,FALSE,"PACCIL";#N/A,#N/A,FALSE,"PAITACAN";#N/A,#N/A,FALSE,"PARECO";#N/A,#N/A,FALSE,"PA62";#N/A,#N/A,FALSE,"PAFINAL";#N/A,#N/A,FALSE,"PARECONF";#N/A,#N/A,FALSE,"PARECOND"}</definedName>
    <definedName name="lopes" hidden="1">{#N/A,#N/A,FALSE,"PACCIL";#N/A,#N/A,FALSE,"PAITACAN";#N/A,#N/A,FALSE,"PARECO";#N/A,#N/A,FALSE,"PA62";#N/A,#N/A,FALSE,"PAFINAL";#N/A,#N/A,FALSE,"PARECONF";#N/A,#N/A,FALSE,"PARECOND"}</definedName>
    <definedName name="LOV_DesktopGlAccountsCrossValRulesPageDef_AccountSin" hidden="1">#REF!</definedName>
    <definedName name="lu" localSheetId="0" hidden="1">{"Margin for 1997 static",#N/A,FALSE,"Sheet1";"Margin static per subs",#N/A,FALSE,"Sheet1"}</definedName>
    <definedName name="lu" hidden="1">{"Margin for 1997 static",#N/A,FALSE,"Sheet1";"Margin static per subs",#N/A,FALSE,"Sheet1"}</definedName>
    <definedName name="luciano" hidden="1">#REF!</definedName>
    <definedName name="m" hidden="1">#REF!</definedName>
    <definedName name="M_PlaceofPath" hidden="1">"\\snyceqt0301\vdf$\tmp\blabla"</definedName>
    <definedName name="M1.2" localSheetId="0" hidden="1">{#N/A,#N/A,FALSE,"1321";#N/A,#N/A,FALSE,"1324";#N/A,#N/A,FALSE,"1333";#N/A,#N/A,FALSE,"1371"}</definedName>
    <definedName name="M1.2" hidden="1">{#N/A,#N/A,FALSE,"1321";#N/A,#N/A,FALSE,"1324";#N/A,#N/A,FALSE,"1333";#N/A,#N/A,FALSE,"1371"}</definedName>
    <definedName name="M2.1" localSheetId="0" hidden="1">{#N/A,#N/A,FALSE,"1321";#N/A,#N/A,FALSE,"1324";#N/A,#N/A,FALSE,"1333";#N/A,#N/A,FALSE,"1371"}</definedName>
    <definedName name="M2.1" hidden="1">{#N/A,#N/A,FALSE,"1321";#N/A,#N/A,FALSE,"1324";#N/A,#N/A,FALSE,"1333";#N/A,#N/A,FALSE,"1371"}</definedName>
    <definedName name="maquinas" localSheetId="0" hidden="1">{#N/A,#N/A,FALSE,"PACCIL";#N/A,#N/A,FALSE,"PAITACAN";#N/A,#N/A,FALSE,"PARECO";#N/A,#N/A,FALSE,"PA62";#N/A,#N/A,FALSE,"PAFINAL";#N/A,#N/A,FALSE,"PARECONF";#N/A,#N/A,FALSE,"PARECOND"}</definedName>
    <definedName name="maquinas" hidden="1">{#N/A,#N/A,FALSE,"PACCIL";#N/A,#N/A,FALSE,"PAITACAN";#N/A,#N/A,FALSE,"PARECO";#N/A,#N/A,FALSE,"PA62";#N/A,#N/A,FALSE,"PAFINAL";#N/A,#N/A,FALSE,"PARECONF";#N/A,#N/A,FALSE,"PARECOND"}</definedName>
    <definedName name="marco" hidden="1">#REF!</definedName>
    <definedName name="market" localSheetId="0" hidden="1">{#N/A,"70% Success",FALSE,"Sales Forecast";#N/A,#N/A,FALSE,"Sheet2"}</definedName>
    <definedName name="market" hidden="1">{#N/A,"70% Success",FALSE,"Sales Forecast";#N/A,#N/A,FALSE,"Sheet2"}</definedName>
    <definedName name="marzo" localSheetId="0" hidden="1">{#N/A,#N/A,FALSE,"Acum Julio - 00"}</definedName>
    <definedName name="marzo" hidden="1">{#N/A,#N/A,FALSE,"Acum Julio - 00"}</definedName>
    <definedName name="marzo1" localSheetId="0" hidden="1">{#N/A,#N/A,FALSE,"Acum Julio - 00"}</definedName>
    <definedName name="marzo1" hidden="1">{#N/A,#N/A,FALSE,"Acum Julio - 00"}</definedName>
    <definedName name="MAX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MAX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mbnmbmb" localSheetId="0" hidden="1">{#N/A,"Base",FALSE,"Dividend";#N/A,"Conservative",FALSE,"Dividend";#N/A,"Downside",FALSE,"Dividend"}</definedName>
    <definedName name="mbnmbmb" hidden="1">{#N/A,"Base",FALSE,"Dividend";#N/A,"Conservative",FALSE,"Dividend";#N/A,"Downside",FALSE,"Dividend"}</definedName>
    <definedName name="meoi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cadorias" localSheetId="0" hidden="1">{#N/A,#N/A,FALSE,"PACCIL";#N/A,#N/A,FALSE,"PAITACAN";#N/A,#N/A,FALSE,"PARECO";#N/A,#N/A,FALSE,"PA62";#N/A,#N/A,FALSE,"PAFINAL";#N/A,#N/A,FALSE,"PARECONF";#N/A,#N/A,FALSE,"PARECOND"}</definedName>
    <definedName name="mercadorias" hidden="1">{#N/A,#N/A,FALSE,"PACCIL";#N/A,#N/A,FALSE,"PAITACAN";#N/A,#N/A,FALSE,"PARECO";#N/A,#N/A,FALSE,"PA62";#N/A,#N/A,FALSE,"PAFINAL";#N/A,#N/A,FALSE,"PARECONF";#N/A,#N/A,FALSE,"PARECOND"}</definedName>
    <definedName name="MerrillPrintIt" hidden="1">#N/A</definedName>
    <definedName name="metalur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LNK0b11bf7e2b1d40ad80e656475a84bc4f" hidden="1">#REF!</definedName>
    <definedName name="MLNK0bb9e2c3441b428185b37803f44b025f" hidden="1">#REF!</definedName>
    <definedName name="MLNK0e3b13c4e94d4aaebc0206c521de296e" hidden="1">#REF!</definedName>
    <definedName name="MLNK24de39fd0fde49088761ab6fab408c5a" hidden="1">#REF!</definedName>
    <definedName name="MLNK37ee195a19474d7e9406eaa290b23949" hidden="1">#REF!</definedName>
    <definedName name="MLNK39ff699828ea4c30aa3a275777508e04" hidden="1">#REF!</definedName>
    <definedName name="MLNK433a57f87a344dd9b5ba5990e0ea773d" hidden="1">#REF!</definedName>
    <definedName name="MLNK50027b9ae4ae41658701e7ba24564af9" hidden="1">#REF!</definedName>
    <definedName name="MLNK8e08cc8112064caf9753bb4ac362ac88" hidden="1">#REF!</definedName>
    <definedName name="MLNK913f4b439ed54185b797cc484391b3cc" hidden="1">#REF!</definedName>
    <definedName name="MLNK944f88ae4012417a834d2309958422e2" hidden="1">#REF!</definedName>
    <definedName name="MLNKa63cc6c0b0e2431b958d4ac5204287aa" hidden="1">#REF!</definedName>
    <definedName name="MLNKca0dbfbe7eb340f89b403e0c7e9931f0" hidden="1">#REF!</definedName>
    <definedName name="MLNKce0f7650737a451cbd8bbd13e6c8828d" hidden="1">#REF!</definedName>
    <definedName name="MLNKdbdf63d330074b1b8b71f49457195bb9" hidden="1">#REF!</definedName>
    <definedName name="MLNKe5eda53706b44be0a9b320229d5d8cab" hidden="1">#REF!</definedName>
    <definedName name="MLNKeb19893831ee4658ae38f0fccece34e7" hidden="1">#REF!</definedName>
    <definedName name="mm" localSheetId="0" hidden="1">{#N/A,#N/A,FALSE,"PACCIL";#N/A,#N/A,FALSE,"PAITACAN";#N/A,#N/A,FALSE,"PARECO";#N/A,#N/A,FALSE,"PA62";#N/A,#N/A,FALSE,"PAFINAL";#N/A,#N/A,FALSE,"PARECONF";#N/A,#N/A,FALSE,"PARECOND"}</definedName>
    <definedName name="mm" hidden="1">{#N/A,#N/A,FALSE,"PACCIL";#N/A,#N/A,FALSE,"PAITACAN";#N/A,#N/A,FALSE,"PARECO";#N/A,#N/A,FALSE,"PA62";#N/A,#N/A,FALSE,"PAFINAL";#N/A,#N/A,FALSE,"PARECONF";#N/A,#N/A,FALSE,"PARECOND"}</definedName>
    <definedName name="mmm" localSheetId="0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mmm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mmreeee" hidden="1">#REF!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viment" hidden="1">#REF!</definedName>
    <definedName name="n" localSheetId="0" hidden="1">{#N/A,#N/A,FALSE,"1321";#N/A,#N/A,FALSE,"1324";#N/A,#N/A,FALSE,"1333";#N/A,#N/A,FALSE,"1371"}</definedName>
    <definedName name="n" hidden="1">{#N/A,#N/A,FALSE,"1321";#N/A,#N/A,FALSE,"1324";#N/A,#N/A,FALSE,"1333";#N/A,#N/A,FALSE,"1371"}</definedName>
    <definedName name="name" localSheetId="0" hidden="1">{#N/A,#N/A,FALSE,"IRENDA"}</definedName>
    <definedName name="name" hidden="1">{#N/A,#N/A,FALSE,"IRENDA"}</definedName>
    <definedName name="nbmbmnm" localSheetId="0" hidden="1">{"FCB_ALL",#N/A,FALSE,"FCB"}</definedName>
    <definedName name="nbmbmnm" hidden="1">{"FCB_ALL",#N/A,FALSE,"FCB"}</definedName>
    <definedName name="ncas" localSheetId="0" hidden="1">{"FCB_ALL",#N/A,FALSE,"FCB";"GREY_ALL",#N/A,FALSE,"GREY"}</definedName>
    <definedName name="ncas" hidden="1">{"FCB_ALL",#N/A,FALSE,"FCB";"GREY_ALL",#N/A,FALSE,"GREY"}</definedName>
    <definedName name="newbel" localSheetId="0" hidden="1">{"'Directory'!$A$72:$E$91"}</definedName>
    <definedName name="newbel" hidden="1">{"'Directory'!$A$72:$E$91"}</definedName>
    <definedName name="newbls" localSheetId="0" hidden="1">{"'Directory'!$A$72:$E$91"}</definedName>
    <definedName name="newbls" hidden="1">{"'Directory'!$A$72:$E$91"}</definedName>
    <definedName name="NewRange" hidden="1">#N/A</definedName>
    <definedName name="newt" localSheetId="0" hidden="1">{"'Directory'!$A$72:$E$91"}</definedName>
    <definedName name="newt" hidden="1">{"'Directory'!$A$72:$E$91"}</definedName>
    <definedName name="newwcom" localSheetId="0" hidden="1">{"'Directory'!$A$72:$E$91"}</definedName>
    <definedName name="newwcom" hidden="1">{"'Directory'!$A$72:$E$91"}</definedName>
    <definedName name="NEWWW" localSheetId="0" hidden="1">{"'PXR_6500'!$A$1:$I$124"}</definedName>
    <definedName name="NEWWW" hidden="1">{"'PXR_6500'!$A$1:$I$124"}</definedName>
    <definedName name="nmm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m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NMNMNMNM" localSheetId="0" hidden="1">{#N/A,#N/A,FALSE,"Aging Summary";#N/A,#N/A,FALSE,"Ratio Analysis";#N/A,#N/A,FALSE,"Test 120 Day Accts";#N/A,#N/A,FALSE,"Tickmarks"}</definedName>
    <definedName name="NMNMNMNM" hidden="1">{#N/A,#N/A,FALSE,"Aging Summary";#N/A,#N/A,FALSE,"Ratio Analysis";#N/A,#N/A,FALSE,"Test 120 Day Accts";#N/A,#N/A,FALSE,"Tickmarks"}</definedName>
    <definedName name="nn" localSheetId="0" hidden="1">{#N/A,#N/A,FALSE,"PACCIL";#N/A,#N/A,FALSE,"PAITACAN";#N/A,#N/A,FALSE,"PARECO";#N/A,#N/A,FALSE,"PA62";#N/A,#N/A,FALSE,"PAFINAL";#N/A,#N/A,FALSE,"PARECONF";#N/A,#N/A,FALSE,"PARECOND"}</definedName>
    <definedName name="nn" hidden="1">{#N/A,#N/A,FALSE,"PACCIL";#N/A,#N/A,FALSE,"PAITACAN";#N/A,#N/A,FALSE,"PARECO";#N/A,#N/A,FALSE,"PA62";#N/A,#N/A,FALSE,"PAFINAL";#N/A,#N/A,FALSE,"PARECONF";#N/A,#N/A,FALSE,"PARECOND"}</definedName>
    <definedName name="nnn" localSheetId="0" hidden="1">{#N/A,#N/A,FALSE,"1321";#N/A,#N/A,FALSE,"1324";#N/A,#N/A,FALSE,"1333";#N/A,#N/A,FALSE,"1371"}</definedName>
    <definedName name="nnn" hidden="1">{#N/A,#N/A,FALSE,"1321";#N/A,#N/A,FALSE,"1324";#N/A,#N/A,FALSE,"1333";#N/A,#N/A,FALSE,"1371"}</definedName>
    <definedName name="NQN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QN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umofGrpAccts" hidden="1">3</definedName>
    <definedName name="nwncn" hidden="1">22</definedName>
    <definedName name="oiwea" localSheetId="0" hidden="1">{"FCB_ALL",#N/A,FALSE,"FCB";"GREY_ALL",#N/A,FALSE,"GREY"}</definedName>
    <definedName name="oiwea" hidden="1">{"FCB_ALL",#N/A,FALSE,"FCB";"GREY_ALL",#N/A,FALSE,"GREY"}</definedName>
    <definedName name="oj" localSheetId="0" hidden="1">{#N/A,#N/A,FALSE,"RGD$";#N/A,#N/A,FALSE,"BG$";#N/A,#N/A,FALSE,"FC$"}</definedName>
    <definedName name="oj" hidden="1">{#N/A,#N/A,FALSE,"RGD$";#N/A,#N/A,FALSE,"BG$";#N/A,#N/A,FALSE,"FC$"}</definedName>
    <definedName name="ooo" hidden="1">#REF!</definedName>
    <definedName name="OUTRO" localSheetId="0" hidden="1">{"'PXR_6500'!$A$1:$I$124"}</definedName>
    <definedName name="OUTRO" hidden="1">{"'PXR_6500'!$A$1:$I$124"}</definedName>
    <definedName name="outros" localSheetId="0" hidden="1">{#N/A,#N/A,FALSE,"PACCIL";#N/A,#N/A,FALSE,"PAITACAN";#N/A,#N/A,FALSE,"PARECO";#N/A,#N/A,FALSE,"PA62";#N/A,#N/A,FALSE,"PAFINAL";#N/A,#N/A,FALSE,"PARECONF";#N/A,#N/A,FALSE,"PARECOND"}</definedName>
    <definedName name="outros" hidden="1">{#N/A,#N/A,FALSE,"PACCIL";#N/A,#N/A,FALSE,"PAITACAN";#N/A,#N/A,FALSE,"PARECO";#N/A,#N/A,FALSE,"PA62";#N/A,#N/A,FALSE,"PAFINAL";#N/A,#N/A,FALSE,"PARECONF";#N/A,#N/A,FALSE,"PARECOND"}</definedName>
    <definedName name="parar" hidden="1">#REF!</definedName>
    <definedName name="Parte1a." localSheetId="0" hidden="1">{"PARTE1",#N/A,FALSE,"Plan1"}</definedName>
    <definedName name="Parte1a." hidden="1">{"PARTE1",#N/A,FALSE,"Plan1"}</definedName>
    <definedName name="PDC" hidden="1">#REF!</definedName>
    <definedName name="pedro" localSheetId="0" hidden="1">{#N/A,"30% Success",TRUE,"Sales Forecast";#N/A,#N/A,TRUE,"Sheet2"}</definedName>
    <definedName name="pedro" hidden="1">{#N/A,"30% Success",TRUE,"Sales Forecast";#N/A,#N/A,TRUE,"Sheet2"}</definedName>
    <definedName name="PeterTEST" localSheetId="0" hidden="1">{#N/A,#N/A,TRUE,"Acq-Ass";#N/A,#N/A,TRUE,"Acq-IS";#N/A,#N/A,TRUE,"Acq-BS";#N/A,#N/A,TRUE,"Acq-CF"}</definedName>
    <definedName name="PeterTEST" hidden="1">{#N/A,#N/A,TRUE,"Acq-Ass";#N/A,#N/A,TRUE,"Acq-IS";#N/A,#N/A,TRUE,"Acq-BS";#N/A,#N/A,TRUE,"Acq-CF"}</definedName>
    <definedName name="pi" hidden="1">#REF!</definedName>
    <definedName name="pinco" hidden="1">#REF!</definedName>
    <definedName name="pippo" hidden="1">#REF!</definedName>
    <definedName name="PLAN" hidden="1">#REF!</definedName>
    <definedName name="PPPPP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PPPPP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pppppppp" hidden="1">#REF!</definedName>
    <definedName name="Premissas" localSheetId="0" hidden="1">{"summary1",#N/A,TRUE,"Comps";"summary2",#N/A,TRUE,"Comps";"summary3",#N/A,TRUE,"Comps"}</definedName>
    <definedName name="Premissas" hidden="1">{"summary1",#N/A,TRUE,"Comps";"summary2",#N/A,TRUE,"Comps";"summary3",#N/A,TRUE,"Comps"}</definedName>
    <definedName name="PRES" localSheetId="0" hidden="1">{"'COMBUSTÍVEIS'!$A$1:$K$88"}</definedName>
    <definedName name="PRES" hidden="1">{"'COMBUSTÍVEIS'!$A$1:$K$88"}</definedName>
    <definedName name="Previsao" localSheetId="0" hidden="1">{"'Índice'!$A$1:$K$49"}</definedName>
    <definedName name="Previsao" hidden="1">{"'Índice'!$A$1:$K$49"}</definedName>
    <definedName name="prgrp" localSheetId="0" hidden="1">{"cap_structure",#N/A,FALSE,"Graph-Mkt Cap";"price",#N/A,FALSE,"Graph-Price";"ebit",#N/A,FALSE,"Graph-EBITDA";"ebitda",#N/A,FALSE,"Graph-EBITDA"}</definedName>
    <definedName name="prgrp" hidden="1">{"cap_structure",#N/A,FALSE,"Graph-Mkt Cap";"price",#N/A,FALSE,"Graph-Price";"ebit",#N/A,FALSE,"Graph-EBITDA";"ebitda",#N/A,FALSE,"Graph-EBITDA"}</definedName>
    <definedName name="PRIM" localSheetId="0" hidden="1">{"'RR'!$A$2:$E$81"}</definedName>
    <definedName name="PRIM" hidden="1">{"'RR'!$A$2:$E$81"}</definedName>
    <definedName name="prm" localSheetId="0" hidden="1">{#N/A,#N/A,FALSE,"model"}</definedName>
    <definedName name="prm" hidden="1">{#N/A,#N/A,FALSE,"model"}</definedName>
    <definedName name="prn" localSheetId="0" hidden="1">{#N/A,#N/A,FALSE,"model"}</definedName>
    <definedName name="prn" hidden="1">{#N/A,#N/A,FALSE,"model"}</definedName>
    <definedName name="pro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pro" hidden="1">{#N/A,#N/A,FALSE,"Relatórios";"Vendas e Custos",#N/A,FALSE,"Vendas e Custos";"Premissas",#N/A,FALSE,"Premissas";"Projeções",#N/A,FALSE,"Projeções";"Dolar",#N/A,FALSE,"Dolar";"Original",#N/A,FALSE,"Original e UFIR"}</definedName>
    <definedName name="prova" localSheetId="0" hidden="1">{#N/A,#N/A,FALSE,"PACCIL";#N/A,#N/A,FALSE,"PAITACAN";#N/A,#N/A,FALSE,"PARECO";#N/A,#N/A,FALSE,"PA62";#N/A,#N/A,FALSE,"PAFINAL";#N/A,#N/A,FALSE,"PARECONF";#N/A,#N/A,FALSE,"PARECOND"}</definedName>
    <definedName name="prova" hidden="1">{#N/A,#N/A,FALSE,"PACCIL";#N/A,#N/A,FALSE,"PAITACAN";#N/A,#N/A,FALSE,"PARECO";#N/A,#N/A,FALSE,"PA62";#N/A,#N/A,FALSE,"PAFINAL";#N/A,#N/A,FALSE,"PARECONF";#N/A,#N/A,FALSE,"PARECOND"}</definedName>
    <definedName name="q3q23" hidden="1">#REF!</definedName>
    <definedName name="qewr" localSheetId="0" hidden="1">{#N/A,#N/A,FALSE,"Aging Summary";#N/A,#N/A,FALSE,"Ratio Analysis";#N/A,#N/A,FALSE,"Test 120 Day Accts";#N/A,#N/A,FALSE,"Tickmarks"}</definedName>
    <definedName name="qewr" hidden="1">{#N/A,#N/A,FALSE,"Aging Summary";#N/A,#N/A,FALSE,"Ratio Analysis";#N/A,#N/A,FALSE,"Test 120 Day Accts";#N/A,#N/A,FALSE,"Tickmarks"}</definedName>
    <definedName name="qq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a" hidden="1">#REF!</definedName>
    <definedName name="qqq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q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qqq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qqq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qqqqq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we" localSheetId="0" hidden="1">{#N/A,#N/A,FALSE,"Hoja1";#N/A,#N/A,FALSE,"Hoja2"}</definedName>
    <definedName name="qwe" hidden="1">{#N/A,#N/A,FALSE,"Hoja1";#N/A,#N/A,FALSE,"Hoja2"}</definedName>
    <definedName name="qweqwe" hidden="1">#REF!</definedName>
    <definedName name="qweqweqe" hidden="1">#REF!</definedName>
    <definedName name="qweqweqeqwe" hidden="1">#REF!</definedName>
    <definedName name="qwerwr" localSheetId="0" hidden="1">{"FCB_ALL",#N/A,FALSE,"FCB"}</definedName>
    <definedName name="qwerwr" hidden="1">{"FCB_ALL",#N/A,FALSE,"FCB"}</definedName>
    <definedName name="qww" hidden="1">#REF!</definedName>
    <definedName name="radg" localSheetId="0" hidden="1">{"FCB_ALL",#N/A,FALSE,"FCB";"GREY_ALL",#N/A,FALSE,"GREY"}</definedName>
    <definedName name="radg" hidden="1">{"FCB_ALL",#N/A,FALSE,"FCB";"GREY_ALL",#N/A,FALSE,"GREY"}</definedName>
    <definedName name="RARARARARA" localSheetId="0" hidden="1">{#N/A,#N/A,FALSE,"Aging Summary";#N/A,#N/A,FALSE,"Ratio Analysis";#N/A,#N/A,FALSE,"Test 120 Day Accts";#N/A,#N/A,FALSE,"Tickmarks"}</definedName>
    <definedName name="RARARARARA" hidden="1">{#N/A,#N/A,FALSE,"Aging Summary";#N/A,#N/A,FALSE,"Ratio Analysis";#N/A,#N/A,FALSE,"Test 120 Day Accts";#N/A,#N/A,FALSE,"Tickmarks"}</definedName>
    <definedName name="Ratios_2" localSheetId="0" hidden="1">{"'TG'!$A$1:$L$37"}</definedName>
    <definedName name="Ratios_2" hidden="1">{"'TG'!$A$1:$L$37"}</definedName>
    <definedName name="RecDesFinAlex" localSheetId="0" hidden="1">{#N/A,#N/A,FALSE,"SIM95"}</definedName>
    <definedName name="RecDesFinAlex" hidden="1">{#N/A,#N/A,FALSE,"SIM95"}</definedName>
    <definedName name="Receita_fin" localSheetId="0" hidden="1">{"'RR'!$A$2:$E$81"}</definedName>
    <definedName name="Receita_fin" hidden="1">{"'RR'!$A$2:$E$81"}</definedName>
    <definedName name="recenue" localSheetId="0" hidden="1">{#N/A,#N/A,FALSE,"Earn'gs &amp; Val'n";#N/A,#N/A,FALSE,"Interim"}</definedName>
    <definedName name="recenue" hidden="1">{#N/A,#N/A,FALSE,"Earn'gs &amp; Val'n";#N/A,#N/A,FALSE,"Interim"}</definedName>
    <definedName name="RedefinePrintTableRange" hidden="1">#N/A</definedName>
    <definedName name="rep" localSheetId="0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rep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replacement" localSheetId="0" hidden="1">{"fcst w head depre cap",#N/A,FALSE,"PL";"new bud adj",#N/A,FALSE,"PL";"qtr",#N/A,FALSE,"PL";"quick",#N/A,FALSE,"PL";"bal sheet",#N/A,FALSE,"PL";"fixed assets",#N/A,FALSE,"PL"}</definedName>
    <definedName name="replacement" hidden="1">{"fcst w head depre cap",#N/A,FALSE,"PL";"new bud adj",#N/A,FALSE,"PL";"qtr",#N/A,FALSE,"PL";"quick",#N/A,FALSE,"PL";"bal sheet",#N/A,FALSE,"PL";"fixed assets",#N/A,FALSE,"PL"}</definedName>
    <definedName name="rer" localSheetId="0" hidden="1">{"Fixed Assets equipments",#N/A,FALSE,"Import-inventory Flow"}</definedName>
    <definedName name="rer" hidden="1">{"Fixed Assets equipments",#N/A,FALSE,"Import-inventory Flow"}</definedName>
    <definedName name="rere" localSheetId="0" hidden="1">{"Imported by GLB",#N/A,FALSE,"Custo imp. GLB"}</definedName>
    <definedName name="rere" hidden="1">{"Imported by GLB",#N/A,FALSE,"Custo imp. GLB"}</definedName>
    <definedName name="RIUCARD" localSheetId="0" hidden="1">{"'RR'!$A$2:$E$81"}</definedName>
    <definedName name="RIUCARD" hidden="1">{"'RR'!$A$2:$E$81"}</definedName>
    <definedName name="rngCompanyName" hidden="1">#REF!</definedName>
    <definedName name="rngCountry" hidden="1">#REF!</definedName>
    <definedName name="rngPeriod" hidden="1">#REF!</definedName>
    <definedName name="rngSurtaxBase" hidden="1">#REF!</definedName>
    <definedName name="Roger" hidden="1">"                                                                                                                                                                                                                                                            38"</definedName>
    <definedName name="RowLevel" hidden="1">1</definedName>
    <definedName name="rr" hidden="1">#REF!</definedName>
    <definedName name="rrr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localSheetId="0" hidden="1">{"'input-data'!$B$5:$R$22"}</definedName>
    <definedName name="RRRRR" hidden="1">{"'input-data'!$B$5:$R$22"}</definedName>
    <definedName name="rse" localSheetId="0" hidden="1">{"FCB_ALL",#N/A,FALSE,"FCB"}</definedName>
    <definedName name="rse" hidden="1">{"FCB_ALL",#N/A,FALSE,"FCB"}</definedName>
    <definedName name="rtytry" hidden="1">#REF!</definedName>
    <definedName name="rytrtyr" hidden="1">#REF!</definedName>
    <definedName name="sadf" hidden="1">#REF!</definedName>
    <definedName name="sadfsdfsdfsaf" localSheetId="0" hidden="1">{"wpocash",#N/A,FALSE,"WPOALLT";"wpoinc",#N/A,FALSE,"WPOALLT";"wpobroad",#N/A,FALSE,"WPOALLT";"wpocable",#N/A,FALSE,"WPOALLT";"wpoexcl",#N/A,FALSE,"WPOALLT";"wponwsweek",#N/A,FALSE,"WPOALLT";"wpopost",#N/A,FALSE,"WPOALLT"}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jj" hidden="1">#REF!</definedName>
    <definedName name="SAPBEXdnldView" hidden="1">"4CIHF7KZLQIPCTCGPD3TG5JBT"</definedName>
    <definedName name="SAPBEXrevision" hidden="1">1</definedName>
    <definedName name="SAPBEXsysID" hidden="1">"BWP"</definedName>
    <definedName name="SAPBEXwbID" hidden="1">"07083H1J63085F1Y2ZGR0WNA1"</definedName>
    <definedName name="sasdfkj" localSheetId="0" hidden="1">{"FCB_ALL",#N/A,FALSE,"FCB"}</definedName>
    <definedName name="sasdfkj" hidden="1">{"FCB_ALL",#N/A,FALSE,"FCB"}</definedName>
    <definedName name="scasd" hidden="1">#REF!</definedName>
    <definedName name="scdscds" hidden="1">#REF!</definedName>
    <definedName name="scscs" hidden="1">#REF!</definedName>
    <definedName name="scsdc" hidden="1">#REF!</definedName>
    <definedName name="scsdcds" hidden="1">#REF!</definedName>
    <definedName name="sdafe" localSheetId="0" hidden="1">{"FCB_ALL",#N/A,FALSE,"FCB";"GREY_ALL",#N/A,FALSE,"GREY"}</definedName>
    <definedName name="sdafe" hidden="1">{"FCB_ALL",#N/A,FALSE,"FCB";"GREY_ALL",#N/A,FALSE,"GREY"}</definedName>
    <definedName name="sdaflkej" localSheetId="0" hidden="1">{"FCB_ALL",#N/A,FALSE,"FCB";"GREY_ALL",#N/A,FALSE,"GREY"}</definedName>
    <definedName name="sdaflkej" hidden="1">{"FCB_ALL",#N/A,FALSE,"FCB";"GREY_ALL",#N/A,FALSE,"GREY"}</definedName>
    <definedName name="sdafsdafsaf" localSheetId="0" hidden="1">{"wpocash",#N/A,FALSE,"WPOALLT";"wpoinc",#N/A,FALSE,"WPOALLT";"wpobroad",#N/A,FALSE,"WPOALLT";"wpocable",#N/A,FALSE,"WPOALLT";"wpoexcl",#N/A,FALSE,"WPOALLT";"wponwsweek",#N/A,FALSE,"WPOALLT";"wpopost",#N/A,FALSE,"WPOALLT"}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d" localSheetId="0" hidden="1">{"FCB_ALL",#N/A,FALSE,"FCB";"GREY_ALL",#N/A,FALSE,"GREY"}</definedName>
    <definedName name="sdasd" hidden="1">{"FCB_ALL",#N/A,FALSE,"FCB";"GREY_ALL",#N/A,FALSE,"GREY"}</definedName>
    <definedName name="sdf" localSheetId="0" hidden="1">{"FCB_ALL",#N/A,FALSE,"FCB"}</definedName>
    <definedName name="sdf" hidden="1">{"FCB_ALL",#N/A,FALSE,"FCB"}</definedName>
    <definedName name="sdfasr" localSheetId="0" hidden="1">{"FCB_ALL",#N/A,FALSE,"FCB"}</definedName>
    <definedName name="sdfasr" hidden="1">{"FCB_ALL",#N/A,FALSE,"FCB"}</definedName>
    <definedName name="sdfdsf" localSheetId="0" hidden="1">{"FCB_ALL",#N/A,FALSE,"FCB";"GREY_ALL",#N/A,FALSE,"GREY"}</definedName>
    <definedName name="sdfdsf" hidden="1">{"FCB_ALL",#N/A,FALSE,"FCB";"GREY_ALL",#N/A,FALSE,"GREY"}</definedName>
    <definedName name="sdfFQ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dfFQ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dfg" localSheetId="0" hidden="1">{"FCB_ALL",#N/A,FALSE,"FCB";"GREY_ALL",#N/A,FALSE,"GREY"}</definedName>
    <definedName name="sdfg" hidden="1">{"FCB_ALL",#N/A,FALSE,"FCB";"GREY_ALL",#N/A,FALSE,"GREY"}</definedName>
    <definedName name="sdfh" localSheetId="0" hidden="1">{"FCB_ALL",#N/A,FALSE,"FCB"}</definedName>
    <definedName name="sdfh" hidden="1">{"FCB_ALL",#N/A,FALSE,"FCB"}</definedName>
    <definedName name="sdfsd" localSheetId="0" hidden="1">{"'COMBUSTÍVEIS'!$A$1:$K$88"}</definedName>
    <definedName name="sdfsd" hidden="1">{"'COMBUSTÍVEIS'!$A$1:$K$88"}</definedName>
    <definedName name="sdfsdfsdfsafsdf" localSheetId="0" hidden="1">{"FCB_ALL",#N/A,FALSE,"FCB"}</definedName>
    <definedName name="sdfsdfsdfsafsdf" hidden="1">{"FCB_ALL",#N/A,FALSE,"FCB"}</definedName>
    <definedName name="sdhr" localSheetId="0" hidden="1">{"FCB_ALL",#N/A,FALSE,"FCB";"GREY_ALL",#N/A,FALSE,"GREY"}</definedName>
    <definedName name="sdhr" hidden="1">{"FCB_ALL",#N/A,FALSE,"FCB";"GREY_ALL",#N/A,FALSE,"GREY"}</definedName>
    <definedName name="sdz" localSheetId="0" hidden="1">{"FCB_ALL",#N/A,FALSE,"FCB"}</definedName>
    <definedName name="sdz" hidden="1">{"FCB_ALL",#N/A,FALSE,"FCB"}</definedName>
    <definedName name="SEE" localSheetId="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SEE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SEG" localSheetId="0" hidden="1">{"'RR'!$A$2:$E$81"}</definedName>
    <definedName name="SEG" hidden="1">{"'RR'!$A$2:$E$81"}</definedName>
    <definedName name="sencount" hidden="1">1</definedName>
    <definedName name="sere" localSheetId="0" hidden="1">{"FCB_ALL",#N/A,FALSE,"FCB"}</definedName>
    <definedName name="sere" hidden="1">{"FCB_ALL",#N/A,FALSE,"FCB"}</definedName>
    <definedName name="service" hidden="1">#REF!</definedName>
    <definedName name="ses" localSheetId="0" hidden="1">{"RESUMEN",#N/A,FALSE,"RESUMEN";"RESUMEN_MARG",#N/A,FALSE,"RESUMEN"}</definedName>
    <definedName name="ses" hidden="1">{"RESUMEN",#N/A,FALSE,"RESUMEN";"RESUMEN_MARG",#N/A,FALSE,"RESUMEN"}</definedName>
    <definedName name="sfd" localSheetId="0" hidden="1">{#N/A,#N/A,FALSE,"Hoja1";#N/A,#N/A,FALSE,"Hoja2"}</definedName>
    <definedName name="sfd" hidden="1">{#N/A,#N/A,FALSE,"Hoja1";#N/A,#N/A,FALSE,"Hoja2"}</definedName>
    <definedName name="sfdgsar" localSheetId="0" hidden="1">{"FCB_ALL",#N/A,FALSE,"FCB";"GREY_ALL",#N/A,FALSE,"GREY"}</definedName>
    <definedName name="sfdgsar" hidden="1">{"FCB_ALL",#N/A,FALSE,"FCB";"GREY_ALL",#N/A,FALSE,"GREY"}</definedName>
    <definedName name="Sheet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inFFyRet07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ogsafra" hidden="1">#REF!</definedName>
    <definedName name="solver_adj" hidden="1">#REF!,#REF!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2" hidden="1">#REF!</definedName>
    <definedName name="sorta" hidden="1">#N/A</definedName>
    <definedName name="spfhiw" hidden="1">25</definedName>
    <definedName name="sqqsd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qqsd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ssss" localSheetId="0" hidden="1">{"Fecha_Dezembro",#N/A,FALSE,"FECHAMENTO-2002 ";"Defer_Dezermbro",#N/A,FALSE,"DIFERIDO";"Pis_Dezembro",#N/A,FALSE,"PIS COFINS";"Iss_Dezembro",#N/A,FALSE,"ISS"}</definedName>
    <definedName name="sssss" hidden="1">{"Fecha_Dezembro",#N/A,FALSE,"FECHAMENTO-2002 ";"Defer_Dezermbro",#N/A,FALSE,"DIFERIDO";"Pis_Dezembro",#N/A,FALSE,"PIS COFINS";"Iss_Dezembro",#N/A,FALSE,"ISS"}</definedName>
    <definedName name="ssssss" localSheetId="0" hidden="1">{#N/A,#N/A,FALSE,"SIM95"}</definedName>
    <definedName name="ssssss" hidden="1">{#N/A,#N/A,FALSE,"SIM95"}</definedName>
    <definedName name="sssssss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ssssss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ssssssss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ssssssss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ssssssssss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ssssssssss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tands" localSheetId="0" hidden="1">{"FCB_ALL",#N/A,FALSE,"FCB";"GREY_ALL",#N/A,FALSE,"GREY"}</definedName>
    <definedName name="stands" hidden="1">{"FCB_ALL",#N/A,FALSE,"FCB";"GREY_ALL",#N/A,FALSE,"GREY"}</definedName>
    <definedName name="stands1" localSheetId="0" hidden="1">{"FCB_ALL",#N/A,FALSE,"FCB";"GREY_ALL",#N/A,FALSE,"GREY"}</definedName>
    <definedName name="stands1" hidden="1">{"FCB_ALL",#N/A,FALSE,"FCB";"GREY_ALL",#N/A,FALSE,"GREY"}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cata" localSheetId="0" hidden="1">{#N/A,#N/A,FALSE,"PACCIL";#N/A,#N/A,FALSE,"PAITACAN";#N/A,#N/A,FALSE,"PARECO";#N/A,#N/A,FALSE,"PA62";#N/A,#N/A,FALSE,"PAFINAL";#N/A,#N/A,FALSE,"PARECONF";#N/A,#N/A,FALSE,"PARECOND"}</definedName>
    <definedName name="sucata" hidden="1">{#N/A,#N/A,FALSE,"PACCIL";#N/A,#N/A,FALSE,"PAITACAN";#N/A,#N/A,FALSE,"PARECO";#N/A,#N/A,FALSE,"PA62";#N/A,#N/A,FALSE,"PAFINAL";#N/A,#N/A,FALSE,"PARECONF";#N/A,#N/A,FALSE,"PARECOND"}</definedName>
    <definedName name="SUMMARY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UMMARY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ummary0607_Vert" localSheetId="0" hidden="1">{"penetration percentage",#N/A,FALSE,"Penetration";"penetration subs",#N/A,FALSE,"Penetration"}</definedName>
    <definedName name="Summary0607_Vert" hidden="1">{"penetration percentage",#N/A,FALSE,"Penetration";"penetration subs",#N/A,FALSE,"Penetration"}</definedName>
    <definedName name="Supplies_03" hidden="1">#REF!</definedName>
    <definedName name="swda" hidden="1">#REF!</definedName>
    <definedName name="Swvu.ACC." hidden="1">#REF!</definedName>
    <definedName name="Swvu.AFAC." hidden="1">#REF!</definedName>
    <definedName name="Swvu.ELIMLUCRO." hidden="1">#REF!</definedName>
    <definedName name="Swvu.ESTOQUES." hidden="1">#REF!</definedName>
    <definedName name="Swvu.Fabio." hidden="1">#REF!</definedName>
    <definedName name="Swvu.inputs._.raw._.data." hidden="1">#REF!</definedName>
    <definedName name="Swvu.LPERDAS." hidden="1">#REF!</definedName>
    <definedName name="Swvu.RES432." hidden="1">#REF!</definedName>
    <definedName name="Swvu.summary1." hidden="1">#REF!</definedName>
    <definedName name="Swvu.summary2." hidden="1">#REF!</definedName>
    <definedName name="Swvu.summary3." hidden="1">#REF!</definedName>
    <definedName name="sx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sx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T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T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tabla1" localSheetId="0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nia" localSheetId="0" hidden="1">{#N/A,#N/A,FALSE,"PACCIL";#N/A,#N/A,FALSE,"PAITACAN";#N/A,#N/A,FALSE,"PARECO";#N/A,#N/A,FALSE,"PA62";#N/A,#N/A,FALSE,"PAFINAL";#N/A,#N/A,FALSE,"PARECONF";#N/A,#N/A,FALSE,"PARECOND"}</definedName>
    <definedName name="tania" hidden="1">{#N/A,#N/A,FALSE,"PACCIL";#N/A,#N/A,FALSE,"PAITACAN";#N/A,#N/A,FALSE,"PARECO";#N/A,#N/A,FALSE,"PA62";#N/A,#N/A,FALSE,"PAFINAL";#N/A,#N/A,FALSE,"PARECONF";#N/A,#N/A,FALSE,"PARECOND"}</definedName>
    <definedName name="TBdbName" hidden="1">"9DE2E9A95B4844559A9E061A1642F4D1.mdb"</definedName>
    <definedName name="TECNOFIBRAS" localSheetId="0" hidden="1">{"'PXR_6500'!$A$1:$I$124"}</definedName>
    <definedName name="TECNOFIBRAS" hidden="1">{"'PXR_6500'!$A$1:$I$124"}</definedName>
    <definedName name="TECNOFIBRAS2" localSheetId="0" hidden="1">{"'PXR_6500'!$A$1:$I$124"}</definedName>
    <definedName name="TECNOFIBRAS2" hidden="1">{"'PXR_6500'!$A$1:$I$124"}</definedName>
    <definedName name="TERC" localSheetId="0" hidden="1">{"'RR'!$A$2:$E$81"}</definedName>
    <definedName name="TERC" hidden="1">{"'RR'!$A$2:$E$81"}</definedName>
    <definedName name="TESTE" localSheetId="0" hidden="1">{#N/A,#N/A,FALSE,"PACCIL";#N/A,#N/A,FALSE,"PAITACAN";#N/A,#N/A,FALSE,"PARECO";#N/A,#N/A,FALSE,"PA62";#N/A,#N/A,FALSE,"PAFINAL";#N/A,#N/A,FALSE,"PARECONF";#N/A,#N/A,FALSE,"PARECOND"}</definedName>
    <definedName name="TESTE" hidden="1">{#N/A,#N/A,FALSE,"PACCIL";#N/A,#N/A,FALSE,"PAITACAN";#N/A,#N/A,FALSE,"PARECO";#N/A,#N/A,FALSE,"PA62";#N/A,#N/A,FALSE,"PAFINAL";#N/A,#N/A,FALSE,"PARECONF";#N/A,#N/A,FALSE,"PARECOND"}</definedName>
    <definedName name="TESTE1" localSheetId="0" hidden="1">{"'RR'!$A$2:$E$81"}</definedName>
    <definedName name="TESTE1" hidden="1">{"'RR'!$A$2:$E$81"}</definedName>
    <definedName name="TESTE2" localSheetId="0" hidden="1">{#N/A,#N/A,FALSE,"PACCIL";#N/A,#N/A,FALSE,"PAITACAN";#N/A,#N/A,FALSE,"PARECO";#N/A,#N/A,FALSE,"PA62";#N/A,#N/A,FALSE,"PAFINAL";#N/A,#N/A,FALSE,"PARECONF";#N/A,#N/A,FALSE,"PARECOND"}</definedName>
    <definedName name="TESTE2" hidden="1">{#N/A,#N/A,FALSE,"PACCIL";#N/A,#N/A,FALSE,"PAITACAN";#N/A,#N/A,FALSE,"PARECO";#N/A,#N/A,FALSE,"PA62";#N/A,#N/A,FALSE,"PAFINAL";#N/A,#N/A,FALSE,"PARECONF";#N/A,#N/A,FALSE,"PARECOND"}</definedName>
    <definedName name="teste4" localSheetId="0" hidden="1">{#N/A,#N/A,FALSE,"HONORÁRIOS"}</definedName>
    <definedName name="teste4" hidden="1">{#N/A,#N/A,FALSE,"HONORÁRIOS"}</definedName>
    <definedName name="teste5" localSheetId="0" hidden="1">{"Fecha_Setembro",#N/A,FALSE,"FECHAMENTO-2002 ";"Defer_Setembro",#N/A,FALSE,"DIFERIDO";"Pis_Setembro",#N/A,FALSE,"PIS COFINS";"Iss_Setembro",#N/A,FALSE,"ISS"}</definedName>
    <definedName name="teste5" hidden="1">{"Fecha_Setembro",#N/A,FALSE,"FECHAMENTO-2002 ";"Defer_Setembro",#N/A,FALSE,"DIFERIDO";"Pis_Setembro",#N/A,FALSE,"PIS COFINS";"Iss_Setembro",#N/A,FALSE,"ISS"}</definedName>
    <definedName name="TextRefCopyRangeCount" hidden="1">1</definedName>
    <definedName name="ThomasEliot" localSheetId="0" hidden="1">{"cap_structure",#N/A,FALSE,"Graph-Mkt Cap";"price",#N/A,FALSE,"Graph-Price";"ebit",#N/A,FALSE,"Graph-EBITDA";"ebitda",#N/A,FALSE,"Graph-EBITDA"}</definedName>
    <definedName name="ThomasEliot" hidden="1">{"cap_structure",#N/A,FALSE,"Graph-Mkt Cap";"price",#N/A,FALSE,"Graph-Price";"ebit",#N/A,FALSE,"Graph-EBITDA";"ebitda",#N/A,FALSE,"Graph-EBITDA"}</definedName>
    <definedName name="TotalProd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Prod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ryyt" localSheetId="0" hidden="1">{"FCB_ALL",#N/A,FALSE,"FCB"}</definedName>
    <definedName name="tryyt" hidden="1">{"FCB_ALL",#N/A,FALSE,"FCB"}</definedName>
    <definedName name="tttttttttttt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tt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tt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udo2" localSheetId="0" hidden="1">{"ATI",#N/A,TRUE,"BALabr97";"PAS",#N/A,TRUE,"BALabr97";"REC",#N/A,TRUE,"BALabr97"}</definedName>
    <definedName name="tudo2" hidden="1">{"ATI",#N/A,TRUE,"BALabr97";"PAS",#N/A,TRUE,"BALabr97";"REC",#N/A,TRUE,"BALabr97"}</definedName>
    <definedName name="tyler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tutu" hidden="1">#REF!</definedName>
    <definedName name="Univass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nivas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V0" localSheetId="0" hidden="1">{#N/A,#N/A,FALSE,"FlCx99";#N/A,#N/A,FALSE,"Dívida99"}</definedName>
    <definedName name="V0" hidden="1">{#N/A,#N/A,FALSE,"FlCx99";#N/A,#N/A,FALSE,"Dívida99"}</definedName>
    <definedName name="Vail" localSheetId="0" hidden="1">{"PVGraph2",#N/A,FALSE,"PV Data"}</definedName>
    <definedName name="Vail" hidden="1">{"PVGraph2",#N/A,FALSE,"PV Data"}</definedName>
    <definedName name="VARDEZ" hidden="1">#REF!</definedName>
    <definedName name="VAREXP0199" hidden="1">#REF!</definedName>
    <definedName name="vb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vb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Venus" localSheetId="0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Venus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VERLUCRO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hc" localSheetId="0" hidden="1">{#N/A,#N/A,FALSE,"FlCx99";#N/A,#N/A,FALSE,"Dívida99"}</definedName>
    <definedName name="vhc" hidden="1">{#N/A,#N/A,FALSE,"FlCx99";#N/A,#N/A,FALSE,"Dívida99"}</definedName>
    <definedName name="VICTOR" localSheetId="0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VICTOR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virginia" localSheetId="0" hidden="1">{#N/A,#N/A,FALSE,"PACCIL";#N/A,#N/A,FALSE,"PAITACAN";#N/A,#N/A,FALSE,"PARECO";#N/A,#N/A,FALSE,"PA62";#N/A,#N/A,FALSE,"PAFINAL";#N/A,#N/A,FALSE,"PARECONF";#N/A,#N/A,FALSE,"PARECOND"}</definedName>
    <definedName name="virginia" hidden="1">{#N/A,#N/A,FALSE,"PACCIL";#N/A,#N/A,FALSE,"PAITACAN";#N/A,#N/A,FALSE,"PARECO";#N/A,#N/A,FALSE,"PA62";#N/A,#N/A,FALSE,"PAFINAL";#N/A,#N/A,FALSE,"PARECONF";#N/A,#N/A,FALSE,"PARECOND"}</definedName>
    <definedName name="vnbs" localSheetId="0" hidden="1">{"FCB_ALL",#N/A,FALSE,"FCB"}</definedName>
    <definedName name="vnbs" hidden="1">{"FCB_ALL",#N/A,FALSE,"FCB"}</definedName>
    <definedName name="vsr" localSheetId="0" hidden="1">{"FCB_ALL",#N/A,FALSE,"FCB"}</definedName>
    <definedName name="vsr" hidden="1">{"FCB_ALL",#N/A,FALSE,"FCB"}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com" localSheetId="0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dqwd" hidden="1">4</definedName>
    <definedName name="wdwadw" hidden="1">#REF!</definedName>
    <definedName name="we" localSheetId="0" hidden="1">{#N/A,#N/A,FALSE,"1321";#N/A,#N/A,FALSE,"1324";#N/A,#N/A,FALSE,"1333";#N/A,#N/A,FALSE,"1371"}</definedName>
    <definedName name="we" hidden="1">{#N/A,#N/A,FALSE,"1321";#N/A,#N/A,FALSE,"1324";#N/A,#N/A,FALSE,"1333";#N/A,#N/A,FALSE,"1371"}</definedName>
    <definedName name="wefaff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fewfdew" hidden="1">8</definedName>
    <definedName name="wil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LTRIBRU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WLTRIBRU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q" hidden="1">#REF!</definedName>
    <definedName name="wqdaqwdww" hidden="1">#REF!</definedName>
    <definedName name="wrn" localSheetId="0" hidden="1">{"FCB_ALL",#N/A,FALSE,"FCB"}</definedName>
    <definedName name="wrn" hidden="1">{"FCB_ALL",#N/A,FALSE,"FCB"}</definedName>
    <definedName name="wrn.01." localSheetId="0" hidden="1">{#N/A,#N/A,FALSE,"1321";#N/A,#N/A,FALSE,"1324";#N/A,#N/A,FALSE,"1333";#N/A,#N/A,FALSE,"1371"}</definedName>
    <definedName name="wrn.01." hidden="1">{#N/A,#N/A,FALSE,"1321";#N/A,#N/A,FALSE,"1324";#N/A,#N/A,FALSE,"1333";#N/A,#N/A,FALSE,"1371"}</definedName>
    <definedName name="wrn.1." localSheetId="0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0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0" hidden="1">{#N/A,"100% Success",TRUE,"Sales Forecast";#N/A,#N/A,TRUE,"Sheet2"}</definedName>
    <definedName name="wrn.100._.Per._.Cent._.Success." hidden="1">{#N/A,"100% Success",TRUE,"Sales Forecast";#N/A,#N/A,TRUE,"Sheet2"}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0" hidden="1">{#N/A,"30% Success",TRUE,"Sales Forecast";#N/A,#N/A,TRUE,"Sheet2"}</definedName>
    <definedName name="wrn.30._.Per._.Cent." hidden="1">{#N/A,"30% Success",TRUE,"Sales Forecast";#N/A,#N/A,TRUE,"Sheet2"}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localSheetId="0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0" hidden="1">{#N/A,"70% Success",FALSE,"Sales Forecast";#N/A,#N/A,FALSE,"Sheet2"}</definedName>
    <definedName name="wrn.70._.Per._.Cent._.Success." hidden="1">{#N/A,"70% Success",FALSE,"Sales Forecast";#N/A,#N/A,FALSE,"Sheet2"}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ccretion." localSheetId="0" hidden="1">{"Accretion",#N/A,FALSE,"Assum"}</definedName>
    <definedName name="wrn.Accretion." hidden="1">{"Accretion",#N/A,FALSE,"Assum"}</definedName>
    <definedName name="wrn.Accretion._.Dilution.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localSheetId="0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qState." localSheetId="0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1" localSheetId="0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localSheetId="0" hidden="1">{#N/A,#N/A,FALSE,"Acq-Val";#N/A,#N/A,FALSE,"Acq-Mult Val"}</definedName>
    <definedName name="wrn.AcqVal." hidden="1">{#N/A,#N/A,FALSE,"Acq-Val";#N/A,#N/A,FALSE,"Acq-Mult Val"}</definedName>
    <definedName name="wrn.Actuals." localSheetId="0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wrn.Actuals.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wrn.administracion.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vertising._.Acum._.Julio._.00." localSheetId="0" hidden="1">{#N/A,#N/A,FALSE,"Acum Julio - 00"}</definedName>
    <definedName name="wrn.Advertising._.Acum._.Julio._.00." hidden="1">{#N/A,#N/A,FALSE,"Acum Julio - 00"}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2" localSheetId="0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_sheets." localSheetId="0" hidden="1">{#N/A,#N/A,FALSE,"compcoval";#N/A,#N/A,FALSE,"optionval"}</definedName>
    <definedName name="wrn.all_sheets." hidden="1">{#N/A,#N/A,FALSE,"compcoval";#N/A,#N/A,FALSE,"optionval"}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NALISIS._.SENSIBILIDAD." localSheetId="0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NALITICO._.COMPLETO." localSheetId="0" hidden="1">{"ativo analítico",#N/A,FALSE,"BALmar97";"passivo analítico",#N/A,FALSE,"BALmar97";"resultado analítico",#N/A,FALSE,"BALmar97"}</definedName>
    <definedName name="wrn.ANALITICO._.COMPLETO." hidden="1">{"ativo analítico",#N/A,FALSE,"BALmar97";"passivo analítico",#N/A,FALSE,"BALmar97";"resultado analítico",#N/A,FALSE,"BALmar97"}</definedName>
    <definedName name="wrn.Anteilig._.alle._.Perioden." localSheetId="0" hidden="1">{"Alle Perioden",#N/A,FALSE,"Erf";"Alle Perioden",#N/A,FALSE,"Ang";"Alle Perioden",#N/A,FALSE,"BV";"Alle Perioden",#N/A,FALSE,"BE";"Alle Perioden",#N/A,FALSE,"Re";"Alle Perioden",#N/A,FALSE,"Vol"}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localSheetId="0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_Liability." localSheetId="0" hidden="1">{"Asset_Liability",#N/A,FALSE,"Input Sheet"}</definedName>
    <definedName name="wrn.Asset_Liability." hidden="1">{"Asset_Liability",#N/A,FALSE,"Input Sheet"}</definedName>
    <definedName name="wrn.Assumptions." localSheetId="0" hidden="1">{"Assumptions",#N/A,FALSE,"Assum"}</definedName>
    <definedName name="wrn.Assumptions." hidden="1">{"Assumptions",#N/A,FALSE,"Assum"}</definedName>
    <definedName name="wrn.Audit._.Report." localSheetId="0" hidden="1">{#N/A,#N/A,FALSE,"Audit Program";#N/A,#N/A,FALSE,"T&amp;D Total";#N/A,#N/A,FALSE,"LNG Total";#N/A,#N/A,FALSE,"Power Total";#N/A,#N/A,FALSE,"Other Total";#N/A,#N/A,FALSE,"E&amp;P Total"}</definedName>
    <definedName name="wrn.Audit._.Report." hidden="1">{#N/A,#N/A,FALSE,"Audit Program";#N/A,#N/A,FALSE,"T&amp;D Total";#N/A,#N/A,FALSE,"LNG Total";#N/A,#N/A,FALSE,"Power Total";#N/A,#N/A,FALSE,"Other Total";#N/A,#N/A,FALSE,"E&amp;P Total"}</definedName>
    <definedName name="wrn.B._.P._.TDS." localSheetId="0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._.P._.TDS.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LANCE._.PARA._.LUIZ._.CLAUDIO." localSheetId="0" hidden="1">{#N/A,#N/A,FALSE,"Hoja1";#N/A,#N/A,FALSE,"Hoja2"}</definedName>
    <definedName name="wrn.BALANCE._.PARA._.LUIZ._.CLAUDIO." hidden="1">{#N/A,#N/A,FALSE,"Hoja1";#N/A,#N/A,FALSE,"Hoja2"}</definedName>
    <definedName name="wrn.Balanço." localSheetId="0" hidden="1">{#N/A,#N/A,FALSE,"BLDC";#N/A,#N/A,FALSE,"RESDC";#N/A,#N/A,FALSE,"BLFV";#N/A,#N/A,FALSE,"RESFV"}</definedName>
    <definedName name="wrn.Balanço." hidden="1">{#N/A,#N/A,FALSE,"BLDC";#N/A,#N/A,FALSE,"RESDC";#N/A,#N/A,FALSE,"BLFV";#N/A,#N/A,FALSE,"RESFV"}</definedName>
    <definedName name="wrn.balanco._.patrimonial." localSheetId="0" hidden="1">{#N/A,#N/A,FALSE,"base"}</definedName>
    <definedName name="wrn.balanco._.patrimonial." hidden="1">{#N/A,#N/A,FALSE,"base"}</definedName>
    <definedName name="wrn.BALANÇOS." localSheetId="0" hidden="1">{"SOC E MEN balanços",#N/A,FALSE,"BALFEV97"}</definedName>
    <definedName name="wrn.BALANÇOS." hidden="1">{"SOC E MEN balanços",#N/A,FALSE,"BALFEV97"}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EL." localSheetId="0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ard._.Pack." localSheetId="0" hidden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ud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get2000." localSheetId="0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AG." localSheetId="0" hidden="1">{#N/A,#N/A,FALSE,"CAG"}</definedName>
    <definedName name="wrn.CAG." hidden="1">{#N/A,#N/A,FALSE,"CAG"}</definedName>
    <definedName name="wrn.CAPITAL._.TODO." localSheetId="0" hidden="1">{"CAP VOL",#N/A,FALSE,"CAPITAL";"CAP VAR",#N/A,FALSE,"CAPITAL";"CAP FIJ",#N/A,FALSE,"CAPITAL";"CAP CONS",#N/A,FALSE,"CAPITAL";"CAP DATA",#N/A,FALSE,"CAPITAL"}</definedName>
    <definedName name="wrn.CAPITAL._.TODO." hidden="1">{"CAP VOL",#N/A,FALSE,"CAPITAL";"CAP VAR",#N/A,FALSE,"CAPITAL";"CAP FIJ",#N/A,FALSE,"CAPITAL";"CAP CONS",#N/A,FALSE,"CAPITAL";"CAP DATA",#N/A,FALSE,"CAPITAL"}</definedName>
    <definedName name="wrn.Carrefour._.Worse._.Case.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localSheetId="0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SHPROJ." localSheetId="0" hidden="1">{"CASHPROJ",#N/A,FALSE,"CASHPROJ";"BANK",#N/A,FALSE,"Bank";"SALES",#N/A,FALSE,"Sales";"AR",#N/A,FALSE,"AR";"AP",#N/A,FALSE,"AP";"DAILE",#N/A,FALSE,"Daily";"SALESVAR",#N/A,FALSE,"SalesVar";"SUM",#N/A,FALSE,"Sum"}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larobook." localSheetId="0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bafi9.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ccfc2." localSheetId="0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0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pany._.Analysis.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localSheetId="0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_DESCUENTO." localSheetId="0" hidden="1">{#N/A,"Carabeer",FALSE,"Dscto.";#N/A,"Disbracentro",FALSE,"Dscto.";#N/A,"Río Beer",FALSE,"Dscto.";#N/A,"Andes",FALSE,"Dscto."}</definedName>
    <definedName name="wrn.CON_DESCUENTO." hidden="1">{#N/A,"Carabeer",FALSE,"Dscto.";#N/A,"Disbracentro",FALSE,"Dscto.";#N/A,"Río Beer",FALSE,"Dscto.";#N/A,"Andes",FALSE,"Dscto."}</definedName>
    <definedName name="wrn.Conciliação." localSheetId="0" hidden="1">{"printConciliação",#N/A,FALSE,"Database"}</definedName>
    <definedName name="wrn.Conciliação." hidden="1">{"printConciliação",#N/A,FALSE,"Database"}</definedName>
    <definedName name="wrn.Consolidado." localSheetId="0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contribution." localSheetId="0" hidden="1">{#N/A,#N/A,FALSE,"Contribution Analysis"}</definedName>
    <definedName name="wrn.contribution." hidden="1">{#N/A,#N/A,FALSE,"Contribution Analysis"}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localSheetId="0" hidden="1">{#N/A,#N/A,FALSE,"CPB"}</definedName>
    <definedName name="wrn.CPB." hidden="1">{#N/A,#N/A,FALSE,"CPB"}</definedName>
    <definedName name="wrn.CPV." localSheetId="0" hidden="1">{#N/A,#N/A,FALSE,"C.P.V."}</definedName>
    <definedName name="wrn.CPV." hidden="1">{#N/A,#N/A,FALSE,"C.P.V."}</definedName>
    <definedName name="wrn.Credit._.Summary." localSheetId="0" hidden="1">{#N/A,#N/A,FALSE,"Credit Summary"}</definedName>
    <definedName name="wrn.Credit._.Summary." hidden="1">{#N/A,#N/A,FALSE,"Credit Summary"}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._.All." localSheetId="0" hidden="1">{"Asia and Europe",#N/A,FALSE,"Selected Output 1";"United States",#N/A,FALSE,"Selected Output 1"}</definedName>
    <definedName name="wrn.CSC._.All." hidden="1">{"Asia and Europe",#N/A,FALSE,"Selected Output 1";"United States",#N/A,FALSE,"Selected Output 1"}</definedName>
    <definedName name="wrn.csc2." localSheetId="0" hidden="1">{#N/A,#N/A,FALSE,"ORIX CSC"}</definedName>
    <definedName name="wrn.csc2." hidden="1">{#N/A,#N/A,FALSE,"ORIX CSC"}</definedName>
    <definedName name="wrn.CSOCIAL." localSheetId="0" hidden="1">{#N/A,#N/A,FALSE,"CSOCIAL"}</definedName>
    <definedName name="wrn.CSOCIAL." hidden="1">{#N/A,#N/A,FALSE,"CSOCIAL"}</definedName>
    <definedName name="wrn.Custos._.Equipamentos." localSheetId="0" hidden="1">{"MDU Equipments",#N/A,FALSE,"Custos Equipamentos"}</definedName>
    <definedName name="wrn.Custos._.Equipamentos." hidden="1">{"MDU Equipments",#N/A,FALSE,"Custos Equipamentos"}</definedName>
    <definedName name="wrn.cxdia." localSheetId="0" hidden="1">{#N/A,#N/A,FALSE,"FFCXOUT3"}</definedName>
    <definedName name="wrn.cxdia." hidden="1">{#N/A,#N/A,FALSE,"FFCXOUT3"}</definedName>
    <definedName name="wrn.cxdiager." localSheetId="0" hidden="1">{#N/A,#N/A,FALSE,"FFCXOUT3"}</definedName>
    <definedName name="wrn.cxdiager." hidden="1">{#N/A,#N/A,FALSE,"FFCXOUT3"}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cision._.Memo." localSheetId="0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Delta._.by._.Entitiy." localSheetId="0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wrn.Delta._.by._.Entitiy.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wrn.Desp._.financeiras." localSheetId="0" hidden="1">{"FINANCEIRAS",#N/A,FALSE,"BALmar96"}</definedName>
    <definedName name="wrn.Desp._.financeiras." hidden="1">{"FINANCEIRAS",#N/A,FALSE,"BALmar96"}</definedName>
    <definedName name="wrn.Despesas._.Diferidas._.Indedutíveis._.de._.1998." localSheetId="0" hidden="1">{"Despesas Diferidas Indedutíveis de 1998",#N/A,FALSE,"Impressão"}</definedName>
    <definedName name="wrn.Despesas._.Diferidas._.Indedutíveis._.de._.1998." hidden="1">{"Despesas Diferidas Indedutíveis de 1998",#N/A,FALSE,"Impressão"}</definedName>
    <definedName name="wrn.DespesasPorArea." localSheetId="0" hidden="1">{"TotalGeralDespesasPorArea",#N/A,FALSE,"VinculosAccessEfetivo"}</definedName>
    <definedName name="wrn.DespesasPorArea." hidden="1">{"TotalGeralDespesasPorArea",#N/A,FALSE,"VinculosAccessEfetivo"}</definedName>
    <definedName name="wrn.Dezembro." localSheetId="0" hidden="1">{"Fecha_Dezembro",#N/A,FALSE,"FECHAMENTO-2002 ";"Defer_Dezermbro",#N/A,FALSE,"DIFERIDO";"Pis_Dezembro",#N/A,FALSE,"PIS COFINS";"Iss_Dezembro",#N/A,FALSE,"ISS"}</definedName>
    <definedName name="wrn.Dezembro." hidden="1">{"Fecha_Dezembro",#N/A,FALSE,"FECHAMENTO-2002 ";"Defer_Dezermbro",#N/A,FALSE,"DIFERIDO";"Pis_Dezembro",#N/A,FALSE,"PIS COFINS";"Iss_Dezembro",#N/A,FALSE,"ISS"}</definedName>
    <definedName name="wrn.divestiture." localSheetId="0" hidden="1">{#N/A,#N/A,TRUE,"Overview";#N/A,#N/A,TRUE,"Divest Val";#N/A,#N/A,TRUE,"sources &amp; uses";#N/A,#N/A,TRUE,"Has-Gets Divest"}</definedName>
    <definedName name="wrn.divestiture." hidden="1">{#N/A,#N/A,TRUE,"Overview";#N/A,#N/A,TRUE,"Divest Val";#N/A,#N/A,TRUE,"sources &amp; uses";#N/A,#N/A,TRUE,"Has-Gets Divest"}</definedName>
    <definedName name="wrn.Einhundert._.Prozent._.alle._.Perioden." localSheetId="0" hidden="1">{"Alle Perioden",#N/A,FALSE,"Erf";"Alle Perioden",#N/A,FALSE,"BV100";"Alle Perioden",#N/A,FALSE,"BE100";"Alle Perioden",#N/A,FALSE,"Re100";"Alle Perioden",#N/A,FALSE,"Vol100"}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localSheetId="0" hidden="1">{"Erste elf Perioden",#N/A,FALSE,"Erf";"Erste elf Perioden",#N/A,FALSE,"BV100";"Erste elf Perioden",#N/A,FALSE,"BE100";"Erste elf Perioden",#N/A,FALSE,"Re100";"Erste elf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RELIMP." localSheetId="0" hidden="1">{#N/A,#N/A,FALSE,"FRETADOR";#N/A,#N/A,FALSE,"LOCADOR";#N/A,#N/A,FALSE,"TESPDOR";#N/A,#N/A,FALSE,"UNIDADEDOR"}</definedName>
    <definedName name="wrn.ERELIMP." hidden="1">{#N/A,#N/A,FALSE,"FRETADOR";#N/A,#N/A,FALSE,"LOCADOR";#N/A,#N/A,FALSE,"TESPDOR";#N/A,#N/A,FALSE,"UNIDADEDOR"}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XITO." localSheetId="0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ENSES._.98._.US." localSheetId="0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0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c" localSheetId="0" hidden="1">{"FCB_ALL",#N/A,FALSE,"FCB"}</definedName>
    <definedName name="wrn.fc" hidden="1">{"FCB_ALL",#N/A,FALSE,"FCB"}</definedName>
    <definedName name="wrn.fc12" localSheetId="0" hidden="1">{"FCB_ALL",#N/A,FALSE,"FCB"}</definedName>
    <definedName name="wrn.fc12" hidden="1">{"FCB_ALL",#N/A,FALSE,"FCB"}</definedName>
    <definedName name="wrn.fcb" localSheetId="0" hidden="1">{"FCB_ALL",#N/A,FALSE,"FCB"}</definedName>
    <definedName name="wrn.fcb" hidden="1">{"FCB_ALL",#N/A,FALSE,"FCB"}</definedName>
    <definedName name="wrn.FCB." localSheetId="0" hidden="1">{"FCB_ALL",#N/A,FALSE,"FCB"}</definedName>
    <definedName name="wrn.FCB." hidden="1">{"FCB_ALL",#N/A,FALSE,"FCB"}</definedName>
    <definedName name="wrn.fcb._dcf" localSheetId="0" hidden="1">{"FCB_ALL",#N/A,FALSE,"FCB"}</definedName>
    <definedName name="wrn.fcb._dcf" hidden="1">{"FCB_ALL",#N/A,FALSE,"FCB"}</definedName>
    <definedName name="wrn.fcb.1" localSheetId="0" hidden="1">{"FCB_ALL",#N/A,FALSE,"FCB"}</definedName>
    <definedName name="wrn.fcb.1" hidden="1">{"FCB_ALL",#N/A,FALSE,"FCB"}</definedName>
    <definedName name="wrn.fcb.9" localSheetId="0" hidden="1">{"FCB_ALL",#N/A,FALSE,"FCB"}</definedName>
    <definedName name="wrn.fcb.9" hidden="1">{"FCB_ALL",#N/A,FALSE,"FCB"}</definedName>
    <definedName name="wrn.fcb1" localSheetId="0" hidden="1">{"FCB_ALL",#N/A,FALSE,"FCB"}</definedName>
    <definedName name="wrn.fcb1" hidden="1">{"FCB_ALL",#N/A,FALSE,"FCB"}</definedName>
    <definedName name="wrn.fcb10" localSheetId="0" hidden="1">{"FCB_ALL",#N/A,FALSE,"FCB"}</definedName>
    <definedName name="wrn.fcb10" hidden="1">{"FCB_ALL",#N/A,FALSE,"FCB"}</definedName>
    <definedName name="wrn.fcb11" localSheetId="0" hidden="1">{"FCB_ALL",#N/A,FALSE,"FCB"}</definedName>
    <definedName name="wrn.fcb11" hidden="1">{"FCB_ALL",#N/A,FALSE,"FCB"}</definedName>
    <definedName name="wrn.fcb2" localSheetId="0" hidden="1">{"FCB_ALL",#N/A,FALSE,"FCB"}</definedName>
    <definedName name="wrn.fcb2" hidden="1">{"FCB_ALL",#N/A,FALSE,"FCB"}</definedName>
    <definedName name="wrn.fcb2_dcf" localSheetId="0" hidden="1">{"FCB_ALL",#N/A,FALSE,"FCB"}</definedName>
    <definedName name="wrn.fcb2_dcf" hidden="1">{"FCB_ALL",#N/A,FALSE,"FCB"}</definedName>
    <definedName name="wrn.fcb3" localSheetId="0" hidden="1">{"FCB_ALL",#N/A,FALSE,"FCB"}</definedName>
    <definedName name="wrn.fcb3" hidden="1">{"FCB_ALL",#N/A,FALSE,"FCB"}</definedName>
    <definedName name="wrn.fcb4" localSheetId="0" hidden="1">{"FCB_ALL",#N/A,FALSE,"FCB"}</definedName>
    <definedName name="wrn.fcb4" hidden="1">{"FCB_ALL",#N/A,FALSE,"FCB"}</definedName>
    <definedName name="wrn.fcb5" localSheetId="0" hidden="1">{"FCB_ALL",#N/A,FALSE,"FCB"}</definedName>
    <definedName name="wrn.fcb5" hidden="1">{"FCB_ALL",#N/A,FALSE,"FCB"}</definedName>
    <definedName name="wrn.fcb6" localSheetId="0" hidden="1">{"FCB_ALL",#N/A,FALSE,"FCB"}</definedName>
    <definedName name="wrn.fcb6" hidden="1">{"FCB_ALL",#N/A,FALSE,"FCB"}</definedName>
    <definedName name="wrn.fcb7" localSheetId="0" hidden="1">{"FCB_ALL",#N/A,FALSE,"FCB"}</definedName>
    <definedName name="wrn.fcb7" hidden="1">{"FCB_ALL",#N/A,FALSE,"FCB"}</definedName>
    <definedName name="wrn.fcb8" localSheetId="0" hidden="1">{"FCB_ALL",#N/A,FALSE,"FCB"}</definedName>
    <definedName name="wrn.fcb8" hidden="1">{"FCB_ALL",#N/A,FALSE,"FCB"}</definedName>
    <definedName name="wrn.fcb9" localSheetId="0" hidden="1">{"FCB_ALL",#N/A,FALSE,"FCB"}</definedName>
    <definedName name="wrn.fcb9" hidden="1">{"FCB_ALL",#N/A,FALSE,"FCB"}</definedName>
    <definedName name="wrn.fcst." localSheetId="0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prior" localSheetId="0" hidden="1">{#N/A,#N/A,FALSE,"IS_FCST";#N/A,#N/A,FALSE,"BS_FCST";#N/A,#N/A,FALSE,"CF_FCST"}</definedName>
    <definedName name="wrn.fcst.prior" hidden="1">{#N/A,#N/A,FALSE,"IS_FCST";#N/A,#N/A,FALSE,"BS_FCST";#N/A,#N/A,FALSE,"CF_FCST"}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eiras._.Totais." localSheetId="0" hidden="1">{"Financ.total",#N/A,FALSE,"BALJAN97"}</definedName>
    <definedName name="wrn.Financeiras._.Totais." hidden="1">{"Financ.total",#N/A,FALSE,"BALJAN97"}</definedName>
    <definedName name="wrn.FINANCIAL._.MONTH." localSheetId="0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0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localSheetId="0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0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xed._.Assets." localSheetId="0" hidden="1">{"Fixed Assets equipments",#N/A,FALSE,"Import-inventory Flow"}</definedName>
    <definedName name="wrn.Fixed._.Assets." hidden="1">{"Fixed Assets equipments",#N/A,FALSE,"Import-inventory Flow"}</definedName>
    <definedName name="wrn.forecast." localSheetId="0" hidden="1">{#N/A,#N/A,FALSE,"model"}</definedName>
    <definedName name="wrn.forecast." hidden="1">{#N/A,#N/A,FALSE,"model"}</definedName>
    <definedName name="wrn.forecast2" localSheetId="0" hidden="1">{#N/A,#N/A,FALSE,"model"}</definedName>
    <definedName name="wrn.forecast2" hidden="1">{#N/A,#N/A,FALSE,"model"}</definedName>
    <definedName name="wrn.forecastassumptions." localSheetId="0" hidden="1">{#N/A,#N/A,FALSE,"model"}</definedName>
    <definedName name="wrn.forecastassumptions." hidden="1">{#N/A,#N/A,FALSE,"model"}</definedName>
    <definedName name="wrn.forecastassumptions2" localSheetId="0" hidden="1">{#N/A,#N/A,FALSE,"model"}</definedName>
    <definedName name="wrn.forecastassumptions2" hidden="1">{#N/A,#N/A,FALSE,"model"}</definedName>
    <definedName name="wrn.forecastROIC." localSheetId="0" hidden="1">{#N/A,#N/A,FALSE,"model"}</definedName>
    <definedName name="wrn.forecastROIC." hidden="1">{#N/A,#N/A,FALSE,"model"}</definedName>
    <definedName name="wrn.forecastROIC2" localSheetId="0" hidden="1">{#N/A,#N/A,FALSE,"model"}</definedName>
    <definedName name="wrn.forecastROIC2" hidden="1">{#N/A,#N/A,FALSE,"model"}</definedName>
    <definedName name="wrn.FORXCOB." localSheetId="0" hidden="1">{#N/A,#N/A,FALSE,"FORXCOB"}</definedName>
    <definedName name="wrn.FORXCOB." hidden="1">{#N/A,#N/A,FALSE,"FORXCOB"}</definedName>
    <definedName name="wrn.Friendly." localSheetId="0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ull._.report." localSheetId="0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Geral.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esamtausdruck._.alle._.Perioden." localSheetId="0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localSheetId="0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localSheetId="0" hidden="1">{#N/A,#N/A,FALSE,"GIS"}</definedName>
    <definedName name="wrn.GIS." hidden="1">{#N/A,#N/A,FALSE,"GIS"}</definedName>
    <definedName name="wrn.history." localSheetId="0" hidden="1">{#N/A,#N/A,FALSE,"model"}</definedName>
    <definedName name="wrn.history." hidden="1">{#N/A,#N/A,FALSE,"model"}</definedName>
    <definedName name="wrn.history2" localSheetId="0" hidden="1">{#N/A,#N/A,FALSE,"model"}</definedName>
    <definedName name="wrn.history2" hidden="1">{#N/A,#N/A,FALSE,"model"}</definedName>
    <definedName name="wrn.histROIC." localSheetId="0" hidden="1">{#N/A,#N/A,FALSE,"model"}</definedName>
    <definedName name="wrn.histROIC." hidden="1">{#N/A,#N/A,FALSE,"model"}</definedName>
    <definedName name="wrn.histROIC2" localSheetId="0" hidden="1">{#N/A,#N/A,FALSE,"model"}</definedName>
    <definedName name="wrn.histROIC2" hidden="1">{#N/A,#N/A,FALSE,"model"}</definedName>
    <definedName name="wrn.HNZ." localSheetId="0" hidden="1">{#N/A,#N/A,FALSE,"HNZ"}</definedName>
    <definedName name="wrn.HNZ." hidden="1">{#N/A,#N/A,FALSE,"HNZ"}</definedName>
    <definedName name="wrn.imp." localSheetId="0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ort._.by._.GLB." localSheetId="0" hidden="1">{"Imported by GLB",#N/A,FALSE,"Custo imp. GLB"}</definedName>
    <definedName name="wrn.Import._.by._.GLB." hidden="1">{"Imported by GLB",#N/A,FALSE,"Custo imp. GLB"}</definedName>
    <definedName name="wrn.IMPRE." localSheetId="0" hidden="1">{#N/A,#N/A,FALSE,"GERAL";#N/A,#N/A,FALSE,"LOCAÇÃO";#N/A,#N/A,FALSE,"FRETAMENTO";#N/A,#N/A,FALSE,"CARRETAS"}</definedName>
    <definedName name="wrn.IMPRE." hidden="1">{#N/A,#N/A,FALSE,"GERAL";#N/A,#N/A,FALSE,"LOCAÇÃO";#N/A,#N/A,FALSE,"FRETAMENTO";#N/A,#N/A,FALSE,"CARRETAS"}</definedName>
    <definedName name="wrn.IMPRESION." localSheetId="0" hidden="1">{#N/A,#N/A,FALSE,"Hoja1";#N/A,#N/A,FALSE,"Hoja2"}</definedName>
    <definedName name="wrn.IMPRESION." hidden="1">{#N/A,#N/A,FALSE,"Hoja1";#N/A,#N/A,FALSE,"Hoja2"}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ÃO._.GERAL." localSheetId="0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wrn.IMPRESSÃO._.GERAL.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wrn.INDICADORES." localSheetId="0" hidden="1">{"PARTE1",#N/A,FALSE,"Plan1"}</definedName>
    <definedName name="wrn.INDICADORES." hidden="1">{"PARTE1",#N/A,FALSE,"Plan1"}</definedName>
    <definedName name="wrn.Informe._.Mensual." localSheetId="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Print._.Area." localSheetId="0" hidden="1">{#N/A,#N/A,FALSE,"inputs";#N/A,#N/A,FALSE,"inputs"}</definedName>
    <definedName name="wrn.Input._.Print._.Area." hidden="1">{#N/A,#N/A,FALSE,"inputs";#N/A,#N/A,FALSE,"inputs"}</definedName>
    <definedName name="wrn.Input._.Sheet." localSheetId="0" hidden="1">{"Profit_Loss",#N/A,FALSE,"Input Sheet";"Asset_Liability",#N/A,FALSE,"Input Sheet"}</definedName>
    <definedName name="wrn.Input._.Sheet." hidden="1">{"Profit_Loss",#N/A,FALSE,"Input Sheet";"Asset_Liability",#N/A,FALSE,"Input Sheet"}</definedName>
    <definedName name="wrn.Integral." localSheetId="0" hidden="1">{#N/A,#N/A,FALSE,"Holding";#N/A,#N/A,FALSE,"Acomp";#N/A,#N/A,FALSE,"Dre_ger";#N/A,#N/A,FALSE,"Atividade";#N/A,#N/A,FALSE,"Balancete"}</definedName>
    <definedName name="wrn.Integral." hidden="1">{#N/A,#N/A,FALSE,"Holding";#N/A,#N/A,FALSE,"Acomp";#N/A,#N/A,FALSE,"Dre_ger";#N/A,#N/A,FALSE,"Atividade";#N/A,#N/A,FALSE,"Balancete"}</definedName>
    <definedName name="wrn.IQRCGMES.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ENDA." localSheetId="0" hidden="1">{#N/A,#N/A,FALSE,"IRENDA"}</definedName>
    <definedName name="wrn.IRENDA." hidden="1">{#N/A,#N/A,FALSE,"IRENDA"}</definedName>
    <definedName name="wrn.JUINTI._.IRENDA." localSheetId="0" hidden="1">{"Planil_IR",#N/A,FALSE,"BALJUN97";"Financeiras_Líquidas",#N/A,FALSE,"BALJUN97"}</definedName>
    <definedName name="wrn.JUINTI._.IRENDA." hidden="1">{"Planil_IR",#N/A,FALSE,"BALJUN97";"Financeiras_Líquidas",#N/A,FALSE,"BALJUN97"}</definedName>
    <definedName name="wrn.K." localSheetId="0" hidden="1">{#N/A,#N/A,FALSE,"K"}</definedName>
    <definedName name="wrn.K." hidden="1">{#N/A,#N/A,FALSE,"K"}</definedName>
    <definedName name="wrn.kleyner." localSheetId="0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tin._.America." localSheetId="0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atin._.America.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audo." localSheetId="0" hidden="1">{"BPAtivo",#N/A,FALSE,"BAL_A";"BPPassivo",#N/A,FALSE,"BAL_A";"DRE",#N/A,FALSE,"DRE_A";"FCX",#N/A,FALSE,"FCX_A";"CVE",#N/A,FALSE,"FCX_A"}</definedName>
    <definedName name="wrn.Laudo." hidden="1">{"BPAtivo",#N/A,FALSE,"BAL_A";"BPPassivo",#N/A,FALSE,"BAL_A";"DRE",#N/A,FALSE,"DRE_A";"FCX",#N/A,FALSE,"FCX_A";"CVE",#N/A,FALSE,"FCX_A"}</definedName>
    <definedName name="wrn.margin._.analisys." localSheetId="0" hidden="1">{"Margin for 1997 static",#N/A,FALSE,"Sheet1";"Margin static per subs",#N/A,FALSE,"Sheet1"}</definedName>
    <definedName name="wrn.margin._.analisys." hidden="1">{"Margin for 1997 static",#N/A,FALSE,"Sheet1";"Margin static per subs",#N/A,FALSE,"Sheet1"}</definedName>
    <definedName name="wrn.MCCRK." localSheetId="0" hidden="1">{#N/A,#N/A,FALSE,"MCCRK"}</definedName>
    <definedName name="wrn.MCCRK." hidden="1">{#N/A,#N/A,FALSE,"MCCRK"}</definedName>
    <definedName name="wrn.Memoria97.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localSheetId="0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MM." localSheetId="0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MM.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odel." localSheetId="0" hidden="1">{#N/A,#N/A,TRUE,"General";#N/A,#N/A,TRUE,"PF IS";#N/A,#N/A,TRUE,"PF BS";#N/A,#N/A,TRUE,"Summary";#N/A,#N/A,TRUE,"Acq Matrix"}</definedName>
    <definedName name="wrn.Model." hidden="1">{#N/A,#N/A,TRUE,"General";#N/A,#N/A,TRUE,"PF IS";#N/A,#N/A,TRUE,"PF BS";#N/A,#N/A,TRUE,"Summary";#N/A,#N/A,TRUE,"Acq Matrix"}</definedName>
    <definedName name="wrn.NA." localSheetId="0" hidden="1">{#N/A,#N/A,FALSE,"NA"}</definedName>
    <definedName name="wrn.NA." hidden="1">{#N/A,#N/A,FALSE,"NA"}</definedName>
    <definedName name="wrn.new." localSheetId="0" hidden="1">{#N/A,#N/A,FALSE,"Impl";#N/A,#N/A,FALSE,"sum";#N/A,#N/A,FALSE,"cat";#N/A,#N/A,FALSE,"cum";#N/A,#N/A,FALSE,"varity";#N/A,#N/A,FALSE,"ddc";#N/A,#N/A,FALSE,"man";#N/A,#N/A,FALSE,"metra";#N/A,#N/A,FALSE,"volvo"}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ico." localSheetId="0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orth._.America." localSheetId="0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orth._.America.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ovembro." localSheetId="0" hidden="1">{"Fecha_Novembro",#N/A,FALSE,"FECHAMENTO-2002 ";"Defer_Novembro",#N/A,FALSE,"DIFERIDO";"Pis_Novembro",#N/A,FALSE,"PIS COFINS";"Iss_Novembro",#N/A,FALSE,"ISS"}</definedName>
    <definedName name="wrn.Novembro." hidden="1">{"Fecha_Novembro",#N/A,FALSE,"FECHAMENTO-2002 ";"Defer_Novembro",#N/A,FALSE,"DIFERIDO";"Pis_Novembro",#N/A,FALSE,"PIS COFINS";"Iss_Novembro",#N/A,FALSE,"ISS"}</definedName>
    <definedName name="wrn.Orçamento._.Realizado._.1999." localSheetId="0" hidden="1">{#N/A,#N/A,FALSE,"Capa";#N/A,#N/A,FALSE,"Índice";#N/A,#N/A,FALSE,"1";#N/A,#N/A,FALSE,"2";#N/A,#N/A,FALSE,"3.0";#N/A,#N/A,FALSE,"3.1";#N/A,#N/A,FALSE,"3.2";#N/A,#N/A,FALSE,"3.3";#N/A,#N/A,FALSE,"3.4";#N/A,#N/A,FALSE,"3.5";#N/A,#N/A,FALSE,"3.6";#N/A,#N/A,FALSE,"4";#N/A,#N/A,FALSE,"4.0";#N/A,#N/A,FALSE,"4.1";#N/A,#N/A,FALSE,"4.2";#N/A,#N/A,FALSE,"4.3";#N/A,#N/A,FALSE,"4.4";#N/A,#N/A,FALSE,"4.5";#N/A,#N/A,FALSE,"4.6"}</definedName>
    <definedName name="wrn.Orçamento._.Realizado._.1999." hidden="1">{#N/A,#N/A,FALSE,"Capa";#N/A,#N/A,FALSE,"Índice";#N/A,#N/A,FALSE,"1";#N/A,#N/A,FALSE,"2";#N/A,#N/A,FALSE,"3.0";#N/A,#N/A,FALSE,"3.1";#N/A,#N/A,FALSE,"3.2";#N/A,#N/A,FALSE,"3.3";#N/A,#N/A,FALSE,"3.4";#N/A,#N/A,FALSE,"3.5";#N/A,#N/A,FALSE,"3.6";#N/A,#N/A,FALSE,"4";#N/A,#N/A,FALSE,"4.0";#N/A,#N/A,FALSE,"4.1";#N/A,#N/A,FALSE,"4.2";#N/A,#N/A,FALSE,"4.3";#N/A,#N/A,FALSE,"4.4";#N/A,#N/A,FALSE,"4.5";#N/A,#N/A,FALSE,"4.6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ubro." localSheetId="0" hidden="1">{"Fecha_Outubro",#N/A,FALSE,"FECHAMENTO-2002 ";"Defer_Outubro",#N/A,FALSE,"DIFERIDO";"Pis_Outubro",#N/A,FALSE,"PIS COFINS";"Iss_Outubro",#N/A,FALSE,"ISS"}</definedName>
    <definedName name="wrn.Outubro." hidden="1">{"Fecha_Outubro",#N/A,FALSE,"FECHAMENTO-2002 ";"Defer_Outubro",#N/A,FALSE,"DIFERIDO";"Pis_Outubro",#N/A,FALSE,"PIS COFINS";"Iss_Outubro",#N/A,FALSE,"ISS"}</definedName>
    <definedName name="wrn.PA._.MENSAL." localSheetId="0" hidden="1">{#N/A,#N/A,FALSE,"PACCIL";#N/A,#N/A,FALSE,"PAITACAN";#N/A,#N/A,FALSE,"PARECO";#N/A,#N/A,FALSE,"PA62";#N/A,#N/A,FALSE,"PAFINAL";#N/A,#N/A,FALSE,"PARECONF";#N/A,#N/A,FALSE,"PARECOND"}</definedName>
    <definedName name="wrn.PA._.MENSAL." hidden="1">{#N/A,#N/A,FALSE,"PACCIL";#N/A,#N/A,FALSE,"PAITACAN";#N/A,#N/A,FALSE,"PARECO";#N/A,#N/A,FALSE,"PA62";#N/A,#N/A,FALSE,"PAFINAL";#N/A,#N/A,FALSE,"PARECONF";#N/A,#N/A,FALSE,"PARECOND"}</definedName>
    <definedName name="wrn.Paraná._.mais._.Emprego." localSheetId="0" hidden="1">{#N/A,#N/A,FALSE,"DIXIE TOGA"}</definedName>
    <definedName name="wrn.Paraná._.mais._.Emprego." hidden="1">{#N/A,#N/A,FALSE,"DIXIE TOGA"}</definedName>
    <definedName name="wrn.Penetration." localSheetId="0" hidden="1">{"penetration percentage",#N/A,FALSE,"Penetration";"penetration subs",#N/A,FALSE,"Penetration"}</definedName>
    <definedName name="wrn.Penetration." hidden="1">{"penetration percentage",#N/A,FALSE,"Penetration";"penetration subs",#N/A,FALSE,"Penetration"}</definedName>
    <definedName name="wrn.PIS." localSheetId="0" hidden="1">{#N/A,#N/A,FALSE,"PIS"}</definedName>
    <definedName name="wrn.PIS." hidden="1">{#N/A,#N/A,FALSE,"PIS"}</definedName>
    <definedName name="wrn.PL." localSheetId="0" hidden="1">{"20 Years",#N/A,FALSE,"P&amp;Ls";"2001",#N/A,FALSE,"P&amp;Ls"}</definedName>
    <definedName name="wrn.PL." hidden="1">{"20 Years",#N/A,FALSE,"P&amp;Ls";"2001",#N/A,FALSE,"P&amp;Ls"}</definedName>
    <definedName name="wrn.plan." localSheetId="0" hidden="1">{"2001 actual",#N/A,FALSE,"Raw Data month";"2002actual",#N/A,FALSE,"Raw Data month";"2002 plan",#N/A,FALSE,"Raw Data month"}</definedName>
    <definedName name="wrn.plan." hidden="1">{"2001 actual",#N/A,FALSE,"Raw Data month";"2002actual",#N/A,FALSE,"Raw Data month";"2002 plan",#N/A,FALSE,"Raw Data month"}</definedName>
    <definedName name="wrn.PLANEJAMENTO._.1999." localSheetId="0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ANEJAMENTO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LKLANTEN." localSheetId="0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wrn.PLKLANTEN.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wrn.PLQLANTEN." localSheetId="0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wrn.PLQLANTEN." hidden="1">{#N/A,#N/A,FALSE,"form7200";#N/A,#N/A,FALSE,"FORM4534";#N/A,#N/A,FALSE,"FORM11053";#N/A,#N/A,FALSE,"FORM11082";#N/A,#N/A,FALSE,"FORM7280";#N/A,#N/A,FALSE,"FORM7214";#N/A,#N/A,FALSE,"FORM7263";#N/A,#N/A,FALSE,"FORM7266";#N/A,#N/A,FALSE,"FORM11053"}</definedName>
    <definedName name="wrn.Poe." localSheetId="0" hidden="1">{#N/A,#N/A,FALSE,"Poe Stand Alone";#N/A,#N/A,FALSE,"Poe (Calenderised, EUR)"}</definedName>
    <definedName name="wrn.Poe." hidden="1">{#N/A,#N/A,FALSE,"Poe Stand Alone";#N/A,#N/A,FALSE,"Poe (Calenderised, EUR)"}</definedName>
    <definedName name="wrn.Presupuesto2000._.Astra_YPF.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CE." localSheetId="0" hidden="1">{#N/A,#N/A,FALSE,"BPCNB";#N/A,#N/A,FALSE,"DRECNB";#N/A,#N/A,FALSE,"PLCNB";#N/A,#N/A,FALSE,"DOARCNB"}</definedName>
    <definedName name="wrn.PRICE." hidden="1">{#N/A,#N/A,FALSE,"BPCNB";#N/A,#N/A,FALSE,"DRECNB";#N/A,#N/A,FALSE,"PLCNB";#N/A,#N/A,FALSE,"DOARCNB"}</definedName>
    <definedName name="wrn.prices." localSheetId="0" hidden="1">{#N/A,#N/A,TRUE,"BANAMEX";#N/A,#N/A,TRUE,"CGT";#N/A,#N/A,TRUE,"ALFA";#N/A,#N/A,TRUE,"ICA (2)"}</definedName>
    <definedName name="wrn.prices." hidden="1">{#N/A,#N/A,TRUE,"BANAMEX";#N/A,#N/A,TRUE,"CGT";#N/A,#N/A,TRUE,"ALFA";#N/A,#N/A,TRUE,"ICA (2)"}</definedName>
    <definedName name="wrn.print." localSheetId="0" hidden="1">{#N/A,#N/A,FALSE,"Japan 2003";#N/A,#N/A,FALSE,"Sheet2"}</definedName>
    <definedName name="wrn.print." hidden="1">{#N/A,#N/A,FALSE,"Japan 2003";#N/A,#N/A,FALSE,"Sheet2"}</definedName>
    <definedName name="wrn.Print._.Entire._.Business._.Case." localSheetId="0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aw._data._.entry2." localSheetId="0" hidden="1">{"inputs raw data",#N/A,TRUE,"INPUT"}</definedName>
    <definedName name="wrn.print._.raw._data._.entry2." hidden="1">{"inputs raw data",#N/A,TRUE,"INPUT"}</definedName>
    <definedName name="wrn.print._.rept.." localSheetId="0" hidden="1">{#N/A,#N/A,FALSE,"GP";#N/A,#N/A,FALSE,"Summary"}</definedName>
    <definedName name="wrn.print._.rept.." hidden="1">{#N/A,#N/A,FALSE,"GP";#N/A,#N/A,FALSE,"Summary"}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2" localSheetId="0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maxitel." localSheetId="0" hidden="1">{#N/A,#N/A,TRUE,"Summary ($R)";#N/A,#N/A,TRUE,"Summary (US$)";#N/A,#N/A,TRUE,"Drivers - Area 4";#N/A,#N/A,TRUE,"Drivers - Area 9";#N/A,#N/A,TRUE,"I S";#N/A,#N/A,TRUE,"B S";#N/A,#N/A,TRUE,"C F";#N/A,#N/A,TRUE,"Debt_Repayment";#N/A,#N/A,TRUE,"Ratio_Analysis";#N/A,#N/A,TRUE,"Sensitivities"}</definedName>
    <definedName name="wrn.print_maxitel." hidden="1">{#N/A,#N/A,TRUE,"Summary ($R)";#N/A,#N/A,TRUE,"Summary (US$)";#N/A,#N/A,TRUE,"Drivers - Area 4";#N/A,#N/A,TRUE,"Drivers - Area 9";#N/A,#N/A,TRUE,"I S";#N/A,#N/A,TRUE,"B S";#N/A,#N/A,TRUE,"C F";#N/A,#N/A,TRUE,"Debt_Repayment";#N/A,#N/A,TRUE,"Ratio_Analysis";#N/A,#N/A,TRUE,"Sensitivities"}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fit_Loss." localSheetId="0" hidden="1">{"Profit_Loss",#N/A,FALSE,"Input Sheet"}</definedName>
    <definedName name="wrn.Profit_Loss." hidden="1">{"Profit_Loss",#N/A,FALSE,"Input Sheet"}</definedName>
    <definedName name="wrn.PROVIDERSUMRPT." localSheetId="0" hidden="1">{#N/A,#N/A,FALSE,"AEI";#N/A,#N/A,FALSE,"BBC";#N/A,#N/A,FALSE,"ART";#N/A,#N/A,FALSE,"Bloomberg";#N/A,#N/A,FALSE,"Cinecanal";#N/A,#N/A,FALSE,"Telemundo Intn'l";#N/A,#N/A,FALSE,"Telemundo PR";#N/A,#N/A,FALSE,"CL@SE";#N/A,#N/A,FALSE,"Cronica TV";#N/A,#N/A,FALSE,"Music Choice";#N/A,#N/A,FALSE,"Discoveryal";#N/A,#N/A,FALSE,"Discoveryall";#N/A,#N/A,FALSE,"Disney ";#N/A,#N/A,FALSE,"Disney-BR";#N/A,#N/A,FALSE,"Disney - PR";#N/A,#N/A,FALSE,"E! PR";#N/A,#N/A,FALSE,"ESPN - PR";#N/A,#N/A,FALSE,"ESPN ";#N/A,#N/A,FALSE,"ESPN2";#N/A,#N/A,FALSE,"ESPN-Brasil";#N/A,#N/A,FALSE,"Film Zone";#N/A,#N/A,FALSE,"Gems";#N/A,#N/A,FALSE,"Hallmark";#N/A,#N/A,FALSE,"HBO Basic all";#N/A,#N/A,FALSE,"HBO_Ole(P)";#N/A,#N/A,FALSE,"HBOSouth(P) Flat Fee";#N/A,#N/A,FALSE,"HBO PR ";#N/A,#N/A,FALSE,"Showtime - PR";#N/A,#N/A,FALSE,"HTV";#N/A,#N/A,FALSE,"Imagen";#N/A,#N/A,FALSE,"Lifetime";#N/A,#N/A,FALSE,"Infinito";#N/A,#N/A,FALSE,"MGM ";#N/A,#N/A,FALSE,"Casa Club";#N/A,#N/A,FALSE,"MTV_Latino";#N/A,#N/A,FALSE,"MTV_Brasil";#N/A,#N/A,FALSE,"MuchMusic";#N/A,#N/A,FALSE,"MVS-Multipremier";#N/A,#N/A,FALSE,"MVS-ZAZ";#N/A,#N/A,FALSE,"MVS-Antena3";#N/A,#N/A,FALSE,"MVS-CineLatino";#N/A,#N/A,FALSE,"MVS-MAS&amp;MC";#N/A,#N/A,FALSE,"NHK";#N/A,#N/A,FALSE,"Nickelodeon PR";#N/A,#N/A,FALSE,"Nickelodeon";#N/A,#N/A,FALSE,"Locomotion-ODC";#N/A,#N/A,FALSE,"Playboy";#N/A,#N/A,FALSE,"RTVE- TVE";#N/A,#N/A,FALSE,"TU Acquisition";#N/A,#N/A,FALSE,"Turner II";#N/A,#N/A,FALSE,"Turner I";#N/A,#N/A,FALSE,"TVA";#N/A,#N/A,FALSE,"TV5";#N/A,#N/A,FALSE,"USA";#N/A,#N/A,FALSE,"USA Brasil ";#N/A,#N/A,FALSE,"USA - PR";#N/A,#N/A,FALSE,"TVN_CHILE";#N/A,#N/A,FALSE,"Venevision";#N/A,#N/A,FALSE,"Weather Channel";#N/A,#N/A,FALSE,"Venus";#N/A,#N/A,FALSE,"Band News";#N/A,#N/A,FALSE,"CMT Brasil";#N/A,#N/A,FALSE,"PR Networks";#N/A,#N/A,FALSE,"A&amp;E - PR";#N/A,#N/A,FALSE,"Disney ";#N/A,#N/A,FALSE,"Eurochannel";#N/A,#N/A,FALSE,"HBO Basic all";#N/A,#N/A,FALSE,"HBO_Ole(P)"}</definedName>
    <definedName name="wrn.PROVIDERSUMRPT." hidden="1">{#N/A,#N/A,FALSE,"AEI";#N/A,#N/A,FALSE,"BBC";#N/A,#N/A,FALSE,"ART";#N/A,#N/A,FALSE,"Bloomberg";#N/A,#N/A,FALSE,"Cinecanal";#N/A,#N/A,FALSE,"Telemundo Intn'l";#N/A,#N/A,FALSE,"Telemundo PR";#N/A,#N/A,FALSE,"CL@SE";#N/A,#N/A,FALSE,"Cronica TV";#N/A,#N/A,FALSE,"Music Choice";#N/A,#N/A,FALSE,"Discoveryal";#N/A,#N/A,FALSE,"Discoveryall";#N/A,#N/A,FALSE,"Disney ";#N/A,#N/A,FALSE,"Disney-BR";#N/A,#N/A,FALSE,"Disney - PR";#N/A,#N/A,FALSE,"E! PR";#N/A,#N/A,FALSE,"ESPN - PR";#N/A,#N/A,FALSE,"ESPN ";#N/A,#N/A,FALSE,"ESPN2";#N/A,#N/A,FALSE,"ESPN-Brasil";#N/A,#N/A,FALSE,"Film Zone";#N/A,#N/A,FALSE,"Gems";#N/A,#N/A,FALSE,"Hallmark";#N/A,#N/A,FALSE,"HBO Basic all";#N/A,#N/A,FALSE,"HBO_Ole(P)";#N/A,#N/A,FALSE,"HBOSouth(P) Flat Fee";#N/A,#N/A,FALSE,"HBO PR ";#N/A,#N/A,FALSE,"Showtime - PR";#N/A,#N/A,FALSE,"HTV";#N/A,#N/A,FALSE,"Imagen";#N/A,#N/A,FALSE,"Lifetime";#N/A,#N/A,FALSE,"Infinito";#N/A,#N/A,FALSE,"MGM ";#N/A,#N/A,FALSE,"Casa Club";#N/A,#N/A,FALSE,"MTV_Latino";#N/A,#N/A,FALSE,"MTV_Brasil";#N/A,#N/A,FALSE,"MuchMusic";#N/A,#N/A,FALSE,"MVS-Multipremier";#N/A,#N/A,FALSE,"MVS-ZAZ";#N/A,#N/A,FALSE,"MVS-Antena3";#N/A,#N/A,FALSE,"MVS-CineLatino";#N/A,#N/A,FALSE,"MVS-MAS&amp;MC";#N/A,#N/A,FALSE,"NHK";#N/A,#N/A,FALSE,"Nickelodeon PR";#N/A,#N/A,FALSE,"Nickelodeon";#N/A,#N/A,FALSE,"Locomotion-ODC";#N/A,#N/A,FALSE,"Playboy";#N/A,#N/A,FALSE,"RTVE- TVE";#N/A,#N/A,FALSE,"TU Acquisition";#N/A,#N/A,FALSE,"Turner II";#N/A,#N/A,FALSE,"Turner I";#N/A,#N/A,FALSE,"TVA";#N/A,#N/A,FALSE,"TV5";#N/A,#N/A,FALSE,"USA";#N/A,#N/A,FALSE,"USA Brasil ";#N/A,#N/A,FALSE,"USA - PR";#N/A,#N/A,FALSE,"TVN_CHILE";#N/A,#N/A,FALSE,"Venevision";#N/A,#N/A,FALSE,"Weather Channel";#N/A,#N/A,FALSE,"Venus";#N/A,#N/A,FALSE,"Band News";#N/A,#N/A,FALSE,"CMT Brasil";#N/A,#N/A,FALSE,"PR Networks";#N/A,#N/A,FALSE,"A&amp;E - PR";#N/A,#N/A,FALSE,"Disney ";#N/A,#N/A,FALSE,"Eurochannel";#N/A,#N/A,FALSE,"HBO Basic all";#N/A,#N/A,FALSE,"HBO_Ole(P)"}</definedName>
    <definedName name="wrn.PROVIR97." localSheetId="0" hidden="1">{#N/A,#N/A,FALSE,"IR E CS 1997";#N/A,#N/A,FALSE,"PR ND";#N/A,#N/A,FALSE,"8191";#N/A,#N/A,FALSE,"8383";#N/A,#N/A,FALSE,"MP 1024";#N/A,#N/A,FALSE,"AD_EX_97";#N/A,#N/A,FALSE,"BD 97"}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Quick._.Summary." localSheetId="0" hidden="1">{"Decision Memo",#N/A,TRUE,"Ratios";"IRR",#N/A,TRUE,"IRR";"Decision Memo",#N/A,TRUE,"Fin. Stat.";"Summary",#N/A,TRUE,"Debt"}</definedName>
    <definedName name="wrn.Quick._.Summary." hidden="1">{"Decision Memo",#N/A,TRUE,"Ratios";"IRR",#N/A,TRUE,"IRR";"Decision Memo",#N/A,TRUE,"Fin. Stat.";"Summary",#N/A,TRUE,"Debt"}</definedName>
    <definedName name="wrn.Ray1." localSheetId="0" hidden="1">{"LB1",#N/A,FALSE,"DR";"LB2",#N/A,FALSE,"DR"}</definedName>
    <definedName name="wrn.Ray1." hidden="1">{"LB1",#N/A,FALSE,"DR";"LB2",#N/A,FALSE,"DR"}</definedName>
    <definedName name="wrn.Ray2." localSheetId="0" hidden="1">{"BNnew1",#N/A,FALSE,"BNDES_Aut";"BNnew2",#N/A,FALSE,"BNDES_Aut";"BNnew3",#N/A,FALSE,"BNDES_Aut"}</definedName>
    <definedName name="wrn.Ray2." hidden="1">{"BNnew1",#N/A,FALSE,"BNDES_Aut";"BNnew2",#N/A,FALSE,"BNDES_Aut";"BNnew3",#N/A,FALSE,"BNDES_Aut"}</definedName>
    <definedName name="wrn.Rayton." localSheetId="0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ecebimentos._.adesão." localSheetId="0" hidden="1">{"Assumptions hookup",#N/A,FALSE,"receber adesão";"Recebimentos",#N/A,FALSE,"receber adesão"}</definedName>
    <definedName name="wrn.recebimentos._.adesão." hidden="1">{"Assumptions hookup",#N/A,FALSE,"receber adesão";"Recebimentos",#N/A,FALSE,"receber adesão"}</definedName>
    <definedName name="wrn.REFPET5.XLW." localSheetId="0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L_IR_97." localSheetId="0" hidden="1">{#N/A,#N/A,TRUE,"BD 97";#N/A,#N/A,TRUE,"IR E CS 1997";#N/A,#N/A,TRUE,"CONTINGÊNCIAS";#N/A,#N/A,TRUE,"AD_EX_97";#N/A,#N/A,TRUE,"PR ND";#N/A,#N/A,TRUE,"8191";#N/A,#N/A,TRUE,"8383";#N/A,#N/A,TRUE,"MP 1024"}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at_Básico." localSheetId="0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ório._.Completo.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NTÁBIL." localSheetId="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para._.Auditoria." localSheetId="0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Resumido." localSheetId="0" hidden="1">{#N/A,#N/A,FALSE,"GP";#N/A,#N/A,FALSE,"Assinantes";#N/A,#N/A,FALSE,"Rede";#N/A,#N/A,FALSE,"Evolução";#N/A,#N/A,FALSE,"Resultado"}</definedName>
    <definedName name="wrn.Relatório._.Resumido." hidden="1">{#N/A,#N/A,FALSE,"GP";#N/A,#N/A,FALSE,"Assinantes";#N/A,#N/A,FALSE,"Rede";#N/A,#N/A,FALSE,"Evolução";#N/A,#N/A,FALSE,"Resultado"}</definedName>
    <definedName name="wrn.relsoc." localSheetId="0" hidden="1">{#N/A,#N/A,FALSE,"DOARCNB";#N/A,#N/A,FALSE,"PLCNB";#N/A,#N/A,FALSE,"DRECNB";#N/A,#N/A,FALSE,"BPCNB";#N/A,#N/A,FALSE,"fluxo de caixa"}</definedName>
    <definedName name="wrn.relsoc." hidden="1">{#N/A,#N/A,FALSE,"DOARCNB";#N/A,#N/A,FALSE,"PLCNB";#N/A,#N/A,FALSE,"DRECNB";#N/A,#N/A,FALSE,"BPCNB";#N/A,#N/A,FALSE,"fluxo de caixa"}</definedName>
    <definedName name="wrn.repassefinal" localSheetId="0" hidden="1">{#N/A,#N/A,FALSE,"DR";#N/A,#N/A,FALSE,"DR (2)";#N/A,#N/A,FALSE,"Rateio";#N/A,#N/A,FALSE,"IRRF";#N/A,#N/A,FALSE,"Check Sum";#N/A,#N/A,FALSE,"LPD correções"}</definedName>
    <definedName name="wrn.repassefinal" hidden="1">{#N/A,#N/A,FALSE,"DR";#N/A,#N/A,FALSE,"DR (2)";#N/A,#N/A,FALSE,"Rateio";#N/A,#N/A,FALSE,"IRRF";#N/A,#N/A,FALSE,"Check Sum";#N/A,#N/A,FALSE,"LPD correções"}</definedName>
    <definedName name="wrn.RepasseFinal." localSheetId="0" hidden="1">{#N/A,#N/A,FALSE,"DR";#N/A,#N/A,FALSE,"DR (2)";#N/A,#N/A,FALSE,"Rateio";#N/A,#N/A,FALSE,"IRRF";#N/A,#N/A,FALSE,"Check Sum";#N/A,#N/A,FALSE,"LPD correções"}</definedName>
    <definedName name="wrn.RepasseFinal." hidden="1">{#N/A,#N/A,FALSE,"DR";#N/A,#N/A,FALSE,"DR (2)";#N/A,#N/A,FALSE,"Rateio";#N/A,#N/A,FALSE,"IRRF";#N/A,#N/A,FALSE,"Check Sum";#N/A,#N/A,FALSE,"LPD correções"}</definedName>
    <definedName name="wrn.report." localSheetId="0" hidden="1">{"report",#N/A,FALSE,"dataBase"}</definedName>
    <definedName name="wrn.report." hidden="1">{"report",#N/A,FALSE,"dataBase"}</definedName>
    <definedName name="wrn.Reporte._.1." localSheetId="0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ports" localSheetId="0" hidden="1">{"Assumptions",#N/A,FALSE,"Statements R$";"gains and losses",#N/A,FALSE,"Statements R$";"Statements BR",#N/A,FALSE,"Statements R$"}</definedName>
    <definedName name="wrn.Reports" hidden="1">{"Assumptions",#N/A,FALSE,"Statements R$";"gains and losses",#N/A,FALSE,"Statements R$";"Statements BR",#N/A,FALSE,"Statements R$"}</definedName>
    <definedName name="wrn.Reports._.BRGAAP." localSheetId="0" hidden="1">{"Assumptions",#N/A,FALSE,"Statements R$";"gains and losses",#N/A,FALSE,"Statements R$";"Statements BR",#N/A,FALSE,"Statements R$"}</definedName>
    <definedName name="wrn.Reports._.BRGAAP." hidden="1">{"Assumptions",#N/A,FALSE,"Statements R$";"gains and losses",#N/A,FALSE,"Statements R$";"Statements BR",#N/A,FALSE,"Statements R$"}</definedName>
    <definedName name="wrn.Reports._.USGAAP." localSheetId="0" hidden="1">{"gains_losses allocation",#N/A,FALSE,"Statements US$";"Hookup fee USGAAP",#N/A,FALSE,"Statements US$";"Statements US",#N/A,FALSE,"Statements US$"}</definedName>
    <definedName name="wrn.Reports._.USGAAP." hidden="1">{"gains_losses allocation",#N/A,FALSE,"Statements US$";"Hookup fee USGAAP",#N/A,FALSE,"Statements US$";"Statements US",#N/A,FALSE,"Statements US$"}</definedName>
    <definedName name="wrn.RESULTADO.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ésultats._.di._.Paola.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wrn.résultats._.di._.Paola.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wrn.Results." localSheetId="0" hidden="1">{#N/A,#N/A,FALSE,"PR report 1";#N/A,#N/A,FALSE,"PR report 2";#N/A,#N/A,FALSE,"PR report 3";#N/A,#N/A,FALSE,"HBE Rev";#N/A,#N/A,FALSE,"PR report 4";#N/A,#N/A,FALSE,"Wiggin Rev";#N/A,#N/A,FALSE,"NH Rev"}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SUMEN." localSheetId="0" hidden="1">{"RESUMEN",#N/A,FALSE,"RESUMEN";"RESUMEN_MARG",#N/A,FALSE,"RESUMEN"}</definedName>
    <definedName name="wrn.RESUMEN." hidden="1">{"RESUMEN",#N/A,FALSE,"RESUMEN";"RESUMEN_MARG",#N/A,FALSE,"RESUMEN"}</definedName>
    <definedName name="wrn.RESUMO." localSheetId="0" hidden="1">{#N/A,#N/A,FALSE,"HONORÁRIOS"}</definedName>
    <definedName name="wrn.RESUMO." hidden="1">{#N/A,#N/A,FALSE,"HONORÁRIOS"}</definedName>
    <definedName name="wrn.RGD_BG_FC." localSheetId="0" hidden="1">{#N/A,#N/A,FALSE,"RGD$";#N/A,#N/A,FALSE,"BG$";#N/A,#N/A,FALSE,"FC$"}</definedName>
    <definedName name="wrn.RGD_BG_FC." hidden="1">{#N/A,#N/A,FALSE,"RGD$";#N/A,#N/A,FALSE,"BG$";#N/A,#N/A,FALSE,"FC$"}</definedName>
    <definedName name="wrn.Royalty." localSheetId="0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wrn.Royalty.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wrn.Scenario._.Summary.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etembro." localSheetId="0" hidden="1">{"Fecha_Setembro",#N/A,FALSE,"FECHAMENTO-2002 ";"Defer_Setembro",#N/A,FALSE,"DIFERIDO";"Pis_Setembro",#N/A,FALSE,"PIS COFINS";"Iss_Setembro",#N/A,FALSE,"ISS"}</definedName>
    <definedName name="wrn.Setembro." hidden="1">{"Fecha_Setembro",#N/A,FALSE,"FECHAMENTO-2002 ";"Defer_Setembro",#N/A,FALSE,"DIFERIDO";"Pis_Setembro",#N/A,FALSE,"PIS COFINS";"Iss_Setembro",#N/A,FALSE,"ISS"}</definedName>
    <definedName name="wrn.SIM95." localSheetId="0" hidden="1">{#N/A,#N/A,FALSE,"SIM95"}</definedName>
    <definedName name="wrn.SIM95." hidden="1">{#N/A,#N/A,FALSE,"SIM95"}</definedName>
    <definedName name="wrn.sim953" localSheetId="0" hidden="1">{#N/A,#N/A,FALSE,"SIM95"}</definedName>
    <definedName name="wrn.sim953" hidden="1">{#N/A,#N/A,FALSE,"SIM95"}</definedName>
    <definedName name="wrn.sim954" localSheetId="0" hidden="1">{#N/A,#N/A,FALSE,"SIM95"}</definedName>
    <definedName name="wrn.sim954" hidden="1">{#N/A,#N/A,FALSE,"SIM95"}</definedName>
    <definedName name="wrn.stand_alone_both" localSheetId="0" hidden="1">{"FCB_ALL",#N/A,FALSE,"FCB";"GREY_ALL",#N/A,FALSE,"GREY"}</definedName>
    <definedName name="wrn.stand_alone_both" hidden="1">{"FCB_ALL",#N/A,FALSE,"FCB";"GREY_ALL",#N/A,FALSE,"GREY"}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_alone_both._dcf" localSheetId="0" hidden="1">{"FCB_ALL",#N/A,FALSE,"FCB";"GREY_ALL",#N/A,FALSE,"GREY"}</definedName>
    <definedName name="wrn.Stand_alone_both._dcf" hidden="1">{"FCB_ALL",#N/A,FALSE,"FCB";"GREY_ALL",#N/A,FALSE,"GREY"}</definedName>
    <definedName name="wrn.stand_alone_both.1" localSheetId="0" hidden="1">{"FCB_ALL",#N/A,FALSE,"FCB";"GREY_ALL",#N/A,FALSE,"GREY"}</definedName>
    <definedName name="wrn.stand_alone_both.1" hidden="1">{"FCB_ALL",#N/A,FALSE,"FCB";"GREY_ALL",#N/A,FALSE,"GREY"}</definedName>
    <definedName name="wrn.stand_alone_both1" localSheetId="0" hidden="1">{"FCB_ALL",#N/A,FALSE,"FCB";"GREY_ALL",#N/A,FALSE,"GREY"}</definedName>
    <definedName name="wrn.stand_alone_both1" hidden="1">{"FCB_ALL",#N/A,FALSE,"FCB";"GREY_ALL",#N/A,FALSE,"GREY"}</definedName>
    <definedName name="wrn.stand_alone_both9" localSheetId="0" hidden="1">{"FCB_ALL",#N/A,FALSE,"FCB";"GREY_ALL",#N/A,FALSE,"GREY"}</definedName>
    <definedName name="wrn.stand_alone_both9" hidden="1">{"FCB_ALL",#N/A,FALSE,"FCB";"GREY_ALL",#N/A,FALSE,"GREY"}</definedName>
    <definedName name="wrn.standaloneboth1" localSheetId="0" hidden="1">{"FCB_ALL",#N/A,FALSE,"FCB";"GREY_ALL",#N/A,FALSE,"GREY"}</definedName>
    <definedName name="wrn.standaloneboth1" hidden="1">{"FCB_ALL",#N/A,FALSE,"FCB";"GREY_ALL",#N/A,FALSE,"GREY"}</definedName>
    <definedName name="wrn.stay" localSheetId="0" hidden="1">{"summary1",#N/A,TRUE,"Comps";"summary2",#N/A,TRUE,"Comps";"summary3",#N/A,TRUE,"Comps"}</definedName>
    <definedName name="wrn.stay" hidden="1">{"summary1",#N/A,TRUE,"Comps";"summary2",#N/A,TRUE,"Comps";"summary3",#N/A,TRUE,"Comps"}</definedName>
    <definedName name="wrn.Tabla._.PL." localSheetId="0" hidden="1">{#N/A,#N/A,FALSE,"P.L.Full";#N/A,#N/A,FALSE,"P.L.Desc."}</definedName>
    <definedName name="wrn.Tabla._.PL." hidden="1">{#N/A,#N/A,FALSE,"P.L.Full";#N/A,#N/A,FALSE,"P.L.Desc."}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0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0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localSheetId="0" hidden="1">{"test2",#N/A,TRUE,"Prices"}</definedName>
    <definedName name="wrn.test." hidden="1">{"test2",#N/A,TRUE,"Prices"}</definedName>
    <definedName name="wrn.test._.2." localSheetId="0" hidden="1">{"test",#N/A,TRUE,"Summary";"test",#N/A,TRUE,"Assumptions"}</definedName>
    <definedName name="wrn.test._.2." hidden="1">{"test",#N/A,TRUE,"Summary";"test",#N/A,TRUE,"Assumptions"}</definedName>
    <definedName name="wrn.test1." localSheetId="0" hidden="1">{#N/A,#N/A,FALSE,"Earn'gs &amp; Val'n";#N/A,#N/A,FALSE,"Interim"}</definedName>
    <definedName name="wrn.test1." hidden="1">{#N/A,#N/A,FALSE,"Earn'gs &amp; Val'n";#N/A,#N/A,FALSE,"Interim"}</definedName>
    <definedName name="wrn.Todas._.las._.tablas." localSheetId="0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O." localSheetId="0" hidden="1">{#N/A,#N/A,FALSE,"RESUMEN";#N/A,#N/A,FALSE,"PARQ_C";#N/A,#N/A,FALSE,"PARQ_P";#N/A,#N/A,FALSE,"MIN_S_C";#N/A,#N/A,FALSE,"MIN_S_P";#N/A,#N/A,FALSE,"MIN_E_M_M";#N/A,#N/A,FALSE,"MIN_E_FIJA";#N/A,#N/A,FALSE,"SUPUESTOS"}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al." localSheetId="0" hidden="1">{"fcst w head depre cap",#N/A,FALSE,"PL";"new bud adj",#N/A,FALSE,"PL";"qtr",#N/A,FALSE,"PL";"quick",#N/A,FALSE,"PL";"bal sheet",#N/A,FALSE,"PL";"fixed assets",#N/A,FALSE,"PL"}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bud" localSheetId="0" hidden="1">{"fcst w head depre cap",#N/A,FALSE,"PL";"new bud adj",#N/A,FALSE,"PL";"qtr",#N/A,FALSE,"PL";"quick",#N/A,FALSE,"PL";"bal sheet",#N/A,FALSE,"PL";"fixed assets",#N/A,FALSE,"PL"}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Trading._.Summary." localSheetId="0" hidden="1">{#N/A,#N/A,FALSE,"Trading Summary"}</definedName>
    <definedName name="wrn.Trading._.Summary." hidden="1">{#N/A,#N/A,FALSE,"Trading Summary"}</definedName>
    <definedName name="wrn.TUDO." localSheetId="0" hidden="1">{"ATI",#N/A,TRUE,"BALabr97";"PAS",#N/A,TRUE,"BALabr97";"REC",#N/A,TRUE,"BALabr97"}</definedName>
    <definedName name="wrn.TUDO." hidden="1">{"ATI",#N/A,TRUE,"BALabr97";"PAS",#N/A,TRUE,"BALabr97";"REC",#N/A,TRUE,"BALabr97"}</definedName>
    <definedName name="wrn.Unidades." localSheetId="0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USW." localSheetId="0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Whole._.Pack.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._.PAPER." localSheetId="0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0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poall." localSheetId="0" hidden="1">{"wpocash",#N/A,FALSE,"WPOALLT";"wpoinc",#N/A,FALSE,"WPOALLT";"wpobroad",#N/A,FALSE,"WPOALLT";"wpocable",#N/A,FALSE,"WPOALLT";"wpoexcl",#N/A,FALSE,"WPOALLT";"wponwsweek",#N/A,FALSE,"WPOALLT";"wpopost",#N/A,FALSE,"WPOALLT"}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PS." localSheetId="0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wrn.WPS." hidden="1">{#N/A,#N/A,FALSE,"F1";#N/A,#N/A,FALSE,"F2";#N/A,#N/A,FALSE,"F3";#N/A,#N/A,FALSE,"perf";#N/A,#N/A,FALSE,"A";#N/A,#N/A,FALSE,"B";#N/A,#N/A,FALSE,"C";#N/A,#N/A,FALSE,"D";#N/A,#N/A,FALSE,"L";#N/A,#N/A,FALSE,"Z";#N/A,#N/A,FALSE,"AA";#N/A,#N/A,FALSE,"BB";#N/A,#N/A,FALSE,"CC";#N/A,#N/A,FALSE,"DD";#N/A,#N/A,FALSE,"EE";#N/A,#N/A,FALSE,"GG"}</definedName>
    <definedName name="wrn.WWY." localSheetId="0" hidden="1">{#N/A,#N/A,FALSE,"WWY"}</definedName>
    <definedName name="wrn.WWY." hidden="1">{#N/A,#N/A,FALSE,"WWY"}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rn1.history" localSheetId="0" hidden="1">{#N/A,#N/A,FALSE,"model"}</definedName>
    <definedName name="wrn1.history" hidden="1">{#N/A,#N/A,FALSE,"model"}</definedName>
    <definedName name="wrn1.total.bud" localSheetId="0" hidden="1">{"fcst w head depre cap",#N/A,FALSE,"PL";"new bud adj",#N/A,FALSE,"PL";"qtr",#N/A,FALSE,"PL";"quick",#N/A,FALSE,"PL";"bal sheet",#N/A,FALSE,"PL";"fixed assets",#N/A,FALSE,"PL"}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1.TUDO." localSheetId="0" hidden="1">{#N/A,#N/A,FALSE,"Embalagem";#N/A,#N/A,FALSE,"Custo horaxlinha1";#N/A,#N/A,FALSE,"carga e descarga";#N/A,#N/A,FALSE,"matprima";#N/A,#N/A,FALSE,"linhas"}</definedName>
    <definedName name="wrn1.TUDO." hidden="1">{#N/A,#N/A,FALSE,"Embalagem";#N/A,#N/A,FALSE,"Custo horaxlinha1";#N/A,#N/A,FALSE,"carga e descarga";#N/A,#N/A,FALSE,"matprima";#N/A,#N/A,FALSE,"linhas"}</definedName>
    <definedName name="wrn2.TUDO." localSheetId="0" hidden="1">{#N/A,#N/A,FALSE,"Embalagem";#N/A,#N/A,FALSE,"Custo horaxlinha1";#N/A,#N/A,FALSE,"carga e descarga";#N/A,#N/A,FALSE,"matprima";#N/A,#N/A,FALSE,"linhas"}</definedName>
    <definedName name="wrn2.TUDO." hidden="1">{#N/A,#N/A,FALSE,"Embalagem";#N/A,#N/A,FALSE,"Custo horaxlinha1";#N/A,#N/A,FALSE,"carga e descarga";#N/A,#N/A,FALSE,"matprima";#N/A,#N/A,FALSE,"linhas"}</definedName>
    <definedName name="wrn3.histroic" localSheetId="0" hidden="1">{#N/A,#N/A,FALSE,"model"}</definedName>
    <definedName name="wrn3.histroic" hidden="1">{#N/A,#N/A,FALSE,"model"}</definedName>
    <definedName name="wrn3.TUDO." localSheetId="0" hidden="1">{#N/A,#N/A,FALSE,"Embalagem";#N/A,#N/A,FALSE,"Custo horaxlinha1";#N/A,#N/A,FALSE,"carga e descarga";#N/A,#N/A,FALSE,"matprima";#N/A,#N/A,FALSE,"linhas"}</definedName>
    <definedName name="wrn3.TUDO." hidden="1">{#N/A,#N/A,FALSE,"Embalagem";#N/A,#N/A,FALSE,"Custo horaxlinha1";#N/A,#N/A,FALSE,"carga e descarga";#N/A,#N/A,FALSE,"matprima";#N/A,#N/A,FALSE,"linhas"}</definedName>
    <definedName name="wrn5.TUDO." localSheetId="0" hidden="1">{#N/A,#N/A,FALSE,"Embalagem";#N/A,#N/A,FALSE,"Custo horaxlinha1";#N/A,#N/A,FALSE,"carga e descarga";#N/A,#N/A,FALSE,"matprima";#N/A,#N/A,FALSE,"linhas"}</definedName>
    <definedName name="wrn5.TUDO." hidden="1">{#N/A,#N/A,FALSE,"Embalagem";#N/A,#N/A,FALSE,"Custo horaxlinha1";#N/A,#N/A,FALSE,"carga e descarga";#N/A,#N/A,FALSE,"matprima";#N/A,#N/A,FALSE,"linhas"}</definedName>
    <definedName name="wrn6.Tudo" localSheetId="0" hidden="1">{#N/A,#N/A,FALSE,"Embalagem";#N/A,#N/A,FALSE,"Custo horaxlinha1";#N/A,#N/A,FALSE,"carga e descarga";#N/A,#N/A,FALSE,"matprima";#N/A,#N/A,FALSE,"linhas"}</definedName>
    <definedName name="wrn6.Tudo" hidden="1">{#N/A,#N/A,FALSE,"Embalagem";#N/A,#N/A,FALSE,"Custo horaxlinha1";#N/A,#N/A,FALSE,"carga e descarga";#N/A,#N/A,FALSE,"matprima";#N/A,#N/A,FALSE,"linhas"}</definedName>
    <definedName name="wrn7.TUDO." localSheetId="0" hidden="1">{#N/A,#N/A,FALSE,"Embalagem";#N/A,#N/A,FALSE,"Custo horaxlinha1";#N/A,#N/A,FALSE,"carga e descarga";#N/A,#N/A,FALSE,"matprima";#N/A,#N/A,FALSE,"linhas"}</definedName>
    <definedName name="wrn7.TUDO." hidden="1">{#N/A,#N/A,FALSE,"Embalagem";#N/A,#N/A,FALSE,"Custo horaxlinha1";#N/A,#N/A,FALSE,"carga e descarga";#N/A,#N/A,FALSE,"matprima";#N/A,#N/A,FALSE,"linhas"}</definedName>
    <definedName name="wrn8.TUDO." localSheetId="0" hidden="1">{#N/A,#N/A,FALSE,"Embalagem";#N/A,#N/A,FALSE,"Custo horaxlinha1";#N/A,#N/A,FALSE,"carga e descarga";#N/A,#N/A,FALSE,"matprima";#N/A,#N/A,FALSE,"linhas"}</definedName>
    <definedName name="wrn8.TUDO." hidden="1">{#N/A,#N/A,FALSE,"Embalagem";#N/A,#N/A,FALSE,"Custo horaxlinha1";#N/A,#N/A,FALSE,"carga e descarga";#N/A,#N/A,FALSE,"matprima";#N/A,#N/A,FALSE,"linhas"}</definedName>
    <definedName name="wscxwscx" hidden="1">8</definedName>
    <definedName name="wvu.ACC.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ELIMLUCRO.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PERDAS.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RES432.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VERLUCRO.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ww" hidden="1">#REF!</definedName>
    <definedName name="wwwww" hidden="1">#REF!</definedName>
    <definedName name="wwwwwq" hidden="1">#REF!</definedName>
    <definedName name="wwwwwwwwwwww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wwwwwwwwwww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xa" hidden="1">#REF!</definedName>
    <definedName name="xju" localSheetId="0" hidden="1">{#N/A,#N/A,FALSE,"Aging Summary";#N/A,#N/A,FALSE,"Ratio Analysis";#N/A,#N/A,FALSE,"Test 120 Day Accts";#N/A,#N/A,FALSE,"Tickmarks"}</definedName>
    <definedName name="xju" hidden="1">{#N/A,#N/A,FALSE,"Aging Summary";#N/A,#N/A,FALSE,"Ratio Analysis";#N/A,#N/A,FALSE,"Test 120 Day Accts";#N/A,#N/A,FALSE,"Tickmarks"}</definedName>
    <definedName name="xplan" hidden="1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2" hidden="1">#REF!</definedName>
    <definedName name="XREF_COLUMN_43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_3" hidden="1">#REF!</definedName>
    <definedName name="XRefColumnsCount" hidden="1">4</definedName>
    <definedName name="XRefCopy1" hidden="1">#REF!</definedName>
    <definedName name="XRefCopy10" hidden="1">#REF!</definedName>
    <definedName name="XRefCopy100Row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Row" hidden="1">#REF!</definedName>
    <definedName name="XRefCopy105Row" hidden="1">#REF!</definedName>
    <definedName name="XRefCopy106Row" hidden="1">#REF!</definedName>
    <definedName name="XRefCopy107Row" hidden="1">#REF!</definedName>
    <definedName name="XRefCopy108Row" hidden="1">#REF!</definedName>
    <definedName name="XRefCopy109Row" hidden="1">#REF!</definedName>
    <definedName name="XRefCopy10Row" hidden="1">#REF!</definedName>
    <definedName name="XRefCopy11" hidden="1">#REF!</definedName>
    <definedName name="XRefCopy111Row" hidden="1">#REF!</definedName>
    <definedName name="XRefCopy114Row" hidden="1">#REF!</definedName>
    <definedName name="XRefCopy116Row" hidden="1">#REF!</definedName>
    <definedName name="XRefCopy119" hidden="1">#REF!</definedName>
    <definedName name="XRefCopy11Row" hidden="1">#REF!</definedName>
    <definedName name="XRefCopy12" hidden="1">#REF!</definedName>
    <definedName name="XRefCopy120Row" hidden="1">#REF!</definedName>
    <definedName name="XRefCopy121Row" hidden="1">#REF!</definedName>
    <definedName name="XRefCopy122Row" hidden="1">#REF!</definedName>
    <definedName name="XRefCopy123Row" hidden="1">#REF!</definedName>
    <definedName name="XRefCopy124Row" hidden="1">#REF!</definedName>
    <definedName name="XRefCopy125Row" hidden="1">#REF!</definedName>
    <definedName name="XRefCopy126Row" hidden="1">#REF!</definedName>
    <definedName name="XRefCopy127Row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8Row" hidden="1">#REF!</definedName>
    <definedName name="XRefCopy17Row" hidden="1">#REF!</definedName>
    <definedName name="XRefCopy18" hidden="1">#REF!</definedName>
    <definedName name="XRefCopy185" hidden="1">#REF!</definedName>
    <definedName name="XRefCopy186Row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3Row" hidden="1">#REF!</definedName>
    <definedName name="XRefCopy195Row" hidden="1">#REF!</definedName>
    <definedName name="XRefCopy197" hidden="1">#REF!</definedName>
    <definedName name="XRefCopy197Row" hidden="1">#REF!</definedName>
    <definedName name="XRefCopy198Row" hidden="1">#REF!</definedName>
    <definedName name="XRefCopy199Row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1Row" hidden="1">#REF!</definedName>
    <definedName name="XRefCopy202" hidden="1">#REF!</definedName>
    <definedName name="XRefCopy202Row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3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Row" hidden="1">#REF!</definedName>
    <definedName name="XRefCopy22" hidden="1">#REF!</definedName>
    <definedName name="XRefCopy220" hidden="1">#REF!</definedName>
    <definedName name="XRefCopy221" hidden="1">#REF!</definedName>
    <definedName name="XRefCopy222" hidden="1">#REF!</definedName>
    <definedName name="XRefCopy222Row" hidden="1">#REF!</definedName>
    <definedName name="XRefCopy226Row" hidden="1">#REF!</definedName>
    <definedName name="XRefCopy227Row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#REF!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2" hidden="1">#REF!</definedName>
    <definedName name="XRefCopy232Row" hidden="1">#REF!</definedName>
    <definedName name="XRefCopy233Row" hidden="1">#REF!</definedName>
    <definedName name="XRefCopy234Row" hidden="1">#REF!</definedName>
    <definedName name="XRefCopy237Row" hidden="1">#REF!</definedName>
    <definedName name="XRefCopy238Row" hidden="1">#REF!</definedName>
    <definedName name="XRefCopy239Row" hidden="1">#REF!</definedName>
    <definedName name="XRefCopy23Row" hidden="1">#REF!</definedName>
    <definedName name="XRefCopy24" hidden="1">#REF!</definedName>
    <definedName name="XRefCopy240Row" hidden="1">#REF!</definedName>
    <definedName name="XRefCopy241Row" hidden="1">#REF!</definedName>
    <definedName name="XRefCopy242Row" hidden="1">#REF!</definedName>
    <definedName name="XRefCopy243Row" hidden="1">#REF!</definedName>
    <definedName name="XRefCopy244Row" hidden="1">#REF!</definedName>
    <definedName name="XRefCopy245Row" hidden="1">#REF!</definedName>
    <definedName name="XRefCopy246Row" hidden="1">#REF!</definedName>
    <definedName name="XRefCopy247Row" hidden="1">#REF!</definedName>
    <definedName name="XRefCopy248Row" hidden="1">#REF!</definedName>
    <definedName name="XRefCopy249Row" hidden="1">#REF!</definedName>
    <definedName name="XRefCopy24Row" hidden="1">#REF!</definedName>
    <definedName name="XRefCopy25" hidden="1">#REF!</definedName>
    <definedName name="XRefCopy250Row" hidden="1">#REF!</definedName>
    <definedName name="XRefCopy251Row" hidden="1">#REF!</definedName>
    <definedName name="XRefCopy252Row" hidden="1">#REF!</definedName>
    <definedName name="XRefCopy253Row" hidden="1">#REF!</definedName>
    <definedName name="XRefCopy254Row" hidden="1">#REF!</definedName>
    <definedName name="XRefCopy255Row" hidden="1">#REF!</definedName>
    <definedName name="XRefCopy256Row" hidden="1">#REF!</definedName>
    <definedName name="XRefCopy257Row" hidden="1">#REF!</definedName>
    <definedName name="XRefCopy258Row" hidden="1">#REF!</definedName>
    <definedName name="XRefCopy259Row" hidden="1">#REF!</definedName>
    <definedName name="XRefCopy25Row" hidden="1">#REF!</definedName>
    <definedName name="XRefCopy26" hidden="1">#REF!</definedName>
    <definedName name="XRefCopy260Row" hidden="1">#REF!</definedName>
    <definedName name="XRefCopy262Row" hidden="1">#REF!</definedName>
    <definedName name="XRefCopy263Row" hidden="1">#REF!</definedName>
    <definedName name="XRefCopy264Row" hidden="1">#REF!</definedName>
    <definedName name="XRefCopy265Row" hidden="1">#REF!</definedName>
    <definedName name="XRefCopy266Row" hidden="1">#REF!</definedName>
    <definedName name="XRefCopy267Row" hidden="1">#REF!</definedName>
    <definedName name="XRefCopy268Row" hidden="1">#REF!</definedName>
    <definedName name="XRefCopy269Row" hidden="1">#REF!</definedName>
    <definedName name="XRefCopy26Row" hidden="1">#REF!</definedName>
    <definedName name="XRefCopy27" hidden="1">#REF!</definedName>
    <definedName name="XRefCopy270Row" hidden="1">#REF!</definedName>
    <definedName name="XRefCopy271Row" hidden="1">#REF!</definedName>
    <definedName name="XRefCopy272Row" hidden="1">#REF!</definedName>
    <definedName name="XRefCopy273Row" hidden="1">#REF!</definedName>
    <definedName name="XRefCopy274Row" hidden="1">#REF!</definedName>
    <definedName name="XRefCopy275Row" hidden="1">#REF!</definedName>
    <definedName name="XRefCopy276Row" hidden="1">#REF!</definedName>
    <definedName name="XRefCopy277Row" hidden="1">#REF!</definedName>
    <definedName name="XRefCopy278Row" hidden="1">#REF!</definedName>
    <definedName name="XRefCopy279Row" hidden="1">#REF!</definedName>
    <definedName name="XRefCopy27Row" hidden="1">#REF!</definedName>
    <definedName name="XRefCopy28" hidden="1">#REF!</definedName>
    <definedName name="XRefCopy280Row" hidden="1">#REF!</definedName>
    <definedName name="XRefCopy281Row" hidden="1">#REF!</definedName>
    <definedName name="XRefCopy282Row" hidden="1">#REF!</definedName>
    <definedName name="XRefCopy283Row" hidden="1">#REF!</definedName>
    <definedName name="XRefCopy284Row" hidden="1">#REF!</definedName>
    <definedName name="XRefCopy285Row" hidden="1">#REF!</definedName>
    <definedName name="XRefCopy286Row" hidden="1">#REF!</definedName>
    <definedName name="XRefCopy287Row" hidden="1">#REF!</definedName>
    <definedName name="XRefCopy288Row" hidden="1">#REF!</definedName>
    <definedName name="XRefCopy289Row" hidden="1">#REF!</definedName>
    <definedName name="XRefCopy28Row" hidden="1">#REF!</definedName>
    <definedName name="XRefCopy29" hidden="1">#REF!</definedName>
    <definedName name="XRefCopy290Row" hidden="1">#REF!</definedName>
    <definedName name="XRefCopy291Row" hidden="1">#REF!</definedName>
    <definedName name="XRefCopy292Row" hidden="1">#REF!</definedName>
    <definedName name="XRefCopy293Row" hidden="1">#REF!</definedName>
    <definedName name="XRefCopy294Row" hidden="1">#REF!</definedName>
    <definedName name="XRefCopy295Row" hidden="1">#REF!</definedName>
    <definedName name="XRefCopy299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0Row" hidden="1">#REF!</definedName>
    <definedName name="XRefCopy301Row" hidden="1">#REF!</definedName>
    <definedName name="XRefCopy302Row" hidden="1">#REF!</definedName>
    <definedName name="XRefCopy303Row" hidden="1">#REF!</definedName>
    <definedName name="XRefCopy304Row" hidden="1">#REF!</definedName>
    <definedName name="XRefCopy305Row" hidden="1">#REF!</definedName>
    <definedName name="XRefCopy306Row" hidden="1">#REF!</definedName>
    <definedName name="XRefCopy307Row" hidden="1">#REF!</definedName>
    <definedName name="XRefCopy308Row" hidden="1">#REF!</definedName>
    <definedName name="XRefCopy309Row" hidden="1">#REF!</definedName>
    <definedName name="XRefCopy30Row" hidden="1">#REF!</definedName>
    <definedName name="XRefCopy31" hidden="1">#REF!</definedName>
    <definedName name="XRefCopy310Row" hidden="1">#REF!</definedName>
    <definedName name="XRefCopy311Row" hidden="1">#REF!</definedName>
    <definedName name="XRefCopy312Row" hidden="1">#REF!</definedName>
    <definedName name="XRefCopy313Row" hidden="1">#REF!</definedName>
    <definedName name="XRefCopy314Row" hidden="1">#REF!</definedName>
    <definedName name="XRefCopy315Row" hidden="1">#REF!</definedName>
    <definedName name="XRefCopy316Row" hidden="1">#REF!</definedName>
    <definedName name="XRefCopy318Row" hidden="1">#REF!</definedName>
    <definedName name="XRefCopy319Row" hidden="1">#REF!</definedName>
    <definedName name="XRefCopy31Row" hidden="1">#REF!</definedName>
    <definedName name="XRefCopy32" hidden="1">#REF!</definedName>
    <definedName name="XRefCopy320Row" hidden="1">#REF!</definedName>
    <definedName name="XRefCopy321Row" hidden="1">#REF!</definedName>
    <definedName name="XRefCopy322Row" hidden="1">#REF!</definedName>
    <definedName name="XRefCopy323Row" hidden="1">#REF!</definedName>
    <definedName name="XRefCopy325Row" hidden="1">#REF!</definedName>
    <definedName name="XRefCopy327Row" hidden="1">#REF!</definedName>
    <definedName name="XRefCopy328Row" hidden="1">#REF!</definedName>
    <definedName name="XRefCopy329Row" hidden="1">#REF!</definedName>
    <definedName name="XRefCopy32Row" hidden="1">#REF!</definedName>
    <definedName name="XRefCopy33" hidden="1">#REF!</definedName>
    <definedName name="XRefCopy330Row" hidden="1">#REF!</definedName>
    <definedName name="XRefCopy332Row" hidden="1">#REF!</definedName>
    <definedName name="XRefCopy333Row" hidden="1">#REF!</definedName>
    <definedName name="XRefCopy337Row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Row" hidden="1">#REF!</definedName>
    <definedName name="XRefCopy9Row" hidden="1">#REF!</definedName>
    <definedName name="XRefCopyRangeCount" hidden="1">6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Row" hidden="1">#REF!</definedName>
    <definedName name="XRefPaste123" hidden="1">#REF!</definedName>
    <definedName name="XRefPaste123Row" hidden="1">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7" hidden="1">#REF!</definedName>
    <definedName name="XRefPaste147Row" hidden="1">#REF!</definedName>
    <definedName name="XRefPaste14Row" hidden="1">#REF!</definedName>
    <definedName name="XRefPaste15" hidden="1">#REF!</definedName>
    <definedName name="XRefPaste151" hidden="1">#REF!</definedName>
    <definedName name="XRefPaste152" hidden="1">#REF!</definedName>
    <definedName name="XRefPaste153" hidden="1">#REF!</definedName>
    <definedName name="XRefPaste154" hidden="1">#REF!</definedName>
    <definedName name="XRefPaste155" hidden="1">#REF!</definedName>
    <definedName name="XRefPaste156" hidden="1">#REF!</definedName>
    <definedName name="XRefPaste157" hidden="1">#REF!</definedName>
    <definedName name="XRefPaste158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3Row" hidden="1">#REF!</definedName>
    <definedName name="XRefPaste174" hidden="1">#REF!</definedName>
    <definedName name="XRefPaste174Row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6Row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" hidden="1">#REF!</definedName>
    <definedName name="XRefPaste194Row" hidden="1">#REF!</definedName>
    <definedName name="XRefPaste195Row" hidden="1">#REF!</definedName>
    <definedName name="XRefPaste196" hidden="1">#REF!</definedName>
    <definedName name="XRefPaste196Row" hidden="1">#REF!</definedName>
    <definedName name="XRefPaste197Row" hidden="1">#REF!</definedName>
    <definedName name="XRefPaste198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2" hidden="1">#REF!</definedName>
    <definedName name="XRefPaste212Row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Row" hidden="1">#REF!</definedName>
    <definedName name="XRefPaste241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6Row" hidden="1">#REF!</definedName>
    <definedName name="XRefPaste247Row" hidden="1">#REF!</definedName>
    <definedName name="XRefPaste248Row" hidden="1">#REF!</definedName>
    <definedName name="XRefPaste249Row" hidden="1">#REF!</definedName>
    <definedName name="XRefPaste24Row" hidden="1">#REF!</definedName>
    <definedName name="XRefPaste25" hidden="1">#REF!</definedName>
    <definedName name="XRefPaste251Row" hidden="1">#REF!</definedName>
    <definedName name="XRefPaste252Row" hidden="1">#REF!</definedName>
    <definedName name="XRefPaste253Row" hidden="1">#REF!</definedName>
    <definedName name="XRefPaste254Row" hidden="1">#REF!</definedName>
    <definedName name="XRefPaste255Row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#REF!</definedName>
    <definedName name="XRefPaste260Row" hidden="1">#REF!</definedName>
    <definedName name="XRefPaste261Row" hidden="1">#REF!</definedName>
    <definedName name="XRefPaste262Row" hidden="1">#REF!</definedName>
    <definedName name="XRefPaste263Row" hidden="1">#REF!</definedName>
    <definedName name="XRefPaste264Row" hidden="1">#REF!</definedName>
    <definedName name="XRefPaste265Row" hidden="1">#REF!</definedName>
    <definedName name="XRefPaste266Row" hidden="1">#REF!</definedName>
    <definedName name="XRefPaste267Row" hidden="1">#REF!</definedName>
    <definedName name="XRefPaste269Row" hidden="1">#REF!</definedName>
    <definedName name="XRefPaste26Row" hidden="1">#REF!</definedName>
    <definedName name="XRefPaste27" hidden="1">#REF!</definedName>
    <definedName name="XRefPaste270Row" hidden="1">#REF!</definedName>
    <definedName name="XRefPaste271Row" hidden="1">#REF!</definedName>
    <definedName name="XRefPaste272Row" hidden="1">#REF!</definedName>
    <definedName name="XRefPaste273" hidden="1">#REF!</definedName>
    <definedName name="XRefPaste273Row" hidden="1">#REF!</definedName>
    <definedName name="XRefPaste274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7</definedName>
    <definedName name="xsaa" hidden="1">#REF!</definedName>
    <definedName name="xvc" localSheetId="0" hidden="1">{"FCB_ALL",#N/A,FALSE,"FCB"}</definedName>
    <definedName name="xvc" hidden="1">{"FCB_ALL",#N/A,FALSE,"FCB"}</definedName>
    <definedName name="xx" localSheetId="0" hidden="1">{"MDU Equipments",#N/A,FALSE,"Custos Equipamentos"}</definedName>
    <definedName name="xx" hidden="1">{"MDU Equipments",#N/A,FALSE,"Custos Equipamentos"}</definedName>
    <definedName name="XXW" localSheetId="0" hidden="1">{#N/A,#N/A,FALSE,"SIM95"}</definedName>
    <definedName name="XXW" hidden="1">{#N/A,#N/A,FALSE,"SIM95"}</definedName>
    <definedName name="xxx" hidden="1">#REF!</definedName>
    <definedName name="XXXXX" localSheetId="0" hidden="1">{"Fixed Assets equipments",#N/A,FALSE,"Import-inventory Flow"}</definedName>
    <definedName name="XXXXX" hidden="1">{"Fixed Assets equipments",#N/A,FALSE,"Import-inventory Flow"}</definedName>
    <definedName name="xxxxxooooo" hidden="1">#REF!</definedName>
    <definedName name="xxxxxx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xxxxxx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xxy" localSheetId="0" hidden="1">{#N/A,#N/A,FALSE,"SIM95"}</definedName>
    <definedName name="xxy" hidden="1">{#N/A,#N/A,FALSE,"SIM95"}</definedName>
    <definedName name="yb" hidden="1">#REF!</definedName>
    <definedName name="yy" localSheetId="0" hidden="1">{"Fecha_Novembro",#N/A,FALSE,"FECHAMENTO-2002 ";"Defer_Novembro",#N/A,FALSE,"DIFERIDO";"Pis_Novembro",#N/A,FALSE,"PIS COFINS";"Iss_Novembro",#N/A,FALSE,"ISS"}</definedName>
    <definedName name="yy" hidden="1">{"Fecha_Novembro",#N/A,FALSE,"FECHAMENTO-2002 ";"Defer_Novembro",#N/A,FALSE,"DIFERIDO";"Pis_Novembro",#N/A,FALSE,"PIS COFINS";"Iss_Novembro",#N/A,FALSE,"ISS"}</definedName>
    <definedName name="YYY" localSheetId="0" hidden="1">{#N/A,#N/A,FALSE,"SIM95"}</definedName>
    <definedName name="YYY" hidden="1">{#N/A,#N/A,FALSE,"SIM95"}</definedName>
    <definedName name="YYYYY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YYYYY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yyyyyy" localSheetId="0" hidden="1">{"Fecha_Setembro",#N/A,FALSE,"FECHAMENTO-2002 ";"Defer_Setembro",#N/A,FALSE,"DIFERIDO";"Pis_Setembro",#N/A,FALSE,"PIS COFINS";"Iss_Setembro",#N/A,FALSE,"ISS"}</definedName>
    <definedName name="yyyyyy" hidden="1">{"Fecha_Setembro",#N/A,FALSE,"FECHAMENTO-2002 ";"Defer_Setembro",#N/A,FALSE,"DIFERIDO";"Pis_Setembro",#N/A,FALSE,"PIS COFINS";"Iss_Setembro",#N/A,FALSE,"ISS"}</definedName>
    <definedName name="yyyyyyy" localSheetId="0" hidden="1">{#N/A,#N/A,FALSE,"HONORÁRIOS"}</definedName>
    <definedName name="yyyyyyy" hidden="1">{#N/A,#N/A,FALSE,"HONORÁRIOS"}</definedName>
    <definedName name="yyyyyyyy" localSheetId="0" hidden="1">{"Fecha_Dezembro",#N/A,FALSE,"FECHAMENTO-2002 ";"Defer_Dezermbro",#N/A,FALSE,"DIFERIDO";"Pis_Dezembro",#N/A,FALSE,"PIS COFINS";"Iss_Dezembro",#N/A,FALSE,"ISS"}</definedName>
    <definedName name="yyyyyyyy" hidden="1">{"Fecha_Dezembro",#N/A,FALSE,"FECHAMENTO-2002 ";"Defer_Dezermbro",#N/A,FALSE,"DIFERIDO";"Pis_Dezembro",#N/A,FALSE,"PIS COFINS";"Iss_Dezembro",#N/A,FALSE,"ISS"}</definedName>
    <definedName name="yyyyyyyyy" localSheetId="0" hidden="1">{#N/A,#N/A,FALSE,"Aging Summary";#N/A,#N/A,FALSE,"Ratio Analysis";#N/A,#N/A,FALSE,"Test 120 Day Accts";#N/A,#N/A,FALSE,"Tickmarks"}</definedName>
    <definedName name="yyyyyyyyy" hidden="1">{#N/A,#N/A,FALSE,"Aging Summary";#N/A,#N/A,FALSE,"Ratio Analysis";#N/A,#N/A,FALSE,"Test 120 Day Accts";#N/A,#N/A,FALSE,"Tickmarks"}</definedName>
    <definedName name="yyyyyyyyyyyyyyyy" localSheetId="0" hidden="1">{"Fecha_Dezembro",#N/A,FALSE,"FECHAMENTO-2002 ";"Defer_Dezermbro",#N/A,FALSE,"DIFERIDO";"Pis_Dezembro",#N/A,FALSE,"PIS COFINS";"Iss_Dezembro",#N/A,FALSE,"ISS"}</definedName>
    <definedName name="yyyyyyyyyyyyyyyy" hidden="1">{"Fecha_Dezembro",#N/A,FALSE,"FECHAMENTO-2002 ";"Defer_Dezermbro",#N/A,FALSE,"DIFERIDO";"Pis_Dezembro",#N/A,FALSE,"PIS COFINS";"Iss_Dezembro",#N/A,FALSE,"ISS"}</definedName>
    <definedName name="yyyyyyyyyyyyyyyyyyy" localSheetId="0" hidden="1">{"Fecha_Dezembro",#N/A,FALSE,"FECHAMENTO-2002 ";"Defer_Dezermbro",#N/A,FALSE,"DIFERIDO";"Pis_Dezembro",#N/A,FALSE,"PIS COFINS";"Iss_Dezembro",#N/A,FALSE,"ISS"}</definedName>
    <definedName name="yyyyyyyyyyyyyyyyyyy" hidden="1">{"Fecha_Dezembro",#N/A,FALSE,"FECHAMENTO-2002 ";"Defer_Dezermbro",#N/A,FALSE,"DIFERIDO";"Pis_Dezembro",#N/A,FALSE,"PIS COFINS";"Iss_Dezembro",#N/A,FALSE,"ISS"}</definedName>
    <definedName name="YYZ" localSheetId="0" hidden="1">{#N/A,#N/A,FALSE,"SIM95"}</definedName>
    <definedName name="YYZ" hidden="1">{#N/A,#N/A,FALSE,"SIM95"}</definedName>
    <definedName name="z\sxc" hidden="1">#REF!</definedName>
    <definedName name="Z_9C86A621_3162_11D2_9691_080009CC7103_.wvu.Rows" hidden="1">#REF!,#REF!</definedName>
    <definedName name="Z_9C86A622_3162_11D2_9691_080009CC7103_.wvu.Rows" hidden="1">#REF!,#REF!</definedName>
    <definedName name="Z_9C86A623_3162_11D2_9691_080009CC7103_.wvu.Rows" hidden="1">#REF!,#REF!</definedName>
    <definedName name="Z_9C86A624_3162_11D2_9691_080009CC7103_.wvu.Rows" hidden="1">#REF!,#REF!</definedName>
    <definedName name="Z_9C86A626_3162_11D2_9691_080009CC7103_.wvu.Rows" hidden="1">#REF!,#REF!</definedName>
    <definedName name="zE" hidden="1">1</definedName>
    <definedName name="ZEFZE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ZEFZE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ZOB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ZOB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zsdas" localSheetId="0" hidden="1">{"FCB_ALL",#N/A,FALSE,"FCB"}</definedName>
    <definedName name="zsdas" hidden="1">{"FCB_ALL",#N/A,FALSE,"FCB"}</definedName>
    <definedName name="zxczz" localSheetId="0" hidden="1">{"FCB_ALL",#N/A,FALSE,"FCB"}</definedName>
    <definedName name="zxczz" hidden="1">{"FCB_ALL",#N/A,FALSE,"FCB"}</definedName>
    <definedName name="zzz" localSheetId="0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zzz" hidden="1">{#N/A,#N/A,FALSE,"P&amp;LZONE";#N/A,#N/A,FALSE,"P&amp;Lgreece";#N/A,#N/A,FALSE,"P&amp;Legypt";#N/A,#N/A,FALSE,"P&amp;Lbulgaria";#N/A,#N/A,FALSE,"P&amp;Lhungary";#N/A,#N/A,FALSE,"P&amp;Lpoland";#N/A,#N/A,FALSE,"P&amp;Lrussia";#N/A,#N/A,FALSE,"P&amp;Llithuania";#N/A,#N/A,FALSE,"P&amp;Lczech"}</definedName>
    <definedName name="ZZZ_Control" localSheetId="0" hidden="1">{"'COMBUSTÍVEIS'!$A$1:$K$88"}</definedName>
    <definedName name="ZZZ_Control" hidden="1">{"'COMBUSTÍVEIS'!$A$1:$K$88"}</definedName>
    <definedName name="zzzzzz" localSheetId="0" hidden="1">{#N/A,#N/A,FALSE,"Aging Summary";#N/A,#N/A,FALSE,"Ratio Analysis";#N/A,#N/A,FALSE,"Test 120 Day Accts";#N/A,#N/A,FALSE,"Tickmarks"}</definedName>
    <definedName name="zzzzzz" hidden="1">{#N/A,#N/A,FALSE,"Aging Summary";#N/A,#N/A,FALSE,"Ratio Analysis";#N/A,#N/A,FALSE,"Test 120 Day Accts";#N/A,#N/A,FALSE,"Tickmarks"}</definedName>
    <definedName name="ZZZZZZZZZZZZZZZZZZZZZ" localSheetId="0" hidden="1">{#N/A,#N/A,FALSE,"Aging Summary";#N/A,#N/A,FALSE,"Ratio Analysis";#N/A,#N/A,FALSE,"Test 120 Day Accts";#N/A,#N/A,FALSE,"Tickmarks"}</definedName>
    <definedName name="ZZZZZZZZZZZZZZZZZZZZZ" hidden="1">{#N/A,#N/A,FALSE,"Aging Summary";#N/A,#N/A,FALSE,"Ratio Analysis";#N/A,#N/A,FALSE,"Test 120 Day Accts";#N/A,#N/A,FALSE,"Tickmarks"}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0" i="1" l="1"/>
  <c r="N1090" i="1"/>
  <c r="O1090" i="1"/>
  <c r="P1090" i="1"/>
  <c r="Q1090" i="1"/>
  <c r="R1090" i="1"/>
  <c r="S1090" i="1" s="1"/>
  <c r="N162" i="2"/>
  <c r="F211" i="1"/>
  <c r="L414" i="1"/>
  <c r="M414" i="1"/>
  <c r="N414" i="1"/>
  <c r="O414" i="1"/>
  <c r="P414" i="1"/>
  <c r="Q414" i="1"/>
  <c r="R414" i="1"/>
  <c r="S414" i="1"/>
  <c r="K413" i="1"/>
  <c r="N415" i="1"/>
  <c r="O415" i="1" s="1"/>
  <c r="P415" i="1" s="1"/>
  <c r="Q415" i="1" s="1"/>
  <c r="R415" i="1" s="1"/>
  <c r="S415" i="1" s="1"/>
  <c r="M415" i="1"/>
  <c r="L415" i="1"/>
  <c r="I380" i="1"/>
  <c r="I374" i="1" s="1"/>
  <c r="L332" i="1"/>
  <c r="M332" i="1" s="1"/>
  <c r="N332" i="1" s="1"/>
  <c r="O332" i="1" s="1"/>
  <c r="P332" i="1" s="1"/>
  <c r="Q332" i="1" s="1"/>
  <c r="R332" i="1" s="1"/>
  <c r="S332" i="1" s="1"/>
  <c r="L1066" i="1" l="1"/>
  <c r="L1058" i="1" s="1"/>
  <c r="M76" i="2"/>
  <c r="L76" i="2"/>
  <c r="K76" i="2"/>
  <c r="J76" i="2"/>
  <c r="I76" i="2"/>
  <c r="H76" i="2"/>
  <c r="G76" i="2"/>
  <c r="M74" i="2"/>
  <c r="L74" i="2"/>
  <c r="K74" i="2"/>
  <c r="J74" i="2"/>
  <c r="I74" i="2"/>
  <c r="H74" i="2"/>
  <c r="G74" i="2"/>
  <c r="C18" i="7"/>
  <c r="D18" i="7" s="1"/>
  <c r="E18" i="7" s="1"/>
  <c r="F18" i="7" s="1"/>
  <c r="G18" i="7" s="1"/>
  <c r="G12" i="7"/>
  <c r="F12" i="7"/>
  <c r="E12" i="7"/>
  <c r="D12" i="7"/>
  <c r="C12" i="7"/>
  <c r="T12" i="3"/>
  <c r="M12" i="3"/>
  <c r="M10" i="3"/>
  <c r="M15" i="3" s="1"/>
  <c r="M11" i="3"/>
  <c r="T11" i="3" s="1"/>
  <c r="E37" i="3"/>
  <c r="F21" i="3"/>
  <c r="E21" i="3"/>
  <c r="D21" i="3"/>
  <c r="D47" i="3"/>
  <c r="D41" i="3" s="1"/>
  <c r="D40" i="3" s="1"/>
  <c r="F40" i="3" s="1"/>
  <c r="F41" i="3" s="1"/>
  <c r="E46" i="3"/>
  <c r="E45" i="3"/>
  <c r="E44" i="3"/>
  <c r="K43" i="3"/>
  <c r="L32" i="3"/>
  <c r="K32" i="3"/>
  <c r="J32" i="3"/>
  <c r="L31" i="3"/>
  <c r="K31" i="3"/>
  <c r="J31" i="3"/>
  <c r="L30" i="3"/>
  <c r="K30" i="3"/>
  <c r="J30" i="3"/>
  <c r="L28" i="3"/>
  <c r="L43" i="3" s="1"/>
  <c r="K28" i="3"/>
  <c r="J28" i="3"/>
  <c r="L27" i="3"/>
  <c r="K27" i="3"/>
  <c r="J27" i="3"/>
  <c r="L24" i="3"/>
  <c r="K24" i="3"/>
  <c r="J24" i="3"/>
  <c r="L19" i="3"/>
  <c r="K19" i="3"/>
  <c r="J19" i="3"/>
  <c r="O1072" i="1"/>
  <c r="O1071" i="1" s="1"/>
  <c r="N1072" i="1"/>
  <c r="N1071" i="1" s="1"/>
  <c r="M1072" i="1"/>
  <c r="M1071" i="1" s="1"/>
  <c r="L1072" i="1"/>
  <c r="L1071" i="1" s="1"/>
  <c r="L1065" i="1"/>
  <c r="S1062" i="1"/>
  <c r="R1062" i="1"/>
  <c r="Q1062" i="1"/>
  <c r="P1062" i="1"/>
  <c r="O1062" i="1"/>
  <c r="N1062" i="1"/>
  <c r="M1062" i="1"/>
  <c r="L1062" i="1"/>
  <c r="L1053" i="1"/>
  <c r="K33" i="3" l="1"/>
  <c r="L33" i="3"/>
  <c r="L34" i="3"/>
  <c r="J34" i="3"/>
  <c r="K34" i="3"/>
  <c r="J33" i="3"/>
  <c r="E47" i="3"/>
  <c r="E41" i="3" s="1"/>
  <c r="E40" i="3" s="1"/>
  <c r="F44" i="3"/>
  <c r="F47" i="3" s="1"/>
  <c r="F45" i="3"/>
  <c r="F46" i="3"/>
  <c r="L1070" i="1"/>
  <c r="I19" i="5" l="1"/>
  <c r="M69" i="2" l="1"/>
  <c r="L69" i="2"/>
  <c r="K69" i="2"/>
  <c r="J69" i="2"/>
  <c r="I69" i="2"/>
  <c r="H69" i="2"/>
  <c r="J405" i="1" l="1"/>
  <c r="K405" i="1"/>
  <c r="I405" i="1"/>
  <c r="K402" i="1"/>
  <c r="L397" i="1" l="1"/>
  <c r="K414" i="1"/>
  <c r="J404" i="1"/>
  <c r="I404" i="1"/>
  <c r="K404" i="1"/>
  <c r="L404" i="1" l="1"/>
  <c r="N112" i="2"/>
  <c r="O112" i="2" s="1"/>
  <c r="K41" i="3"/>
  <c r="L41" i="3" s="1"/>
  <c r="M41" i="3" s="1"/>
  <c r="N41" i="3" s="1"/>
  <c r="O41" i="3" s="1"/>
  <c r="P41" i="3" s="1"/>
  <c r="Q41" i="3" s="1"/>
  <c r="R41" i="3" s="1"/>
  <c r="S41" i="3" s="1"/>
  <c r="T41" i="3" s="1"/>
  <c r="K17" i="3"/>
  <c r="L17" i="3" s="1"/>
  <c r="M17" i="3" s="1"/>
  <c r="N17" i="3" s="1"/>
  <c r="O17" i="3" s="1"/>
  <c r="P17" i="3" s="1"/>
  <c r="Q17" i="3" s="1"/>
  <c r="R17" i="3" s="1"/>
  <c r="S17" i="3" s="1"/>
  <c r="T17" i="3" s="1"/>
  <c r="E24" i="3"/>
  <c r="F24" i="3" s="1"/>
  <c r="E11" i="3"/>
  <c r="F11" i="3" s="1"/>
  <c r="K9" i="3"/>
  <c r="L9" i="3" s="1"/>
  <c r="M9" i="3" s="1"/>
  <c r="N9" i="3" s="1"/>
  <c r="O9" i="3" s="1"/>
  <c r="P9" i="3" s="1"/>
  <c r="Q9" i="3" s="1"/>
  <c r="R9" i="3" s="1"/>
  <c r="S9" i="3" s="1"/>
  <c r="D17" i="2" a="1"/>
  <c r="D17" i="2" s="1"/>
  <c r="D16" i="2" a="1"/>
  <c r="D16" i="2" s="1"/>
  <c r="D14" i="2" a="1"/>
  <c r="D14" i="2" s="1"/>
  <c r="D13" i="2" a="1"/>
  <c r="D13" i="2" s="1"/>
  <c r="J12" i="2" a="1"/>
  <c r="J12" i="2" s="1"/>
  <c r="K12" i="2" a="1"/>
  <c r="K12" i="2" s="1"/>
  <c r="L12" i="2" a="1"/>
  <c r="L12" i="2" s="1"/>
  <c r="M12" i="2" a="1"/>
  <c r="M12" i="2" s="1"/>
  <c r="D12" i="2" a="1"/>
  <c r="D12" i="2" s="1"/>
  <c r="H129" i="2"/>
  <c r="I129" i="2" s="1"/>
  <c r="N129" i="2" s="1"/>
  <c r="O129" i="2" s="1"/>
  <c r="P129" i="2" s="1"/>
  <c r="Q129" i="2" s="1"/>
  <c r="R129" i="2" s="1"/>
  <c r="S129" i="2" s="1"/>
  <c r="T129" i="2" s="1"/>
  <c r="U129" i="2" s="1"/>
  <c r="H83" i="2"/>
  <c r="I83" i="2" s="1"/>
  <c r="N83" i="2" s="1"/>
  <c r="O83" i="2" s="1"/>
  <c r="P83" i="2" s="1"/>
  <c r="Q83" i="2" s="1"/>
  <c r="R83" i="2" s="1"/>
  <c r="S83" i="2" s="1"/>
  <c r="T83" i="2" s="1"/>
  <c r="U83" i="2" s="1"/>
  <c r="H19" i="2"/>
  <c r="I19" i="2" s="1"/>
  <c r="N19" i="2" s="1"/>
  <c r="O19" i="2" s="1"/>
  <c r="P19" i="2" s="1"/>
  <c r="Q19" i="2" s="1"/>
  <c r="R19" i="2" s="1"/>
  <c r="S19" i="2" s="1"/>
  <c r="T19" i="2" s="1"/>
  <c r="U19" i="2" s="1"/>
  <c r="H10" i="2"/>
  <c r="I10" i="2" s="1"/>
  <c r="N10" i="2" s="1"/>
  <c r="O10" i="2" s="1"/>
  <c r="P10" i="2" s="1"/>
  <c r="Q10" i="2" s="1"/>
  <c r="R10" i="2" s="1"/>
  <c r="S10" i="2" s="1"/>
  <c r="T10" i="2" s="1"/>
  <c r="U10" i="2" s="1"/>
  <c r="H8" i="2"/>
  <c r="I8" i="2" s="1"/>
  <c r="N8" i="2" s="1"/>
  <c r="O8" i="2" s="1"/>
  <c r="P8" i="2" s="1"/>
  <c r="Q8" i="2" s="1"/>
  <c r="R8" i="2" s="1"/>
  <c r="S8" i="2" s="1"/>
  <c r="T8" i="2" s="1"/>
  <c r="U8" i="2" s="1"/>
  <c r="J8" i="1"/>
  <c r="K8" i="1" s="1"/>
  <c r="L8" i="1" s="1"/>
  <c r="M8" i="1" s="1"/>
  <c r="N8" i="1" s="1"/>
  <c r="O8" i="1" s="1"/>
  <c r="P8" i="1" s="1"/>
  <c r="Q8" i="1" s="1"/>
  <c r="R8" i="1" s="1"/>
  <c r="S8" i="1" s="1"/>
  <c r="F98" i="1"/>
  <c r="L98" i="1" s="1"/>
  <c r="L76" i="1" s="1"/>
  <c r="L266" i="1"/>
  <c r="M266" i="1" s="1"/>
  <c r="N266" i="1" s="1"/>
  <c r="I32" i="2"/>
  <c r="H32" i="2"/>
  <c r="G32" i="2"/>
  <c r="I29" i="2"/>
  <c r="H29" i="2"/>
  <c r="I31" i="2"/>
  <c r="H31" i="2"/>
  <c r="G31" i="2"/>
  <c r="I30" i="2"/>
  <c r="H30" i="2"/>
  <c r="G30" i="2"/>
  <c r="G29" i="2"/>
  <c r="I28" i="2"/>
  <c r="H28" i="2"/>
  <c r="G28" i="2"/>
  <c r="L286" i="1"/>
  <c r="M286" i="1" s="1"/>
  <c r="N286" i="1" s="1"/>
  <c r="J69" i="1"/>
  <c r="K69" i="1"/>
  <c r="I69" i="1"/>
  <c r="J66" i="1"/>
  <c r="K66" i="1"/>
  <c r="I66" i="1"/>
  <c r="J62" i="1"/>
  <c r="K62" i="1"/>
  <c r="J59" i="1"/>
  <c r="J60" i="1" s="1"/>
  <c r="K59" i="1"/>
  <c r="K60" i="1" s="1"/>
  <c r="L60" i="1" s="1"/>
  <c r="I62" i="1"/>
  <c r="I59" i="1"/>
  <c r="I60" i="1" s="1"/>
  <c r="J55" i="1"/>
  <c r="K55" i="1"/>
  <c r="J52" i="1"/>
  <c r="J53" i="1" s="1"/>
  <c r="K52" i="1"/>
  <c r="K53" i="1" s="1"/>
  <c r="I55" i="1"/>
  <c r="I52" i="1"/>
  <c r="I53" i="1" s="1"/>
  <c r="J48" i="1"/>
  <c r="K48" i="1"/>
  <c r="J45" i="1"/>
  <c r="J46" i="1" s="1"/>
  <c r="K45" i="1"/>
  <c r="K46" i="1" s="1"/>
  <c r="L46" i="1" s="1"/>
  <c r="M46" i="1" s="1"/>
  <c r="I48" i="1"/>
  <c r="I45" i="1"/>
  <c r="I46" i="1" s="1"/>
  <c r="K41" i="1"/>
  <c r="K38" i="1"/>
  <c r="K39" i="1" s="1"/>
  <c r="J41" i="1"/>
  <c r="I41" i="1"/>
  <c r="J38" i="1"/>
  <c r="J39" i="1" s="1"/>
  <c r="I38" i="1"/>
  <c r="I39" i="1" s="1"/>
  <c r="F249" i="1"/>
  <c r="L236" i="1"/>
  <c r="M236" i="1" s="1"/>
  <c r="J184" i="1"/>
  <c r="K184" i="1"/>
  <c r="M184" i="1" s="1"/>
  <c r="I184" i="1"/>
  <c r="M199" i="1"/>
  <c r="N199" i="1"/>
  <c r="O199" i="1"/>
  <c r="P199" i="1"/>
  <c r="Q199" i="1"/>
  <c r="R199" i="1"/>
  <c r="S199" i="1"/>
  <c r="L199" i="1"/>
  <c r="G103" i="1"/>
  <c r="G98" i="1"/>
  <c r="F103" i="1"/>
  <c r="L103" i="1" s="1"/>
  <c r="L81" i="1" s="1"/>
  <c r="L100" i="1"/>
  <c r="L78" i="1" s="1"/>
  <c r="L101" i="1"/>
  <c r="M101" i="1" s="1"/>
  <c r="N101" i="1" s="1"/>
  <c r="O101" i="1" s="1"/>
  <c r="P101" i="1" s="1"/>
  <c r="Q101" i="1" s="1"/>
  <c r="R101" i="1" s="1"/>
  <c r="S101" i="1" s="1"/>
  <c r="L104" i="1"/>
  <c r="L82" i="1" s="1"/>
  <c r="L105" i="1"/>
  <c r="M105" i="1" s="1"/>
  <c r="N105" i="1" s="1"/>
  <c r="O105" i="1" s="1"/>
  <c r="P105" i="1" s="1"/>
  <c r="Q105" i="1" s="1"/>
  <c r="R105" i="1" s="1"/>
  <c r="S105" i="1" s="1"/>
  <c r="L106" i="1"/>
  <c r="L109" i="1"/>
  <c r="L110" i="1"/>
  <c r="L112" i="1"/>
  <c r="L90" i="1" s="1"/>
  <c r="L99" i="1"/>
  <c r="L77" i="1" s="1"/>
  <c r="K1047" i="1"/>
  <c r="K1037" i="1" s="1"/>
  <c r="J1047" i="1"/>
  <c r="J1037" i="1" s="1"/>
  <c r="F73" i="1"/>
  <c r="G73" i="1"/>
  <c r="J32" i="1"/>
  <c r="K32" i="1"/>
  <c r="I32" i="1"/>
  <c r="H50" i="5"/>
  <c r="I50" i="5"/>
  <c r="J50" i="5"/>
  <c r="K50" i="5"/>
  <c r="F13" i="5"/>
  <c r="G49" i="5"/>
  <c r="I99" i="1"/>
  <c r="I100" i="1"/>
  <c r="I101" i="1"/>
  <c r="I103" i="1"/>
  <c r="I104" i="1"/>
  <c r="I105" i="1"/>
  <c r="I106" i="1"/>
  <c r="I108" i="1"/>
  <c r="I109" i="1"/>
  <c r="I110" i="1"/>
  <c r="I112" i="1"/>
  <c r="I98" i="1"/>
  <c r="K109" i="1"/>
  <c r="K110" i="1"/>
  <c r="K112" i="1"/>
  <c r="K99" i="1"/>
  <c r="K100" i="1"/>
  <c r="K101" i="1"/>
  <c r="K103" i="1"/>
  <c r="K104" i="1"/>
  <c r="K105" i="1"/>
  <c r="K106" i="1"/>
  <c r="K108" i="1"/>
  <c r="K98" i="1"/>
  <c r="J112" i="1"/>
  <c r="J109" i="1"/>
  <c r="J110" i="1"/>
  <c r="J108" i="1"/>
  <c r="J104" i="1"/>
  <c r="J105" i="1"/>
  <c r="J106" i="1"/>
  <c r="J103" i="1"/>
  <c r="J100" i="1"/>
  <c r="J101" i="1"/>
  <c r="J99" i="1"/>
  <c r="J98" i="1"/>
  <c r="K47" i="5"/>
  <c r="H42" i="5"/>
  <c r="I42" i="5"/>
  <c r="J42" i="5"/>
  <c r="K42" i="5"/>
  <c r="I1040" i="1"/>
  <c r="J1036" i="1" s="1"/>
  <c r="J1040" i="1"/>
  <c r="K1040" i="1"/>
  <c r="L1036" i="1" s="1"/>
  <c r="I1042" i="1"/>
  <c r="J1042" i="1"/>
  <c r="K1042" i="1"/>
  <c r="I1044" i="1"/>
  <c r="J1044" i="1"/>
  <c r="K1044" i="1"/>
  <c r="I1049" i="1"/>
  <c r="J1049" i="1"/>
  <c r="K1049" i="1"/>
  <c r="L1049" i="1"/>
  <c r="L1048" i="1" s="1"/>
  <c r="M1049" i="1"/>
  <c r="M1048" i="1" s="1"/>
  <c r="N1049" i="1"/>
  <c r="N1048" i="1" s="1"/>
  <c r="O1049" i="1"/>
  <c r="O1048" i="1" s="1"/>
  <c r="J1083" i="1"/>
  <c r="J1089" i="1" s="1"/>
  <c r="K1083" i="1"/>
  <c r="K1089" i="1" s="1"/>
  <c r="I1086" i="1"/>
  <c r="J1082" i="1" s="1"/>
  <c r="J1086" i="1"/>
  <c r="K1082" i="1" s="1"/>
  <c r="K1086" i="1"/>
  <c r="L1082" i="1" s="1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K58" i="5"/>
  <c r="H47" i="5"/>
  <c r="G47" i="5"/>
  <c r="H58" i="5"/>
  <c r="G58" i="5"/>
  <c r="J47" i="5"/>
  <c r="I47" i="5"/>
  <c r="U164" i="2"/>
  <c r="T164" i="2"/>
  <c r="S164" i="2"/>
  <c r="R164" i="2"/>
  <c r="Q164" i="2"/>
  <c r="P164" i="2"/>
  <c r="O164" i="2"/>
  <c r="U163" i="2"/>
  <c r="T163" i="2"/>
  <c r="S163" i="2"/>
  <c r="R163" i="2"/>
  <c r="Q163" i="2"/>
  <c r="P163" i="2"/>
  <c r="O163" i="2"/>
  <c r="N164" i="2"/>
  <c r="N163" i="2"/>
  <c r="N125" i="2"/>
  <c r="O125" i="2" s="1"/>
  <c r="P125" i="2" s="1"/>
  <c r="Q125" i="2" s="1"/>
  <c r="R125" i="2" s="1"/>
  <c r="S125" i="2" s="1"/>
  <c r="T125" i="2" s="1"/>
  <c r="U125" i="2" s="1"/>
  <c r="N124" i="2"/>
  <c r="O124" i="2" s="1"/>
  <c r="N123" i="2"/>
  <c r="N180" i="2" s="1"/>
  <c r="N121" i="2"/>
  <c r="N175" i="2" s="1"/>
  <c r="O121" i="2"/>
  <c r="O175" i="2" s="1"/>
  <c r="N120" i="2"/>
  <c r="N181" i="2" s="1"/>
  <c r="I58" i="5"/>
  <c r="J58" i="5"/>
  <c r="K362" i="1"/>
  <c r="K380" i="1" s="1"/>
  <c r="K374" i="1" s="1"/>
  <c r="J362" i="1"/>
  <c r="J380" i="1" s="1"/>
  <c r="J374" i="1" s="1"/>
  <c r="J375" i="1" s="1"/>
  <c r="K365" i="1"/>
  <c r="J365" i="1"/>
  <c r="J381" i="1" s="1"/>
  <c r="K382" i="1" s="1"/>
  <c r="I365" i="1"/>
  <c r="K415" i="1"/>
  <c r="J415" i="1"/>
  <c r="I415" i="1"/>
  <c r="I344" i="1"/>
  <c r="K323" i="1"/>
  <c r="K344" i="1" s="1"/>
  <c r="J323" i="1"/>
  <c r="J344" i="1" s="1"/>
  <c r="P17" i="1"/>
  <c r="Q17" i="1" s="1"/>
  <c r="R17" i="1" s="1"/>
  <c r="S17" i="1" s="1"/>
  <c r="P1072" i="1"/>
  <c r="P1071" i="1" s="1"/>
  <c r="P15" i="1"/>
  <c r="Q15" i="1" s="1"/>
  <c r="R15" i="1" s="1"/>
  <c r="S15" i="1" s="1"/>
  <c r="P14" i="1"/>
  <c r="P13" i="1"/>
  <c r="Q13" i="1" s="1"/>
  <c r="R13" i="1" s="1"/>
  <c r="S13" i="1" s="1"/>
  <c r="P12" i="1"/>
  <c r="Q12" i="1" s="1"/>
  <c r="R12" i="1" s="1"/>
  <c r="S12" i="1" s="1"/>
  <c r="K325" i="1"/>
  <c r="F345" i="1" s="1"/>
  <c r="K197" i="1"/>
  <c r="P197" i="1" s="1"/>
  <c r="J197" i="1"/>
  <c r="I197" i="1"/>
  <c r="K195" i="1"/>
  <c r="N195" i="1" s="1"/>
  <c r="J195" i="1"/>
  <c r="I195" i="1"/>
  <c r="K193" i="1"/>
  <c r="L193" i="1" s="1"/>
  <c r="J193" i="1"/>
  <c r="J175" i="1" s="1"/>
  <c r="I193" i="1"/>
  <c r="I177" i="1" s="1"/>
  <c r="I192" i="1"/>
  <c r="J192" i="1"/>
  <c r="K192" i="1"/>
  <c r="S192" i="1" s="1"/>
  <c r="J189" i="1"/>
  <c r="K189" i="1"/>
  <c r="P189" i="1" s="1"/>
  <c r="J190" i="1"/>
  <c r="K190" i="1"/>
  <c r="O190" i="1" s="1"/>
  <c r="J191" i="1"/>
  <c r="K191" i="1"/>
  <c r="R191" i="1" s="1"/>
  <c r="I189" i="1"/>
  <c r="I190" i="1"/>
  <c r="I191" i="1"/>
  <c r="J166" i="1"/>
  <c r="K166" i="1"/>
  <c r="I166" i="1"/>
  <c r="J73" i="1"/>
  <c r="K73" i="1"/>
  <c r="I73" i="1"/>
  <c r="I129" i="1" s="1"/>
  <c r="J325" i="1"/>
  <c r="I325" i="1"/>
  <c r="N118" i="2"/>
  <c r="O118" i="2" s="1"/>
  <c r="P118" i="2" s="1"/>
  <c r="Q118" i="2" s="1"/>
  <c r="R118" i="2" s="1"/>
  <c r="S118" i="2" s="1"/>
  <c r="T118" i="2" s="1"/>
  <c r="U118" i="2" s="1"/>
  <c r="N117" i="2"/>
  <c r="O117" i="2" s="1"/>
  <c r="P117" i="2" s="1"/>
  <c r="Q117" i="2" s="1"/>
  <c r="R117" i="2" s="1"/>
  <c r="S117" i="2" s="1"/>
  <c r="T117" i="2" s="1"/>
  <c r="U117" i="2" s="1"/>
  <c r="N111" i="2"/>
  <c r="N153" i="2" s="1"/>
  <c r="N109" i="2"/>
  <c r="O109" i="2" s="1"/>
  <c r="O152" i="2" s="1"/>
  <c r="I294" i="1"/>
  <c r="J294" i="1"/>
  <c r="K294" i="1"/>
  <c r="I296" i="1"/>
  <c r="J296" i="1"/>
  <c r="K296" i="1"/>
  <c r="I297" i="1"/>
  <c r="J297" i="1"/>
  <c r="K297" i="1"/>
  <c r="I298" i="1"/>
  <c r="J298" i="1"/>
  <c r="K298" i="1"/>
  <c r="K317" i="1"/>
  <c r="J317" i="1"/>
  <c r="I317" i="1"/>
  <c r="N96" i="2"/>
  <c r="O96" i="2" s="1"/>
  <c r="P96" i="2" s="1"/>
  <c r="Q96" i="2" s="1"/>
  <c r="R96" i="2" s="1"/>
  <c r="S96" i="2" s="1"/>
  <c r="T96" i="2" s="1"/>
  <c r="U96" i="2" s="1"/>
  <c r="N101" i="2"/>
  <c r="O101" i="2" s="1"/>
  <c r="P101" i="2" s="1"/>
  <c r="Q101" i="2" s="1"/>
  <c r="R101" i="2" s="1"/>
  <c r="S101" i="2" s="1"/>
  <c r="T101" i="2" s="1"/>
  <c r="U101" i="2" s="1"/>
  <c r="K314" i="1"/>
  <c r="J314" i="1"/>
  <c r="I314" i="1"/>
  <c r="K311" i="1"/>
  <c r="J311" i="1"/>
  <c r="I311" i="1"/>
  <c r="K308" i="1"/>
  <c r="J308" i="1"/>
  <c r="I308" i="1"/>
  <c r="K305" i="1"/>
  <c r="J305" i="1"/>
  <c r="I305" i="1"/>
  <c r="K302" i="1"/>
  <c r="J302" i="1"/>
  <c r="I302" i="1"/>
  <c r="I22" i="2"/>
  <c r="H22" i="2"/>
  <c r="N100" i="2"/>
  <c r="O100" i="2" s="1"/>
  <c r="N95" i="2"/>
  <c r="O95" i="2" s="1"/>
  <c r="N94" i="2"/>
  <c r="N140" i="2" s="1"/>
  <c r="K410" i="1"/>
  <c r="K411" i="1" s="1"/>
  <c r="J410" i="1"/>
  <c r="J411" i="1" s="1"/>
  <c r="I410" i="1"/>
  <c r="I411" i="1" s="1"/>
  <c r="K408" i="1"/>
  <c r="K409" i="1" s="1"/>
  <c r="J408" i="1"/>
  <c r="J409" i="1" s="1"/>
  <c r="I408" i="1"/>
  <c r="I409" i="1" s="1"/>
  <c r="D9" i="7"/>
  <c r="E9" i="7"/>
  <c r="F9" i="7"/>
  <c r="G9" i="7"/>
  <c r="K242" i="1"/>
  <c r="K284" i="1" s="1"/>
  <c r="J242" i="1"/>
  <c r="J280" i="1" s="1"/>
  <c r="I242" i="1"/>
  <c r="I272" i="1" s="1"/>
  <c r="K204" i="1"/>
  <c r="K221" i="1" s="1"/>
  <c r="J204" i="1"/>
  <c r="J230" i="1" s="1"/>
  <c r="I204" i="1"/>
  <c r="I238" i="1" s="1"/>
  <c r="K21" i="1"/>
  <c r="K216" i="1" s="1"/>
  <c r="J21" i="1"/>
  <c r="J212" i="1" s="1"/>
  <c r="I21" i="1"/>
  <c r="I26" i="2"/>
  <c r="H26" i="2"/>
  <c r="K185" i="2"/>
  <c r="G186" i="2"/>
  <c r="K181" i="2"/>
  <c r="I181" i="2"/>
  <c r="L57" i="3" s="1"/>
  <c r="H181" i="2"/>
  <c r="K57" i="3" s="1"/>
  <c r="K180" i="2"/>
  <c r="I180" i="2"/>
  <c r="H180" i="2"/>
  <c r="K177" i="2"/>
  <c r="I177" i="2"/>
  <c r="H177" i="2"/>
  <c r="K176" i="2"/>
  <c r="I176" i="2"/>
  <c r="H176" i="2"/>
  <c r="K175" i="2"/>
  <c r="I175" i="2"/>
  <c r="H175" i="2"/>
  <c r="K174" i="2"/>
  <c r="I174" i="2"/>
  <c r="H174" i="2"/>
  <c r="K171" i="2"/>
  <c r="I171" i="2"/>
  <c r="L52" i="3" s="1"/>
  <c r="H171" i="2"/>
  <c r="K52" i="3" s="1"/>
  <c r="K169" i="2"/>
  <c r="I169" i="2"/>
  <c r="L54" i="3" s="1"/>
  <c r="H169" i="2"/>
  <c r="K54" i="3" s="1"/>
  <c r="K164" i="2"/>
  <c r="I164" i="2"/>
  <c r="H164" i="2"/>
  <c r="H163" i="2"/>
  <c r="K163" i="2"/>
  <c r="I163" i="2"/>
  <c r="K162" i="2"/>
  <c r="I162" i="2"/>
  <c r="H162" i="2"/>
  <c r="K161" i="2"/>
  <c r="I161" i="2"/>
  <c r="H161" i="2"/>
  <c r="K160" i="2"/>
  <c r="I160" i="2"/>
  <c r="H160" i="2"/>
  <c r="K154" i="2"/>
  <c r="I154" i="2"/>
  <c r="H154" i="2"/>
  <c r="K153" i="2"/>
  <c r="I153" i="2"/>
  <c r="H153" i="2"/>
  <c r="K152" i="2"/>
  <c r="I152" i="2"/>
  <c r="H152" i="2"/>
  <c r="K151" i="2"/>
  <c r="I151" i="2"/>
  <c r="H151" i="2"/>
  <c r="K150" i="2"/>
  <c r="I150" i="2"/>
  <c r="H150" i="2"/>
  <c r="K147" i="2"/>
  <c r="I147" i="2"/>
  <c r="H147" i="2"/>
  <c r="K146" i="2"/>
  <c r="I146" i="2"/>
  <c r="H146" i="2"/>
  <c r="K145" i="2"/>
  <c r="I145" i="2"/>
  <c r="H145" i="2"/>
  <c r="K144" i="2"/>
  <c r="I144" i="2"/>
  <c r="H144" i="2"/>
  <c r="K143" i="2"/>
  <c r="I143" i="2"/>
  <c r="H143" i="2"/>
  <c r="K140" i="2"/>
  <c r="I140" i="2"/>
  <c r="H140" i="2"/>
  <c r="K139" i="2"/>
  <c r="I139" i="2"/>
  <c r="H139" i="2"/>
  <c r="K127" i="2"/>
  <c r="I127" i="2"/>
  <c r="H127" i="2"/>
  <c r="G127" i="2"/>
  <c r="K136" i="2"/>
  <c r="I136" i="2"/>
  <c r="H136" i="2"/>
  <c r="K135" i="2"/>
  <c r="I135" i="2"/>
  <c r="H135" i="2"/>
  <c r="K57" i="2"/>
  <c r="K134" i="2"/>
  <c r="I134" i="2"/>
  <c r="H134" i="2"/>
  <c r="K133" i="2"/>
  <c r="I133" i="2"/>
  <c r="H133" i="2"/>
  <c r="K131" i="2"/>
  <c r="I131" i="2"/>
  <c r="H131" i="2"/>
  <c r="K43" i="2"/>
  <c r="I43" i="2"/>
  <c r="H43" i="2"/>
  <c r="G43" i="2"/>
  <c r="K37" i="2"/>
  <c r="I37" i="2"/>
  <c r="H37" i="2"/>
  <c r="G37" i="2"/>
  <c r="K40" i="2"/>
  <c r="I40" i="2"/>
  <c r="H40" i="2"/>
  <c r="G40" i="2"/>
  <c r="K53" i="2"/>
  <c r="I53" i="2"/>
  <c r="K1096" i="1" s="1"/>
  <c r="H53" i="2"/>
  <c r="J1096" i="1" s="1"/>
  <c r="G53" i="2"/>
  <c r="I1096" i="1" s="1"/>
  <c r="K81" i="2"/>
  <c r="I81" i="2"/>
  <c r="K1095" i="1" s="1"/>
  <c r="H81" i="2"/>
  <c r="J1095" i="1" s="1"/>
  <c r="G81" i="2"/>
  <c r="I1095" i="1" s="1"/>
  <c r="K68" i="2"/>
  <c r="I68" i="2"/>
  <c r="K1097" i="1" s="1"/>
  <c r="H68" i="2"/>
  <c r="J1097" i="1" s="1"/>
  <c r="G68" i="2"/>
  <c r="I1097" i="1" s="1"/>
  <c r="K23" i="2"/>
  <c r="K24" i="2" s="1"/>
  <c r="I23" i="2"/>
  <c r="H23" i="2"/>
  <c r="G23" i="2"/>
  <c r="K61" i="2"/>
  <c r="K65" i="2" s="1"/>
  <c r="I61" i="2"/>
  <c r="I62" i="2" s="1"/>
  <c r="H61" i="2"/>
  <c r="H62" i="2" s="1"/>
  <c r="G61" i="2"/>
  <c r="G62" i="2" s="1"/>
  <c r="H19" i="5"/>
  <c r="I48" i="5"/>
  <c r="G19" i="5"/>
  <c r="J19" i="5"/>
  <c r="K19" i="5"/>
  <c r="K48" i="5"/>
  <c r="J48" i="5"/>
  <c r="G48" i="5"/>
  <c r="H48" i="5"/>
  <c r="K375" i="1" l="1"/>
  <c r="L375" i="1" s="1"/>
  <c r="I246" i="1"/>
  <c r="I375" i="1"/>
  <c r="J361" i="1"/>
  <c r="J363" i="1" s="1"/>
  <c r="J369" i="1" s="1"/>
  <c r="J370" i="1" s="1"/>
  <c r="I381" i="1"/>
  <c r="J382" i="1" s="1"/>
  <c r="F377" i="1" s="1"/>
  <c r="F378" i="1" s="1"/>
  <c r="K381" i="1"/>
  <c r="L379" i="1" s="1"/>
  <c r="L380" i="1"/>
  <c r="Q14" i="1"/>
  <c r="R14" i="1" s="1"/>
  <c r="S14" i="1" s="1"/>
  <c r="K179" i="2"/>
  <c r="H179" i="2"/>
  <c r="G24" i="2"/>
  <c r="J20" i="3"/>
  <c r="H24" i="2"/>
  <c r="K20" i="3"/>
  <c r="L1055" i="1"/>
  <c r="M57" i="3"/>
  <c r="N147" i="2"/>
  <c r="K295" i="1"/>
  <c r="K309" i="1" s="1"/>
  <c r="L20" i="3"/>
  <c r="H185" i="2"/>
  <c r="I417" i="1"/>
  <c r="P121" i="2"/>
  <c r="L361" i="1"/>
  <c r="D15" i="2"/>
  <c r="K125" i="1"/>
  <c r="J128" i="1"/>
  <c r="I138" i="2"/>
  <c r="L44" i="3" s="1"/>
  <c r="O120" i="2"/>
  <c r="P120" i="2" s="1"/>
  <c r="Q120" i="2" s="1"/>
  <c r="K62" i="2"/>
  <c r="K138" i="2"/>
  <c r="K132" i="2"/>
  <c r="K159" i="2"/>
  <c r="I179" i="2"/>
  <c r="N179" i="2"/>
  <c r="H132" i="2"/>
  <c r="I132" i="2"/>
  <c r="H138" i="2"/>
  <c r="K44" i="3" s="1"/>
  <c r="K149" i="2"/>
  <c r="I173" i="2"/>
  <c r="L58" i="3" s="1"/>
  <c r="L1047" i="1"/>
  <c r="N58" i="2" s="1"/>
  <c r="N177" i="2"/>
  <c r="K173" i="2"/>
  <c r="I295" i="1"/>
  <c r="I309" i="1" s="1"/>
  <c r="I159" i="2"/>
  <c r="L49" i="3" s="1"/>
  <c r="O94" i="2"/>
  <c r="H149" i="2"/>
  <c r="K46" i="3" s="1"/>
  <c r="H142" i="2"/>
  <c r="K45" i="3" s="1"/>
  <c r="I149" i="2"/>
  <c r="L46" i="3" s="1"/>
  <c r="H159" i="2"/>
  <c r="K49" i="3" s="1"/>
  <c r="I142" i="2"/>
  <c r="L45" i="3" s="1"/>
  <c r="H173" i="2"/>
  <c r="K58" i="3" s="1"/>
  <c r="O123" i="2"/>
  <c r="K142" i="2"/>
  <c r="P95" i="2"/>
  <c r="O151" i="2"/>
  <c r="O161" i="2"/>
  <c r="P100" i="2"/>
  <c r="O177" i="2"/>
  <c r="P124" i="2"/>
  <c r="G65" i="2"/>
  <c r="H65" i="2"/>
  <c r="N151" i="2"/>
  <c r="N161" i="2"/>
  <c r="I65" i="2"/>
  <c r="N65" i="2" s="1"/>
  <c r="O65" i="2" s="1"/>
  <c r="P65" i="2" s="1"/>
  <c r="Q65" i="2" s="1"/>
  <c r="R65" i="2" s="1"/>
  <c r="S65" i="2" s="1"/>
  <c r="T65" i="2" s="1"/>
  <c r="U65" i="2" s="1"/>
  <c r="I24" i="2"/>
  <c r="J295" i="1"/>
  <c r="J309" i="1" s="1"/>
  <c r="L309" i="1" s="1"/>
  <c r="M309" i="1" s="1"/>
  <c r="J238" i="1"/>
  <c r="J213" i="1"/>
  <c r="K176" i="1"/>
  <c r="K67" i="1"/>
  <c r="L67" i="1" s="1"/>
  <c r="J234" i="1"/>
  <c r="J284" i="1"/>
  <c r="K315" i="1"/>
  <c r="J177" i="1"/>
  <c r="N191" i="1"/>
  <c r="J176" i="1"/>
  <c r="K213" i="1"/>
  <c r="J216" i="1"/>
  <c r="J220" i="1"/>
  <c r="K361" i="1"/>
  <c r="K363" i="1" s="1"/>
  <c r="K369" i="1" s="1"/>
  <c r="K370" i="1" s="1"/>
  <c r="M370" i="1" s="1"/>
  <c r="J276" i="1"/>
  <c r="N152" i="2"/>
  <c r="I175" i="1"/>
  <c r="J246" i="1"/>
  <c r="R192" i="1"/>
  <c r="L189" i="1"/>
  <c r="K97" i="1"/>
  <c r="K95" i="1" s="1"/>
  <c r="K336" i="1" s="1"/>
  <c r="N190" i="1"/>
  <c r="J306" i="1"/>
  <c r="L411" i="1"/>
  <c r="P112" i="2"/>
  <c r="Q112" i="2" s="1"/>
  <c r="O147" i="2"/>
  <c r="I226" i="1"/>
  <c r="J247" i="1"/>
  <c r="S190" i="1"/>
  <c r="J1039" i="1"/>
  <c r="J67" i="1"/>
  <c r="I234" i="1"/>
  <c r="I251" i="1"/>
  <c r="L190" i="1"/>
  <c r="L170" i="1" s="1"/>
  <c r="L41" i="1" s="1"/>
  <c r="J1048" i="1"/>
  <c r="I67" i="1"/>
  <c r="I284" i="1"/>
  <c r="R190" i="1"/>
  <c r="K128" i="1"/>
  <c r="I97" i="1"/>
  <c r="I95" i="1" s="1"/>
  <c r="J137" i="1" s="1"/>
  <c r="J143" i="1" s="1"/>
  <c r="I279" i="1"/>
  <c r="I287" i="1"/>
  <c r="K130" i="1"/>
  <c r="M99" i="1"/>
  <c r="N99" i="1" s="1"/>
  <c r="O99" i="1" s="1"/>
  <c r="P99" i="1" s="1"/>
  <c r="Q99" i="1" s="1"/>
  <c r="R99" i="1" s="1"/>
  <c r="S99" i="1" s="1"/>
  <c r="G95" i="1"/>
  <c r="I137" i="1" s="1"/>
  <c r="I143" i="1" s="1"/>
  <c r="I258" i="1"/>
  <c r="N197" i="1"/>
  <c r="I312" i="1"/>
  <c r="I205" i="1"/>
  <c r="J209" i="1"/>
  <c r="J263" i="1"/>
  <c r="M197" i="1"/>
  <c r="J312" i="1"/>
  <c r="J217" i="1"/>
  <c r="J279" i="1"/>
  <c r="S197" i="1"/>
  <c r="I208" i="1"/>
  <c r="I216" i="1"/>
  <c r="K129" i="1"/>
  <c r="J226" i="1"/>
  <c r="J267" i="1"/>
  <c r="O197" i="1"/>
  <c r="K1043" i="1"/>
  <c r="L1043" i="1" s="1"/>
  <c r="M1043" i="1" s="1"/>
  <c r="N1043" i="1" s="1"/>
  <c r="O1043" i="1" s="1"/>
  <c r="P1043" i="1" s="1"/>
  <c r="Q1043" i="1" s="1"/>
  <c r="R1043" i="1" s="1"/>
  <c r="S1043" i="1" s="1"/>
  <c r="L108" i="1"/>
  <c r="L86" i="1" s="1"/>
  <c r="I247" i="1"/>
  <c r="Q189" i="1"/>
  <c r="I213" i="1"/>
  <c r="I267" i="1"/>
  <c r="K118" i="1"/>
  <c r="R189" i="1"/>
  <c r="K226" i="1"/>
  <c r="I221" i="1"/>
  <c r="I126" i="1"/>
  <c r="O189" i="1"/>
  <c r="K234" i="1"/>
  <c r="I230" i="1"/>
  <c r="N189" i="1"/>
  <c r="J61" i="1"/>
  <c r="Q195" i="1"/>
  <c r="J224" i="1"/>
  <c r="J251" i="1"/>
  <c r="L195" i="1"/>
  <c r="M190" i="1"/>
  <c r="K312" i="1"/>
  <c r="I121" i="1"/>
  <c r="J205" i="1"/>
  <c r="I233" i="1"/>
  <c r="J264" i="1"/>
  <c r="L322" i="1"/>
  <c r="I124" i="1"/>
  <c r="R197" i="1"/>
  <c r="Q190" i="1"/>
  <c r="K1084" i="1"/>
  <c r="K1088" i="1" s="1"/>
  <c r="K1090" i="1" s="1"/>
  <c r="M100" i="1"/>
  <c r="N100" i="1" s="1"/>
  <c r="O100" i="1" s="1"/>
  <c r="P100" i="1" s="1"/>
  <c r="Q100" i="1" s="1"/>
  <c r="R100" i="1" s="1"/>
  <c r="S100" i="1" s="1"/>
  <c r="K263" i="1"/>
  <c r="Q197" i="1"/>
  <c r="K1045" i="1"/>
  <c r="L1045" i="1" s="1"/>
  <c r="M1045" i="1" s="1"/>
  <c r="N1045" i="1" s="1"/>
  <c r="O1045" i="1" s="1"/>
  <c r="J272" i="1"/>
  <c r="K126" i="1"/>
  <c r="P190" i="1"/>
  <c r="J318" i="1"/>
  <c r="J221" i="1"/>
  <c r="K267" i="1"/>
  <c r="J288" i="1"/>
  <c r="K345" i="1"/>
  <c r="L343" i="1" s="1"/>
  <c r="J124" i="1"/>
  <c r="L197" i="1"/>
  <c r="J303" i="1"/>
  <c r="L175" i="1"/>
  <c r="J1045" i="1"/>
  <c r="K283" i="1"/>
  <c r="L283" i="1" s="1"/>
  <c r="M283" i="1" s="1"/>
  <c r="N283" i="1" s="1"/>
  <c r="J268" i="1"/>
  <c r="K132" i="1"/>
  <c r="Q191" i="1"/>
  <c r="J97" i="1"/>
  <c r="J95" i="1" s="1"/>
  <c r="J132" i="1"/>
  <c r="J47" i="1"/>
  <c r="O111" i="2"/>
  <c r="O153" i="2" s="1"/>
  <c r="K247" i="1"/>
  <c r="K306" i="1"/>
  <c r="K1038" i="1"/>
  <c r="L1038" i="1" s="1"/>
  <c r="M1038" i="1" s="1"/>
  <c r="N1038" i="1" s="1"/>
  <c r="O1038" i="1" s="1"/>
  <c r="P1038" i="1" s="1"/>
  <c r="Q1038" i="1" s="1"/>
  <c r="R1038" i="1" s="1"/>
  <c r="S1038" i="1" s="1"/>
  <c r="I217" i="1"/>
  <c r="J237" i="1"/>
  <c r="J271" i="1"/>
  <c r="K255" i="1"/>
  <c r="J120" i="1"/>
  <c r="K264" i="1"/>
  <c r="P109" i="2"/>
  <c r="Q109" i="2" s="1"/>
  <c r="I209" i="1"/>
  <c r="K280" i="1"/>
  <c r="J125" i="1"/>
  <c r="K272" i="1"/>
  <c r="J121" i="1"/>
  <c r="K205" i="1"/>
  <c r="I229" i="1"/>
  <c r="L229" i="1" s="1"/>
  <c r="L228" i="1" s="1"/>
  <c r="K288" i="1"/>
  <c r="L409" i="1"/>
  <c r="M409" i="1" s="1"/>
  <c r="J118" i="1"/>
  <c r="J315" i="1"/>
  <c r="I315" i="1"/>
  <c r="M112" i="1"/>
  <c r="N112" i="1" s="1"/>
  <c r="O112" i="1" s="1"/>
  <c r="P112" i="1" s="1"/>
  <c r="Q112" i="1" s="1"/>
  <c r="R112" i="1" s="1"/>
  <c r="S112" i="1" s="1"/>
  <c r="K61" i="1"/>
  <c r="P195" i="1"/>
  <c r="J1043" i="1"/>
  <c r="K208" i="1"/>
  <c r="I176" i="1"/>
  <c r="O195" i="1"/>
  <c r="J1084" i="1"/>
  <c r="J1088" i="1" s="1"/>
  <c r="J1090" i="1" s="1"/>
  <c r="I1043" i="1"/>
  <c r="K224" i="1"/>
  <c r="I250" i="1"/>
  <c r="I306" i="1"/>
  <c r="K251" i="1"/>
  <c r="R184" i="1"/>
  <c r="J233" i="1"/>
  <c r="I283" i="1"/>
  <c r="K259" i="1"/>
  <c r="K121" i="1"/>
  <c r="I130" i="1"/>
  <c r="O184" i="1"/>
  <c r="J54" i="1"/>
  <c r="K268" i="1"/>
  <c r="J1038" i="1"/>
  <c r="P1049" i="1"/>
  <c r="P1048" i="1" s="1"/>
  <c r="Q1072" i="1"/>
  <c r="Q1071" i="1" s="1"/>
  <c r="N236" i="1"/>
  <c r="O266" i="1"/>
  <c r="R193" i="1"/>
  <c r="K175" i="1"/>
  <c r="P193" i="1"/>
  <c r="Q193" i="1"/>
  <c r="O193" i="1"/>
  <c r="M193" i="1"/>
  <c r="S193" i="1"/>
  <c r="K177" i="1"/>
  <c r="I263" i="1"/>
  <c r="I254" i="1"/>
  <c r="I237" i="1"/>
  <c r="I271" i="1"/>
  <c r="I220" i="1"/>
  <c r="I212" i="1"/>
  <c r="I224" i="1"/>
  <c r="I275" i="1"/>
  <c r="N193" i="1"/>
  <c r="K254" i="1"/>
  <c r="K237" i="1"/>
  <c r="K246" i="1"/>
  <c r="L246" i="1" s="1"/>
  <c r="K212" i="1"/>
  <c r="L212" i="1" s="1"/>
  <c r="K233" i="1"/>
  <c r="L233" i="1" s="1"/>
  <c r="K275" i="1"/>
  <c r="K250" i="1"/>
  <c r="L250" i="1" s="1"/>
  <c r="K279" i="1"/>
  <c r="L279" i="1" s="1"/>
  <c r="K40" i="1"/>
  <c r="L39" i="1"/>
  <c r="K271" i="1"/>
  <c r="L271" i="1" s="1"/>
  <c r="K220" i="1"/>
  <c r="K287" i="1"/>
  <c r="K238" i="1"/>
  <c r="K230" i="1"/>
  <c r="K217" i="1"/>
  <c r="K209" i="1"/>
  <c r="I345" i="1"/>
  <c r="J346" i="1" s="1"/>
  <c r="J322" i="1"/>
  <c r="J324" i="1" s="1"/>
  <c r="J329" i="1" s="1"/>
  <c r="K229" i="1"/>
  <c r="I280" i="1"/>
  <c r="I276" i="1"/>
  <c r="I268" i="1"/>
  <c r="I243" i="1"/>
  <c r="I288" i="1"/>
  <c r="I264" i="1"/>
  <c r="I255" i="1"/>
  <c r="I259" i="1"/>
  <c r="K318" i="1"/>
  <c r="K303" i="1"/>
  <c r="K322" i="1"/>
  <c r="K324" i="1" s="1"/>
  <c r="K329" i="1" s="1"/>
  <c r="J345" i="1"/>
  <c r="K346" i="1" s="1"/>
  <c r="M192" i="1"/>
  <c r="L192" i="1"/>
  <c r="P192" i="1"/>
  <c r="O192" i="1"/>
  <c r="Q192" i="1"/>
  <c r="N192" i="1"/>
  <c r="M110" i="1"/>
  <c r="N110" i="1" s="1"/>
  <c r="O110" i="1" s="1"/>
  <c r="P110" i="1" s="1"/>
  <c r="Q110" i="1" s="1"/>
  <c r="R110" i="1" s="1"/>
  <c r="S110" i="1" s="1"/>
  <c r="L88" i="1"/>
  <c r="K258" i="1"/>
  <c r="K243" i="1"/>
  <c r="L87" i="1"/>
  <c r="M109" i="1"/>
  <c r="M60" i="1"/>
  <c r="L61" i="1"/>
  <c r="M106" i="1"/>
  <c r="N106" i="1" s="1"/>
  <c r="O106" i="1" s="1"/>
  <c r="P106" i="1" s="1"/>
  <c r="Q106" i="1" s="1"/>
  <c r="R106" i="1" s="1"/>
  <c r="S106" i="1" s="1"/>
  <c r="L84" i="1"/>
  <c r="J255" i="1"/>
  <c r="J258" i="1"/>
  <c r="J208" i="1"/>
  <c r="J250" i="1"/>
  <c r="M47" i="1"/>
  <c r="N46" i="1"/>
  <c r="L47" i="1"/>
  <c r="J229" i="1"/>
  <c r="J254" i="1"/>
  <c r="J243" i="1"/>
  <c r="J259" i="1"/>
  <c r="J287" i="1"/>
  <c r="O286" i="1"/>
  <c r="J275" i="1"/>
  <c r="K276" i="1"/>
  <c r="J283" i="1"/>
  <c r="L53" i="1"/>
  <c r="K54" i="1"/>
  <c r="I318" i="1"/>
  <c r="M189" i="1"/>
  <c r="S189" i="1"/>
  <c r="L75" i="1"/>
  <c r="I125" i="1"/>
  <c r="I118" i="1"/>
  <c r="I120" i="1"/>
  <c r="I119" i="1"/>
  <c r="I132" i="1"/>
  <c r="K123" i="1"/>
  <c r="K120" i="1"/>
  <c r="K119" i="1"/>
  <c r="I123" i="1"/>
  <c r="J129" i="1"/>
  <c r="J130" i="1"/>
  <c r="J123" i="1"/>
  <c r="J119" i="1"/>
  <c r="J126" i="1"/>
  <c r="L79" i="1"/>
  <c r="K124" i="1"/>
  <c r="I128" i="1"/>
  <c r="I303" i="1"/>
  <c r="S184" i="1"/>
  <c r="P184" i="1"/>
  <c r="L184" i="1"/>
  <c r="Q184" i="1"/>
  <c r="N184" i="1"/>
  <c r="M98" i="1"/>
  <c r="M76" i="1" s="1"/>
  <c r="L97" i="1"/>
  <c r="J40" i="1"/>
  <c r="M103" i="1"/>
  <c r="N103" i="1" s="1"/>
  <c r="O103" i="1" s="1"/>
  <c r="P103" i="1" s="1"/>
  <c r="Q103" i="1" s="1"/>
  <c r="R103" i="1" s="1"/>
  <c r="S103" i="1" s="1"/>
  <c r="S195" i="1"/>
  <c r="M195" i="1"/>
  <c r="P191" i="1"/>
  <c r="L191" i="1"/>
  <c r="L171" i="1" s="1"/>
  <c r="L48" i="1" s="1"/>
  <c r="L45" i="1" s="1"/>
  <c r="L27" i="1" s="1"/>
  <c r="M191" i="1"/>
  <c r="S191" i="1"/>
  <c r="O191" i="1"/>
  <c r="L83" i="1"/>
  <c r="R195" i="1"/>
  <c r="I1045" i="1"/>
  <c r="K47" i="1"/>
  <c r="M104" i="1"/>
  <c r="N104" i="1" s="1"/>
  <c r="O104" i="1" s="1"/>
  <c r="P104" i="1" s="1"/>
  <c r="Q104" i="1" s="1"/>
  <c r="R104" i="1" s="1"/>
  <c r="S104" i="1" s="1"/>
  <c r="K1036" i="1"/>
  <c r="L216" i="1" l="1"/>
  <c r="M216" i="1" s="1"/>
  <c r="L208" i="1"/>
  <c r="L381" i="1"/>
  <c r="M379" i="1" s="1"/>
  <c r="L220" i="1"/>
  <c r="N24" i="2"/>
  <c r="O24" i="2" s="1"/>
  <c r="P24" i="2" s="1"/>
  <c r="Q24" i="2" s="1"/>
  <c r="R24" i="2" s="1"/>
  <c r="S24" i="2" s="1"/>
  <c r="T24" i="2" s="1"/>
  <c r="U24" i="2" s="1"/>
  <c r="M375" i="1"/>
  <c r="L374" i="1"/>
  <c r="M246" i="1"/>
  <c r="M220" i="1"/>
  <c r="M208" i="1"/>
  <c r="N216" i="1"/>
  <c r="K331" i="1"/>
  <c r="K333" i="1" s="1"/>
  <c r="K334" i="1" s="1"/>
  <c r="J136" i="1"/>
  <c r="J142" i="1" s="1"/>
  <c r="J336" i="1"/>
  <c r="J337" i="1" s="1"/>
  <c r="O181" i="2"/>
  <c r="M1055" i="1" s="1"/>
  <c r="P181" i="2"/>
  <c r="N1055" i="1" s="1"/>
  <c r="L47" i="3"/>
  <c r="L21" i="3"/>
  <c r="L22" i="3"/>
  <c r="J38" i="3"/>
  <c r="I418" i="1"/>
  <c r="J39" i="3" s="1"/>
  <c r="K156" i="2"/>
  <c r="K166" i="2" s="1"/>
  <c r="K47" i="3"/>
  <c r="K21" i="3"/>
  <c r="K22" i="3"/>
  <c r="J21" i="3"/>
  <c r="J22" i="3"/>
  <c r="P175" i="2"/>
  <c r="Q121" i="2"/>
  <c r="F341" i="1"/>
  <c r="L344" i="1" s="1"/>
  <c r="J330" i="1"/>
  <c r="K330" i="1"/>
  <c r="K337" i="1"/>
  <c r="I156" i="2"/>
  <c r="I157" i="2" s="1"/>
  <c r="N409" i="1"/>
  <c r="N135" i="2"/>
  <c r="H156" i="2"/>
  <c r="H166" i="2" s="1"/>
  <c r="H167" i="2" s="1"/>
  <c r="L1037" i="1"/>
  <c r="L1056" i="1" s="1"/>
  <c r="P94" i="2"/>
  <c r="O140" i="2"/>
  <c r="P123" i="2"/>
  <c r="O180" i="2"/>
  <c r="Q124" i="2"/>
  <c r="P177" i="2"/>
  <c r="P161" i="2"/>
  <c r="Q100" i="2"/>
  <c r="R120" i="2"/>
  <c r="Q181" i="2"/>
  <c r="Q95" i="2"/>
  <c r="P151" i="2"/>
  <c r="M411" i="1"/>
  <c r="L315" i="1"/>
  <c r="M315" i="1" s="1"/>
  <c r="N315" i="1" s="1"/>
  <c r="O315" i="1" s="1"/>
  <c r="P315" i="1" s="1"/>
  <c r="Q315" i="1" s="1"/>
  <c r="R315" i="1" s="1"/>
  <c r="S315" i="1" s="1"/>
  <c r="M77" i="1"/>
  <c r="N77" i="1" s="1"/>
  <c r="K68" i="1"/>
  <c r="J68" i="1"/>
  <c r="I262" i="1"/>
  <c r="P152" i="2"/>
  <c r="I136" i="1"/>
  <c r="I138" i="1" s="1"/>
  <c r="I144" i="1" s="1"/>
  <c r="P147" i="2"/>
  <c r="L179" i="1"/>
  <c r="L62" i="1" s="1"/>
  <c r="L59" i="1" s="1"/>
  <c r="L30" i="1" s="1"/>
  <c r="L31" i="1" s="1"/>
  <c r="I225" i="1"/>
  <c r="L95" i="1"/>
  <c r="J262" i="1"/>
  <c r="L73" i="1"/>
  <c r="L74" i="1" s="1"/>
  <c r="L312" i="1"/>
  <c r="M312" i="1" s="1"/>
  <c r="N312" i="1" s="1"/>
  <c r="M78" i="1"/>
  <c r="M171" i="1" s="1"/>
  <c r="M48" i="1" s="1"/>
  <c r="M45" i="1" s="1"/>
  <c r="M27" i="1" s="1"/>
  <c r="J225" i="1"/>
  <c r="P111" i="2"/>
  <c r="Q111" i="2" s="1"/>
  <c r="K137" i="1"/>
  <c r="K143" i="1" s="1"/>
  <c r="R112" i="2"/>
  <c r="Q147" i="2"/>
  <c r="L258" i="1"/>
  <c r="M258" i="1" s="1"/>
  <c r="L306" i="1"/>
  <c r="M306" i="1" s="1"/>
  <c r="N306" i="1" s="1"/>
  <c r="M90" i="1"/>
  <c r="N90" i="1" s="1"/>
  <c r="O90" i="1" s="1"/>
  <c r="J30" i="2"/>
  <c r="N30" i="2"/>
  <c r="L54" i="1"/>
  <c r="M53" i="1"/>
  <c r="O283" i="1"/>
  <c r="M88" i="1"/>
  <c r="L181" i="1"/>
  <c r="P266" i="1"/>
  <c r="M83" i="1"/>
  <c r="L176" i="1"/>
  <c r="L177" i="1"/>
  <c r="M84" i="1"/>
  <c r="L40" i="1"/>
  <c r="L38" i="1"/>
  <c r="L26" i="1" s="1"/>
  <c r="M39" i="1"/>
  <c r="M87" i="1"/>
  <c r="O236" i="1"/>
  <c r="P286" i="1"/>
  <c r="M79" i="1"/>
  <c r="M172" i="1" s="1"/>
  <c r="M55" i="1" s="1"/>
  <c r="M81" i="1"/>
  <c r="M75" i="1" s="1"/>
  <c r="P1045" i="1"/>
  <c r="M279" i="1"/>
  <c r="M212" i="1"/>
  <c r="K1039" i="1"/>
  <c r="K1048" i="1"/>
  <c r="L303" i="1"/>
  <c r="N370" i="1"/>
  <c r="M67" i="1"/>
  <c r="L68" i="1"/>
  <c r="M271" i="1"/>
  <c r="L318" i="1"/>
  <c r="Q152" i="2"/>
  <c r="R109" i="2"/>
  <c r="N47" i="1"/>
  <c r="O46" i="1"/>
  <c r="L275" i="1"/>
  <c r="N309" i="1"/>
  <c r="N98" i="1"/>
  <c r="N76" i="1" s="1"/>
  <c r="M97" i="1"/>
  <c r="K136" i="1"/>
  <c r="L137" i="1"/>
  <c r="K225" i="1"/>
  <c r="L225" i="1" s="1"/>
  <c r="M225" i="1" s="1"/>
  <c r="N225" i="1" s="1"/>
  <c r="O225" i="1" s="1"/>
  <c r="P225" i="1" s="1"/>
  <c r="Q225" i="1" s="1"/>
  <c r="R225" i="1" s="1"/>
  <c r="S225" i="1" s="1"/>
  <c r="K262" i="1"/>
  <c r="L262" i="1" s="1"/>
  <c r="R1072" i="1"/>
  <c r="R1071" i="1" s="1"/>
  <c r="Q1049" i="1"/>
  <c r="Q1048" i="1" s="1"/>
  <c r="L172" i="1"/>
  <c r="L254" i="1"/>
  <c r="N60" i="1"/>
  <c r="M61" i="1"/>
  <c r="M82" i="1"/>
  <c r="N109" i="1"/>
  <c r="M108" i="1"/>
  <c r="M86" i="1" s="1"/>
  <c r="M233" i="1"/>
  <c r="L362" i="1" l="1"/>
  <c r="N73" i="2"/>
  <c r="N375" i="1"/>
  <c r="M374" i="1"/>
  <c r="L337" i="1"/>
  <c r="M337" i="1" s="1"/>
  <c r="N337" i="1" s="1"/>
  <c r="O337" i="1" s="1"/>
  <c r="P337" i="1" s="1"/>
  <c r="Q337" i="1" s="1"/>
  <c r="R337" i="1" s="1"/>
  <c r="S337" i="1" s="1"/>
  <c r="M380" i="1"/>
  <c r="O57" i="3"/>
  <c r="O10" i="3" s="1"/>
  <c r="N246" i="1"/>
  <c r="N57" i="3"/>
  <c r="N10" i="3" s="1"/>
  <c r="N208" i="1"/>
  <c r="N220" i="1"/>
  <c r="O179" i="2"/>
  <c r="O216" i="1"/>
  <c r="M334" i="1"/>
  <c r="J138" i="1"/>
  <c r="J144" i="1" s="1"/>
  <c r="J155" i="1" s="1"/>
  <c r="L136" i="1"/>
  <c r="L142" i="1" s="1"/>
  <c r="L336" i="1"/>
  <c r="K157" i="2"/>
  <c r="K167" i="2"/>
  <c r="K183" i="2"/>
  <c r="K186" i="2" s="1"/>
  <c r="K25" i="3"/>
  <c r="K26" i="3" s="1"/>
  <c r="K23" i="3"/>
  <c r="K29" i="3"/>
  <c r="K35" i="3"/>
  <c r="O1055" i="1"/>
  <c r="P57" i="3"/>
  <c r="P10" i="3" s="1"/>
  <c r="H157" i="2"/>
  <c r="K48" i="3"/>
  <c r="K50" i="3"/>
  <c r="I166" i="2"/>
  <c r="Q175" i="2"/>
  <c r="R121" i="2"/>
  <c r="L25" i="3"/>
  <c r="L26" i="3" s="1"/>
  <c r="L29" i="3"/>
  <c r="L35" i="3"/>
  <c r="L23" i="3"/>
  <c r="J25" i="3"/>
  <c r="J26" i="3" s="1"/>
  <c r="J29" i="3"/>
  <c r="J35" i="3"/>
  <c r="L50" i="3"/>
  <c r="L48" i="3"/>
  <c r="F330" i="1"/>
  <c r="L124" i="1"/>
  <c r="H183" i="2"/>
  <c r="H186" i="2" s="1"/>
  <c r="O409" i="1"/>
  <c r="M170" i="1"/>
  <c r="M41" i="1" s="1"/>
  <c r="M38" i="1" s="1"/>
  <c r="M26" i="1" s="1"/>
  <c r="P180" i="2"/>
  <c r="P179" i="2" s="1"/>
  <c r="Q123" i="2"/>
  <c r="Q94" i="2"/>
  <c r="P140" i="2"/>
  <c r="Q151" i="2"/>
  <c r="R95" i="2"/>
  <c r="R181" i="2"/>
  <c r="S120" i="2"/>
  <c r="Q161" i="2"/>
  <c r="R100" i="2"/>
  <c r="Q177" i="2"/>
  <c r="R124" i="2"/>
  <c r="N411" i="1"/>
  <c r="M137" i="1"/>
  <c r="L120" i="1"/>
  <c r="L118" i="1"/>
  <c r="L119" i="1"/>
  <c r="L123" i="1"/>
  <c r="L129" i="1"/>
  <c r="L143" i="1"/>
  <c r="I142" i="1"/>
  <c r="I155" i="1" s="1"/>
  <c r="L121" i="1"/>
  <c r="L132" i="1"/>
  <c r="L128" i="1"/>
  <c r="L130" i="1"/>
  <c r="I139" i="1"/>
  <c r="N78" i="1"/>
  <c r="O78" i="1" s="1"/>
  <c r="L126" i="1"/>
  <c r="J32" i="2"/>
  <c r="P153" i="2"/>
  <c r="L125" i="1"/>
  <c r="M73" i="1"/>
  <c r="M74" i="1" s="1"/>
  <c r="S112" i="2"/>
  <c r="R147" i="2"/>
  <c r="F342" i="1"/>
  <c r="N233" i="1"/>
  <c r="G34" i="5"/>
  <c r="L345" i="1"/>
  <c r="M343" i="1" s="1"/>
  <c r="O47" i="1"/>
  <c r="P46" i="1"/>
  <c r="M68" i="1"/>
  <c r="N67" i="1"/>
  <c r="N83" i="1"/>
  <c r="M176" i="1"/>
  <c r="N108" i="1"/>
  <c r="N86" i="1" s="1"/>
  <c r="O109" i="1"/>
  <c r="O370" i="1"/>
  <c r="N97" i="1"/>
  <c r="O98" i="1"/>
  <c r="O76" i="1" s="1"/>
  <c r="N87" i="1"/>
  <c r="M303" i="1"/>
  <c r="N53" i="1"/>
  <c r="M52" i="1"/>
  <c r="M28" i="1" s="1"/>
  <c r="M54" i="1"/>
  <c r="M175" i="1"/>
  <c r="N82" i="1"/>
  <c r="N81" i="1"/>
  <c r="N75" i="1" s="1"/>
  <c r="S109" i="2"/>
  <c r="R152" i="2"/>
  <c r="O77" i="1"/>
  <c r="N170" i="1"/>
  <c r="N39" i="1"/>
  <c r="M40" i="1"/>
  <c r="L174" i="1"/>
  <c r="M179" i="1"/>
  <c r="M62" i="1" s="1"/>
  <c r="M59" i="1" s="1"/>
  <c r="M30" i="1" s="1"/>
  <c r="M31" i="1" s="1"/>
  <c r="N29" i="2"/>
  <c r="J29" i="2"/>
  <c r="P283" i="1"/>
  <c r="N212" i="1"/>
  <c r="P236" i="1"/>
  <c r="P90" i="1"/>
  <c r="L55" i="1"/>
  <c r="L52" i="1" s="1"/>
  <c r="L28" i="1" s="1"/>
  <c r="L25" i="1" s="1"/>
  <c r="L169" i="1"/>
  <c r="Q1045" i="1"/>
  <c r="O312" i="1"/>
  <c r="L32" i="1"/>
  <c r="M275" i="1"/>
  <c r="O306" i="1"/>
  <c r="O60" i="1"/>
  <c r="N61" i="1"/>
  <c r="N79" i="1"/>
  <c r="S16" i="1"/>
  <c r="S1072" i="1" s="1"/>
  <c r="S1071" i="1" s="1"/>
  <c r="R1049" i="1"/>
  <c r="R1048" i="1" s="1"/>
  <c r="M318" i="1"/>
  <c r="Q266" i="1"/>
  <c r="Q286" i="1"/>
  <c r="M262" i="1"/>
  <c r="L261" i="1"/>
  <c r="L223" i="1"/>
  <c r="M254" i="1"/>
  <c r="K142" i="1"/>
  <c r="K138" i="1"/>
  <c r="K144" i="1" s="1"/>
  <c r="N279" i="1"/>
  <c r="M95" i="1"/>
  <c r="M336" i="1" s="1"/>
  <c r="M331" i="1" s="1"/>
  <c r="N88" i="1"/>
  <c r="M181" i="1"/>
  <c r="O309" i="1"/>
  <c r="K30" i="2"/>
  <c r="O30" i="2"/>
  <c r="N271" i="1"/>
  <c r="M177" i="1"/>
  <c r="N84" i="1"/>
  <c r="R111" i="2"/>
  <c r="Q153" i="2"/>
  <c r="N258" i="1"/>
  <c r="M381" i="1" l="1"/>
  <c r="N379" i="1" s="1"/>
  <c r="M362" i="1"/>
  <c r="O73" i="2"/>
  <c r="O375" i="1"/>
  <c r="N374" i="1"/>
  <c r="J154" i="1"/>
  <c r="J145" i="1"/>
  <c r="P216" i="1"/>
  <c r="O208" i="1"/>
  <c r="O220" i="1"/>
  <c r="O246" i="1"/>
  <c r="J153" i="1"/>
  <c r="J139" i="1"/>
  <c r="N334" i="1"/>
  <c r="L138" i="1"/>
  <c r="L144" i="1" s="1"/>
  <c r="L145" i="1" s="1"/>
  <c r="K51" i="3"/>
  <c r="K55" i="3"/>
  <c r="I185" i="2"/>
  <c r="J417" i="1"/>
  <c r="R175" i="2"/>
  <c r="S121" i="2"/>
  <c r="I167" i="2"/>
  <c r="I183" i="2"/>
  <c r="L51" i="3"/>
  <c r="L55" i="3"/>
  <c r="Q57" i="3"/>
  <c r="Q10" i="3" s="1"/>
  <c r="P1055" i="1"/>
  <c r="M169" i="1"/>
  <c r="I154" i="1"/>
  <c r="M130" i="1"/>
  <c r="L331" i="1"/>
  <c r="I145" i="1"/>
  <c r="P409" i="1"/>
  <c r="R94" i="2"/>
  <c r="Q140" i="2"/>
  <c r="R123" i="2"/>
  <c r="Q180" i="2"/>
  <c r="Q179" i="2" s="1"/>
  <c r="R177" i="2"/>
  <c r="S124" i="2"/>
  <c r="R161" i="2"/>
  <c r="S100" i="2"/>
  <c r="T120" i="2"/>
  <c r="S181" i="2"/>
  <c r="S95" i="2"/>
  <c r="R151" i="2"/>
  <c r="O411" i="1"/>
  <c r="I153" i="1"/>
  <c r="N171" i="1"/>
  <c r="N48" i="1" s="1"/>
  <c r="N45" i="1" s="1"/>
  <c r="N27" i="1" s="1"/>
  <c r="L30" i="2" s="1"/>
  <c r="M132" i="1"/>
  <c r="M118" i="1"/>
  <c r="M143" i="1"/>
  <c r="M129" i="1"/>
  <c r="M119" i="1"/>
  <c r="M128" i="1"/>
  <c r="M120" i="1"/>
  <c r="M125" i="1"/>
  <c r="M121" i="1"/>
  <c r="M126" i="1"/>
  <c r="M123" i="1"/>
  <c r="M124" i="1"/>
  <c r="T112" i="2"/>
  <c r="S147" i="2"/>
  <c r="K139" i="1"/>
  <c r="M25" i="1"/>
  <c r="K29" i="2"/>
  <c r="O29" i="2"/>
  <c r="N179" i="1"/>
  <c r="N62" i="1" s="1"/>
  <c r="N59" i="1" s="1"/>
  <c r="N30" i="1" s="1"/>
  <c r="H34" i="5"/>
  <c r="G35" i="5"/>
  <c r="O271" i="1"/>
  <c r="N54" i="1"/>
  <c r="O53" i="1"/>
  <c r="Q90" i="1"/>
  <c r="N303" i="1"/>
  <c r="N275" i="1"/>
  <c r="P309" i="1"/>
  <c r="P77" i="1"/>
  <c r="O170" i="1"/>
  <c r="M261" i="1"/>
  <c r="N262" i="1"/>
  <c r="O87" i="1"/>
  <c r="S111" i="2"/>
  <c r="R153" i="2"/>
  <c r="N181" i="1"/>
  <c r="O88" i="1"/>
  <c r="O84" i="1"/>
  <c r="N177" i="1"/>
  <c r="O81" i="1"/>
  <c r="O75" i="1" s="1"/>
  <c r="N95" i="1"/>
  <c r="N336" i="1" s="1"/>
  <c r="N331" i="1" s="1"/>
  <c r="N137" i="1"/>
  <c r="M136" i="1"/>
  <c r="R266" i="1"/>
  <c r="O31" i="2"/>
  <c r="K31" i="2"/>
  <c r="K145" i="1"/>
  <c r="K153" i="1"/>
  <c r="K154" i="1"/>
  <c r="O233" i="1"/>
  <c r="N254" i="1"/>
  <c r="J28" i="2"/>
  <c r="N28" i="2"/>
  <c r="N40" i="1"/>
  <c r="O39" i="1"/>
  <c r="N176" i="1"/>
  <c r="O83" i="1"/>
  <c r="M223" i="1"/>
  <c r="N318" i="1"/>
  <c r="N73" i="1"/>
  <c r="N74" i="1" s="1"/>
  <c r="N41" i="1"/>
  <c r="N38" i="1" s="1"/>
  <c r="N26" i="1" s="1"/>
  <c r="O67" i="1"/>
  <c r="N68" i="1"/>
  <c r="O258" i="1"/>
  <c r="S1049" i="1"/>
  <c r="S1048" i="1" s="1"/>
  <c r="K32" i="2"/>
  <c r="M32" i="1"/>
  <c r="O79" i="1"/>
  <c r="N172" i="1"/>
  <c r="N55" i="1" s="1"/>
  <c r="N52" i="1" s="1"/>
  <c r="N28" i="1" s="1"/>
  <c r="T109" i="2"/>
  <c r="S152" i="2"/>
  <c r="Q46" i="1"/>
  <c r="P47" i="1"/>
  <c r="R286" i="1"/>
  <c r="P312" i="1"/>
  <c r="Q236" i="1"/>
  <c r="O97" i="1"/>
  <c r="P98" i="1"/>
  <c r="P76" i="1" s="1"/>
  <c r="R1045" i="1"/>
  <c r="O212" i="1"/>
  <c r="N175" i="1"/>
  <c r="O82" i="1"/>
  <c r="P60" i="1"/>
  <c r="O61" i="1"/>
  <c r="L168" i="1"/>
  <c r="P370" i="1"/>
  <c r="Q370" i="1" s="1"/>
  <c r="R370" i="1" s="1"/>
  <c r="S370" i="1" s="1"/>
  <c r="O279" i="1"/>
  <c r="N31" i="2"/>
  <c r="J31" i="2"/>
  <c r="M174" i="1"/>
  <c r="M344" i="1"/>
  <c r="M345" i="1" s="1"/>
  <c r="N343" i="1" s="1"/>
  <c r="P78" i="1"/>
  <c r="O171" i="1"/>
  <c r="O48" i="1" s="1"/>
  <c r="O45" i="1" s="1"/>
  <c r="O27" i="1" s="1"/>
  <c r="K155" i="1"/>
  <c r="P306" i="1"/>
  <c r="Q283" i="1"/>
  <c r="O108" i="1"/>
  <c r="O86" i="1" s="1"/>
  <c r="P109" i="1"/>
  <c r="N380" i="1" l="1"/>
  <c r="N362" i="1"/>
  <c r="P73" i="2"/>
  <c r="P375" i="1"/>
  <c r="O374" i="1"/>
  <c r="J156" i="1"/>
  <c r="P246" i="1"/>
  <c r="P220" i="1"/>
  <c r="P208" i="1"/>
  <c r="Q216" i="1"/>
  <c r="J159" i="1"/>
  <c r="J160" i="1"/>
  <c r="J161" i="1"/>
  <c r="L139" i="1"/>
  <c r="O334" i="1"/>
  <c r="I160" i="1"/>
  <c r="M168" i="1"/>
  <c r="M183" i="1" s="1"/>
  <c r="M69" i="1" s="1"/>
  <c r="M66" i="1" s="1"/>
  <c r="M34" i="1" s="1"/>
  <c r="O32" i="2" s="1"/>
  <c r="L59" i="3"/>
  <c r="L60" i="3" s="1"/>
  <c r="L56" i="3"/>
  <c r="Q1055" i="1"/>
  <c r="R57" i="3"/>
  <c r="R10" i="3" s="1"/>
  <c r="T121" i="2"/>
  <c r="S175" i="2"/>
  <c r="K38" i="3"/>
  <c r="J418" i="1"/>
  <c r="K39" i="3" s="1"/>
  <c r="I186" i="2"/>
  <c r="K56" i="3"/>
  <c r="K59" i="3"/>
  <c r="K60" i="3" s="1"/>
  <c r="N121" i="1"/>
  <c r="Q409" i="1"/>
  <c r="R180" i="2"/>
  <c r="R179" i="2" s="1"/>
  <c r="S123" i="2"/>
  <c r="S94" i="2"/>
  <c r="R140" i="2"/>
  <c r="T181" i="2"/>
  <c r="U120" i="2"/>
  <c r="U181" i="2" s="1"/>
  <c r="S151" i="2"/>
  <c r="T95" i="2"/>
  <c r="T100" i="2"/>
  <c r="S161" i="2"/>
  <c r="S177" i="2"/>
  <c r="T124" i="2"/>
  <c r="N130" i="1"/>
  <c r="P411" i="1"/>
  <c r="I161" i="1"/>
  <c r="P30" i="2"/>
  <c r="I156" i="1"/>
  <c r="I159" i="1"/>
  <c r="K160" i="1"/>
  <c r="N169" i="1"/>
  <c r="U112" i="2"/>
  <c r="U147" i="2" s="1"/>
  <c r="T147" i="2"/>
  <c r="N129" i="1"/>
  <c r="N126" i="1"/>
  <c r="N124" i="1"/>
  <c r="N128" i="1"/>
  <c r="N125" i="1"/>
  <c r="O179" i="1"/>
  <c r="O62" i="1" s="1"/>
  <c r="O59" i="1" s="1"/>
  <c r="O30" i="1" s="1"/>
  <c r="P84" i="1"/>
  <c r="O177" i="1"/>
  <c r="O73" i="1"/>
  <c r="O74" i="1" s="1"/>
  <c r="K161" i="1"/>
  <c r="L32" i="2"/>
  <c r="Q312" i="1"/>
  <c r="K159" i="1"/>
  <c r="K156" i="1"/>
  <c r="S286" i="1"/>
  <c r="Q47" i="1"/>
  <c r="R46" i="1"/>
  <c r="P29" i="2"/>
  <c r="N25" i="1"/>
  <c r="L29" i="2"/>
  <c r="P87" i="1"/>
  <c r="Q306" i="1"/>
  <c r="L183" i="1"/>
  <c r="L69" i="1" s="1"/>
  <c r="L66" i="1" s="1"/>
  <c r="L34" i="1" s="1"/>
  <c r="N261" i="1"/>
  <c r="O262" i="1"/>
  <c r="I34" i="5"/>
  <c r="H35" i="5"/>
  <c r="P97" i="1"/>
  <c r="Q98" i="1"/>
  <c r="Q76" i="1" s="1"/>
  <c r="O68" i="1"/>
  <c r="P67" i="1"/>
  <c r="M142" i="1"/>
  <c r="M138" i="1"/>
  <c r="M144" i="1" s="1"/>
  <c r="Q30" i="2"/>
  <c r="M30" i="2"/>
  <c r="O95" i="1"/>
  <c r="O336" i="1" s="1"/>
  <c r="O331" i="1" s="1"/>
  <c r="P79" i="1"/>
  <c r="O172" i="1"/>
  <c r="O55" i="1" s="1"/>
  <c r="O52" i="1" s="1"/>
  <c r="O28" i="1" s="1"/>
  <c r="O254" i="1"/>
  <c r="N143" i="1"/>
  <c r="O41" i="1"/>
  <c r="O38" i="1" s="1"/>
  <c r="O26" i="1" s="1"/>
  <c r="P108" i="1"/>
  <c r="P86" i="1" s="1"/>
  <c r="Q109" i="1"/>
  <c r="P83" i="1"/>
  <c r="O176" i="1"/>
  <c r="O181" i="1"/>
  <c r="P88" i="1"/>
  <c r="P279" i="1"/>
  <c r="Q77" i="1"/>
  <c r="P170" i="1"/>
  <c r="O40" i="1"/>
  <c r="P39" i="1"/>
  <c r="R283" i="1"/>
  <c r="S153" i="2"/>
  <c r="T111" i="2"/>
  <c r="S266" i="1"/>
  <c r="T152" i="2"/>
  <c r="U109" i="2"/>
  <c r="U152" i="2" s="1"/>
  <c r="O275" i="1"/>
  <c r="R236" i="1"/>
  <c r="N136" i="1"/>
  <c r="N142" i="1" s="1"/>
  <c r="O137" i="1"/>
  <c r="Q78" i="1"/>
  <c r="P171" i="1"/>
  <c r="P48" i="1" s="1"/>
  <c r="P45" i="1" s="1"/>
  <c r="P27" i="1" s="1"/>
  <c r="R30" i="2" s="1"/>
  <c r="N132" i="1"/>
  <c r="N120" i="1"/>
  <c r="N119" i="1"/>
  <c r="N118" i="1"/>
  <c r="P81" i="1"/>
  <c r="P75" i="1" s="1"/>
  <c r="O303" i="1"/>
  <c r="P82" i="1"/>
  <c r="O175" i="1"/>
  <c r="N31" i="1"/>
  <c r="N32" i="1" s="1"/>
  <c r="P233" i="1"/>
  <c r="N123" i="1"/>
  <c r="N223" i="1"/>
  <c r="O54" i="1"/>
  <c r="P53" i="1"/>
  <c r="L31" i="2"/>
  <c r="P31" i="2"/>
  <c r="P212" i="1"/>
  <c r="S1045" i="1"/>
  <c r="Q309" i="1"/>
  <c r="P258" i="1"/>
  <c r="P271" i="1"/>
  <c r="Q60" i="1"/>
  <c r="P61" i="1"/>
  <c r="N344" i="1"/>
  <c r="N345" i="1" s="1"/>
  <c r="O343" i="1" s="1"/>
  <c r="N174" i="1"/>
  <c r="O318" i="1"/>
  <c r="R90" i="1"/>
  <c r="O28" i="2"/>
  <c r="K28" i="2"/>
  <c r="Q73" i="2" l="1"/>
  <c r="O362" i="1"/>
  <c r="Q375" i="1"/>
  <c r="P374" i="1"/>
  <c r="N381" i="1"/>
  <c r="O379" i="1" s="1"/>
  <c r="Q208" i="1"/>
  <c r="Q246" i="1"/>
  <c r="R216" i="1"/>
  <c r="Q220" i="1"/>
  <c r="P334" i="1"/>
  <c r="S1055" i="1"/>
  <c r="T57" i="3"/>
  <c r="S57" i="3"/>
  <c r="S10" i="3" s="1"/>
  <c r="S15" i="3" s="1"/>
  <c r="R1055" i="1"/>
  <c r="N185" i="2"/>
  <c r="K417" i="1"/>
  <c r="T175" i="2"/>
  <c r="U121" i="2"/>
  <c r="U175" i="2" s="1"/>
  <c r="O125" i="1"/>
  <c r="R409" i="1"/>
  <c r="S140" i="2"/>
  <c r="T94" i="2"/>
  <c r="T123" i="2"/>
  <c r="S180" i="2"/>
  <c r="S179" i="2" s="1"/>
  <c r="T161" i="2"/>
  <c r="U100" i="2"/>
  <c r="U161" i="2" s="1"/>
  <c r="U95" i="2"/>
  <c r="U151" i="2" s="1"/>
  <c r="T151" i="2"/>
  <c r="U124" i="2"/>
  <c r="U177" i="2" s="1"/>
  <c r="T177" i="2"/>
  <c r="M21" i="1"/>
  <c r="N138" i="1"/>
  <c r="N144" i="1" s="1"/>
  <c r="N145" i="1" s="1"/>
  <c r="Q411" i="1"/>
  <c r="N168" i="1"/>
  <c r="N183" i="1" s="1"/>
  <c r="N69" i="1" s="1"/>
  <c r="N66" i="1" s="1"/>
  <c r="N34" i="1" s="1"/>
  <c r="P32" i="2" s="1"/>
  <c r="O31" i="1"/>
  <c r="O32" i="1" s="1"/>
  <c r="O130" i="1"/>
  <c r="O121" i="1"/>
  <c r="O174" i="1"/>
  <c r="O123" i="1"/>
  <c r="P73" i="1"/>
  <c r="O129" i="1"/>
  <c r="P95" i="1"/>
  <c r="O169" i="1"/>
  <c r="Q31" i="2"/>
  <c r="M31" i="2"/>
  <c r="O344" i="1"/>
  <c r="O345" i="1" s="1"/>
  <c r="P343" i="1" s="1"/>
  <c r="Q271" i="1"/>
  <c r="S236" i="1"/>
  <c r="Q170" i="1"/>
  <c r="R77" i="1"/>
  <c r="R309" i="1"/>
  <c r="S46" i="1"/>
  <c r="R47" i="1"/>
  <c r="P181" i="1"/>
  <c r="Q88" i="1"/>
  <c r="O261" i="1"/>
  <c r="P262" i="1"/>
  <c r="O126" i="1"/>
  <c r="Q212" i="1"/>
  <c r="R78" i="1"/>
  <c r="Q171" i="1"/>
  <c r="Q48" i="1" s="1"/>
  <c r="Q45" i="1" s="1"/>
  <c r="Q27" i="1" s="1"/>
  <c r="S30" i="2" s="1"/>
  <c r="S283" i="1"/>
  <c r="Q84" i="1"/>
  <c r="P177" i="1"/>
  <c r="P303" i="1"/>
  <c r="P176" i="1"/>
  <c r="Q83" i="1"/>
  <c r="O25" i="1"/>
  <c r="M29" i="2"/>
  <c r="Q29" i="2"/>
  <c r="Q108" i="1"/>
  <c r="Q86" i="1" s="1"/>
  <c r="R109" i="1"/>
  <c r="S90" i="1"/>
  <c r="Q97" i="1"/>
  <c r="R98" i="1"/>
  <c r="R76" i="1" s="1"/>
  <c r="R312" i="1"/>
  <c r="Q233" i="1"/>
  <c r="Q279" i="1"/>
  <c r="L28" i="2"/>
  <c r="P28" i="2"/>
  <c r="P318" i="1"/>
  <c r="J34" i="5"/>
  <c r="I35" i="5"/>
  <c r="Q82" i="1"/>
  <c r="P175" i="1"/>
  <c r="Q79" i="1"/>
  <c r="P172" i="1"/>
  <c r="P55" i="1" s="1"/>
  <c r="P52" i="1" s="1"/>
  <c r="P28" i="1" s="1"/>
  <c r="R31" i="2" s="1"/>
  <c r="O132" i="1"/>
  <c r="O118" i="1"/>
  <c r="O120" i="1"/>
  <c r="O119" i="1"/>
  <c r="O124" i="1"/>
  <c r="O143" i="1"/>
  <c r="P54" i="1"/>
  <c r="Q53" i="1"/>
  <c r="N32" i="2"/>
  <c r="L21" i="1"/>
  <c r="M32" i="2"/>
  <c r="P254" i="1"/>
  <c r="U111" i="2"/>
  <c r="U153" i="2" s="1"/>
  <c r="T153" i="2"/>
  <c r="O136" i="1"/>
  <c r="O142" i="1" s="1"/>
  <c r="P137" i="1"/>
  <c r="Q61" i="1"/>
  <c r="R60" i="1"/>
  <c r="Q39" i="1"/>
  <c r="P40" i="1"/>
  <c r="M139" i="1"/>
  <c r="L166" i="1"/>
  <c r="O128" i="1"/>
  <c r="M145" i="1"/>
  <c r="P179" i="1"/>
  <c r="P62" i="1" s="1"/>
  <c r="P59" i="1" s="1"/>
  <c r="P30" i="1" s="1"/>
  <c r="P275" i="1"/>
  <c r="R306" i="1"/>
  <c r="Q258" i="1"/>
  <c r="O223" i="1"/>
  <c r="Q81" i="1"/>
  <c r="P41" i="1"/>
  <c r="P38" i="1" s="1"/>
  <c r="P26" i="1" s="1"/>
  <c r="P68" i="1"/>
  <c r="Q67" i="1"/>
  <c r="Q87" i="1"/>
  <c r="M166" i="1"/>
  <c r="O380" i="1" l="1"/>
  <c r="P362" i="1"/>
  <c r="R73" i="2"/>
  <c r="R375" i="1"/>
  <c r="Q374" i="1"/>
  <c r="M333" i="1"/>
  <c r="M329" i="1" s="1"/>
  <c r="M330" i="1" s="1"/>
  <c r="M215" i="1"/>
  <c r="M245" i="1"/>
  <c r="M207" i="1"/>
  <c r="M219" i="1"/>
  <c r="M224" i="1"/>
  <c r="L333" i="1"/>
  <c r="L329" i="1" s="1"/>
  <c r="L330" i="1" s="1"/>
  <c r="L215" i="1"/>
  <c r="L245" i="1"/>
  <c r="L219" i="1"/>
  <c r="L207" i="1"/>
  <c r="L224" i="1"/>
  <c r="R208" i="1"/>
  <c r="R220" i="1"/>
  <c r="S216" i="1"/>
  <c r="R246" i="1"/>
  <c r="Q334" i="1"/>
  <c r="P136" i="1"/>
  <c r="P138" i="1" s="1"/>
  <c r="P144" i="1" s="1"/>
  <c r="P336" i="1"/>
  <c r="P331" i="1" s="1"/>
  <c r="P120" i="1"/>
  <c r="P74" i="1"/>
  <c r="L1061" i="1"/>
  <c r="T10" i="3"/>
  <c r="L38" i="3"/>
  <c r="K418" i="1"/>
  <c r="L39" i="3" s="1"/>
  <c r="O168" i="1"/>
  <c r="O183" i="1" s="1"/>
  <c r="O69" i="1" s="1"/>
  <c r="O66" i="1" s="1"/>
  <c r="O34" i="1" s="1"/>
  <c r="Q32" i="2" s="1"/>
  <c r="M1061" i="1"/>
  <c r="P124" i="1"/>
  <c r="S409" i="1"/>
  <c r="M232" i="1"/>
  <c r="M278" i="1"/>
  <c r="M257" i="1"/>
  <c r="M253" i="1"/>
  <c r="M270" i="1"/>
  <c r="M287" i="1"/>
  <c r="M267" i="1"/>
  <c r="M282" i="1"/>
  <c r="O25" i="2"/>
  <c r="O23" i="2" s="1"/>
  <c r="M153" i="1"/>
  <c r="M263" i="1"/>
  <c r="M154" i="1"/>
  <c r="M274" i="1"/>
  <c r="M155" i="1"/>
  <c r="T180" i="2"/>
  <c r="T179" i="2" s="1"/>
  <c r="U123" i="2"/>
  <c r="U180" i="2" s="1"/>
  <c r="U179" i="2" s="1"/>
  <c r="U94" i="2"/>
  <c r="U140" i="2" s="1"/>
  <c r="T140" i="2"/>
  <c r="M237" i="1"/>
  <c r="R411" i="1"/>
  <c r="N139" i="1"/>
  <c r="P119" i="1"/>
  <c r="P129" i="1"/>
  <c r="P130" i="1"/>
  <c r="P126" i="1"/>
  <c r="P123" i="1"/>
  <c r="P125" i="1"/>
  <c r="P118" i="1"/>
  <c r="P132" i="1"/>
  <c r="Q95" i="1"/>
  <c r="P143" i="1"/>
  <c r="P128" i="1"/>
  <c r="Q137" i="1"/>
  <c r="P121" i="1"/>
  <c r="P174" i="1"/>
  <c r="P344" i="1"/>
  <c r="R79" i="1"/>
  <c r="Q172" i="1"/>
  <c r="Q55" i="1" s="1"/>
  <c r="Q52" i="1" s="1"/>
  <c r="Q28" i="1" s="1"/>
  <c r="S31" i="2" s="1"/>
  <c r="P223" i="1"/>
  <c r="S47" i="1"/>
  <c r="R212" i="1"/>
  <c r="R83" i="1"/>
  <c r="Q176" i="1"/>
  <c r="K34" i="5"/>
  <c r="K35" i="5" s="1"/>
  <c r="J35" i="5"/>
  <c r="N166" i="1"/>
  <c r="Q303" i="1"/>
  <c r="R87" i="1"/>
  <c r="S77" i="1"/>
  <c r="R170" i="1"/>
  <c r="Q275" i="1"/>
  <c r="Q254" i="1"/>
  <c r="P261" i="1"/>
  <c r="Q262" i="1"/>
  <c r="Q41" i="1"/>
  <c r="Q38" i="1" s="1"/>
  <c r="Q26" i="1" s="1"/>
  <c r="Q68" i="1"/>
  <c r="R67" i="1"/>
  <c r="Q177" i="1"/>
  <c r="R84" i="1"/>
  <c r="Q28" i="2"/>
  <c r="M28" i="2"/>
  <c r="S312" i="1"/>
  <c r="S78" i="1"/>
  <c r="R171" i="1"/>
  <c r="R48" i="1" s="1"/>
  <c r="R45" i="1" s="1"/>
  <c r="R27" i="1" s="1"/>
  <c r="T30" i="2" s="1"/>
  <c r="R258" i="1"/>
  <c r="R53" i="1"/>
  <c r="Q54" i="1"/>
  <c r="S306" i="1"/>
  <c r="Q318" i="1"/>
  <c r="P25" i="1"/>
  <c r="R29" i="2"/>
  <c r="S109" i="1"/>
  <c r="S108" i="1" s="1"/>
  <c r="R108" i="1"/>
  <c r="R86" i="1" s="1"/>
  <c r="R88" i="1"/>
  <c r="Q181" i="1"/>
  <c r="R81" i="1"/>
  <c r="R97" i="1"/>
  <c r="S98" i="1"/>
  <c r="S97" i="1" s="1"/>
  <c r="R271" i="1"/>
  <c r="Q175" i="1"/>
  <c r="R82" i="1"/>
  <c r="P31" i="1"/>
  <c r="P32" i="1" s="1"/>
  <c r="S309" i="1"/>
  <c r="N21" i="1"/>
  <c r="P169" i="1"/>
  <c r="L287" i="1"/>
  <c r="L267" i="1"/>
  <c r="L237" i="1"/>
  <c r="N25" i="2"/>
  <c r="L282" i="1"/>
  <c r="L278" i="1"/>
  <c r="L257" i="1"/>
  <c r="L270" i="1"/>
  <c r="L232" i="1"/>
  <c r="L274" i="1"/>
  <c r="L153" i="1"/>
  <c r="L253" i="1"/>
  <c r="L154" i="1"/>
  <c r="L263" i="1"/>
  <c r="L155" i="1"/>
  <c r="O138" i="1"/>
  <c r="O144" i="1" s="1"/>
  <c r="R279" i="1"/>
  <c r="R39" i="1"/>
  <c r="Q40" i="1"/>
  <c r="R233" i="1"/>
  <c r="Q75" i="1"/>
  <c r="Q73" i="1" s="1"/>
  <c r="Q74" i="1" s="1"/>
  <c r="Q179" i="1"/>
  <c r="Q62" i="1" s="1"/>
  <c r="Q59" i="1" s="1"/>
  <c r="Q30" i="1" s="1"/>
  <c r="R61" i="1"/>
  <c r="S60" i="1"/>
  <c r="S375" i="1" l="1"/>
  <c r="S374" i="1" s="1"/>
  <c r="R374" i="1"/>
  <c r="S73" i="2"/>
  <c r="Q362" i="1"/>
  <c r="O381" i="1"/>
  <c r="P379" i="1" s="1"/>
  <c r="M324" i="1"/>
  <c r="N333" i="1"/>
  <c r="N329" i="1" s="1"/>
  <c r="N324" i="1" s="1"/>
  <c r="N215" i="1"/>
  <c r="N207" i="1"/>
  <c r="N219" i="1"/>
  <c r="N245" i="1"/>
  <c r="N224" i="1"/>
  <c r="L324" i="1"/>
  <c r="S220" i="1"/>
  <c r="S246" i="1"/>
  <c r="S208" i="1"/>
  <c r="R334" i="1"/>
  <c r="O21" i="1"/>
  <c r="P142" i="1"/>
  <c r="P145" i="1" s="1"/>
  <c r="O166" i="1"/>
  <c r="R137" i="1"/>
  <c r="Q336" i="1"/>
  <c r="Q331" i="1" s="1"/>
  <c r="N1061" i="1"/>
  <c r="M295" i="1"/>
  <c r="M308" i="1" s="1"/>
  <c r="O92" i="2" s="1"/>
  <c r="N20" i="3"/>
  <c r="Q126" i="1"/>
  <c r="M159" i="1"/>
  <c r="M161" i="1"/>
  <c r="M369" i="1"/>
  <c r="M363" i="1" s="1"/>
  <c r="M1039" i="1" s="1"/>
  <c r="O263" i="1"/>
  <c r="M156" i="1"/>
  <c r="M160" i="1"/>
  <c r="Q128" i="1"/>
  <c r="S411" i="1"/>
  <c r="Q136" i="1"/>
  <c r="Q138" i="1" s="1"/>
  <c r="Q144" i="1" s="1"/>
  <c r="S76" i="1"/>
  <c r="P168" i="1"/>
  <c r="P183" i="1" s="1"/>
  <c r="P69" i="1" s="1"/>
  <c r="P66" i="1" s="1"/>
  <c r="P34" i="1" s="1"/>
  <c r="R32" i="2" s="1"/>
  <c r="Q123" i="1"/>
  <c r="O21" i="2"/>
  <c r="Q130" i="1"/>
  <c r="Q125" i="1"/>
  <c r="P139" i="1"/>
  <c r="O155" i="1"/>
  <c r="O145" i="1"/>
  <c r="L160" i="1"/>
  <c r="R275" i="1"/>
  <c r="N23" i="2"/>
  <c r="N26" i="2"/>
  <c r="L369" i="1"/>
  <c r="L363" i="1" s="1"/>
  <c r="R41" i="1"/>
  <c r="R38" i="1" s="1"/>
  <c r="R26" i="1" s="1"/>
  <c r="S61" i="1"/>
  <c r="Q132" i="1"/>
  <c r="Q118" i="1"/>
  <c r="Q120" i="1"/>
  <c r="Q119" i="1"/>
  <c r="Q143" i="1"/>
  <c r="S258" i="1"/>
  <c r="S84" i="1"/>
  <c r="R177" i="1"/>
  <c r="S170" i="1"/>
  <c r="R176" i="1"/>
  <c r="S83" i="1"/>
  <c r="L161" i="1"/>
  <c r="Q31" i="1"/>
  <c r="Q32" i="1" s="1"/>
  <c r="S88" i="1"/>
  <c r="R181" i="1"/>
  <c r="Q223" i="1"/>
  <c r="S82" i="1"/>
  <c r="R175" i="1"/>
  <c r="Q129" i="1"/>
  <c r="S67" i="1"/>
  <c r="R68" i="1"/>
  <c r="Q121" i="1"/>
  <c r="O26" i="2"/>
  <c r="S39" i="1"/>
  <c r="R40" i="1"/>
  <c r="R28" i="2"/>
  <c r="Q25" i="1"/>
  <c r="S29" i="2"/>
  <c r="S53" i="1"/>
  <c r="R54" i="1"/>
  <c r="S233" i="1"/>
  <c r="Q174" i="1"/>
  <c r="S87" i="1"/>
  <c r="O139" i="1"/>
  <c r="Q124" i="1"/>
  <c r="S171" i="1"/>
  <c r="S48" i="1" s="1"/>
  <c r="S45" i="1" s="1"/>
  <c r="S27" i="1" s="1"/>
  <c r="U30" i="2" s="1"/>
  <c r="L159" i="1"/>
  <c r="R303" i="1"/>
  <c r="L156" i="1"/>
  <c r="S271" i="1"/>
  <c r="S95" i="1"/>
  <c r="Q169" i="1"/>
  <c r="R95" i="1"/>
  <c r="R336" i="1" s="1"/>
  <c r="R331" i="1" s="1"/>
  <c r="R262" i="1"/>
  <c r="Q261" i="1"/>
  <c r="P345" i="1"/>
  <c r="Q343" i="1" s="1"/>
  <c r="S79" i="1"/>
  <c r="R172" i="1"/>
  <c r="R55" i="1" s="1"/>
  <c r="R52" i="1" s="1"/>
  <c r="R28" i="1" s="1"/>
  <c r="T31" i="2" s="1"/>
  <c r="R318" i="1"/>
  <c r="S212" i="1"/>
  <c r="O153" i="1"/>
  <c r="Q25" i="2"/>
  <c r="O237" i="1"/>
  <c r="O282" i="1"/>
  <c r="S279" i="1"/>
  <c r="P25" i="2"/>
  <c r="N267" i="1"/>
  <c r="N287" i="1"/>
  <c r="N282" i="1"/>
  <c r="N237" i="1"/>
  <c r="N232" i="1"/>
  <c r="N257" i="1"/>
  <c r="N278" i="1"/>
  <c r="N270" i="1"/>
  <c r="N274" i="1"/>
  <c r="N253" i="1"/>
  <c r="N155" i="1"/>
  <c r="N153" i="1"/>
  <c r="N263" i="1"/>
  <c r="N154" i="1"/>
  <c r="R179" i="1"/>
  <c r="R62" i="1" s="1"/>
  <c r="R59" i="1" s="1"/>
  <c r="R30" i="1" s="1"/>
  <c r="S86" i="1"/>
  <c r="S81" i="1"/>
  <c r="R254" i="1"/>
  <c r="R75" i="1"/>
  <c r="R73" i="1" s="1"/>
  <c r="R74" i="1" s="1"/>
  <c r="P380" i="1" l="1"/>
  <c r="N330" i="1"/>
  <c r="R362" i="1"/>
  <c r="T73" i="2"/>
  <c r="S362" i="1"/>
  <c r="U73" i="2"/>
  <c r="O267" i="1"/>
  <c r="O215" i="1"/>
  <c r="O245" i="1"/>
  <c r="O219" i="1"/>
  <c r="O207" i="1"/>
  <c r="O224" i="1"/>
  <c r="O154" i="1"/>
  <c r="O161" i="1" s="1"/>
  <c r="O253" i="1"/>
  <c r="O257" i="1"/>
  <c r="O232" i="1"/>
  <c r="O278" i="1"/>
  <c r="O270" i="1"/>
  <c r="O1061" i="1"/>
  <c r="O333" i="1"/>
  <c r="O329" i="1" s="1"/>
  <c r="O274" i="1"/>
  <c r="O287" i="1"/>
  <c r="S334" i="1"/>
  <c r="S136" i="1"/>
  <c r="S336" i="1"/>
  <c r="S331" i="1" s="1"/>
  <c r="M294" i="1"/>
  <c r="M314" i="1" s="1"/>
  <c r="O90" i="2" s="1"/>
  <c r="N19" i="3"/>
  <c r="N22" i="3" s="1"/>
  <c r="L295" i="1"/>
  <c r="L308" i="1" s="1"/>
  <c r="N92" i="2" s="1"/>
  <c r="M20" i="3"/>
  <c r="V20" i="3" s="1"/>
  <c r="R130" i="1"/>
  <c r="S75" i="1"/>
  <c r="S73" i="1" s="1"/>
  <c r="S74" i="1" s="1"/>
  <c r="Q142" i="1"/>
  <c r="Q145" i="1" s="1"/>
  <c r="P166" i="1"/>
  <c r="P21" i="1"/>
  <c r="N160" i="1"/>
  <c r="R169" i="1"/>
  <c r="R125" i="1"/>
  <c r="R128" i="1"/>
  <c r="R121" i="1"/>
  <c r="R126" i="1"/>
  <c r="R124" i="1"/>
  <c r="R129" i="1"/>
  <c r="N156" i="1"/>
  <c r="R123" i="1"/>
  <c r="Q168" i="1"/>
  <c r="Q183" i="1" s="1"/>
  <c r="Q69" i="1" s="1"/>
  <c r="Q66" i="1" s="1"/>
  <c r="Q34" i="1" s="1"/>
  <c r="S32" i="2" s="1"/>
  <c r="R25" i="1"/>
  <c r="T29" i="2"/>
  <c r="Q139" i="1"/>
  <c r="S262" i="1"/>
  <c r="S261" i="1" s="1"/>
  <c r="R261" i="1"/>
  <c r="S41" i="1"/>
  <c r="S38" i="1" s="1"/>
  <c r="S26" i="1" s="1"/>
  <c r="R174" i="1"/>
  <c r="Q344" i="1"/>
  <c r="Q345" i="1" s="1"/>
  <c r="R343" i="1" s="1"/>
  <c r="R136" i="1"/>
  <c r="R142" i="1" s="1"/>
  <c r="S137" i="1"/>
  <c r="S28" i="2"/>
  <c r="S179" i="1"/>
  <c r="S62" i="1" s="1"/>
  <c r="S59" i="1" s="1"/>
  <c r="S30" i="1" s="1"/>
  <c r="S318" i="1"/>
  <c r="R143" i="1"/>
  <c r="N21" i="2"/>
  <c r="M19" i="3" s="1"/>
  <c r="V19" i="3" s="1"/>
  <c r="S254" i="1"/>
  <c r="L1039" i="1"/>
  <c r="L1040" i="1" s="1"/>
  <c r="S303" i="1"/>
  <c r="S176" i="1"/>
  <c r="S223" i="1"/>
  <c r="R223" i="1"/>
  <c r="Q23" i="2"/>
  <c r="Q26" i="2"/>
  <c r="O369" i="1"/>
  <c r="O363" i="1" s="1"/>
  <c r="O1039" i="1" s="1"/>
  <c r="N159" i="1"/>
  <c r="S181" i="1"/>
  <c r="S275" i="1"/>
  <c r="S68" i="1"/>
  <c r="S40" i="1"/>
  <c r="S175" i="1"/>
  <c r="S177" i="1"/>
  <c r="R132" i="1"/>
  <c r="R118" i="1"/>
  <c r="R120" i="1"/>
  <c r="R119" i="1"/>
  <c r="N161" i="1"/>
  <c r="P26" i="2"/>
  <c r="P23" i="2"/>
  <c r="N369" i="1"/>
  <c r="N363" i="1" s="1"/>
  <c r="N1039" i="1" s="1"/>
  <c r="S172" i="1"/>
  <c r="S55" i="1" s="1"/>
  <c r="S52" i="1" s="1"/>
  <c r="S28" i="1" s="1"/>
  <c r="U31" i="2" s="1"/>
  <c r="S54" i="1"/>
  <c r="R31" i="1"/>
  <c r="R32" i="1" s="1"/>
  <c r="P381" i="1" l="1"/>
  <c r="Q379" i="1" s="1"/>
  <c r="O159" i="1"/>
  <c r="P215" i="1"/>
  <c r="P207" i="1"/>
  <c r="P245" i="1"/>
  <c r="P219" i="1"/>
  <c r="P224" i="1"/>
  <c r="O160" i="1"/>
  <c r="O156" i="1"/>
  <c r="N144" i="2"/>
  <c r="O330" i="1"/>
  <c r="O324" i="1"/>
  <c r="P333" i="1"/>
  <c r="P329" i="1" s="1"/>
  <c r="P282" i="1"/>
  <c r="P237" i="1"/>
  <c r="N21" i="3"/>
  <c r="M317" i="1"/>
  <c r="O113" i="2" s="1"/>
  <c r="M302" i="1"/>
  <c r="O89" i="2" s="1"/>
  <c r="O144" i="2"/>
  <c r="M22" i="3"/>
  <c r="V22" i="3" s="1"/>
  <c r="O295" i="1"/>
  <c r="O308" i="1" s="1"/>
  <c r="Q92" i="2" s="1"/>
  <c r="P20" i="3"/>
  <c r="M21" i="3"/>
  <c r="N295" i="1"/>
  <c r="N308" i="1" s="1"/>
  <c r="P92" i="2" s="1"/>
  <c r="O20" i="3"/>
  <c r="W20" i="3" s="1"/>
  <c r="R25" i="2"/>
  <c r="R23" i="2" s="1"/>
  <c r="P1061" i="1"/>
  <c r="P278" i="1"/>
  <c r="S125" i="1"/>
  <c r="P154" i="1"/>
  <c r="P153" i="1"/>
  <c r="P232" i="1"/>
  <c r="R168" i="1"/>
  <c r="R183" i="1" s="1"/>
  <c r="R69" i="1" s="1"/>
  <c r="R66" i="1" s="1"/>
  <c r="R34" i="1" s="1"/>
  <c r="T32" i="2" s="1"/>
  <c r="P263" i="1"/>
  <c r="P21" i="2"/>
  <c r="P274" i="1"/>
  <c r="P267" i="1"/>
  <c r="S130" i="1"/>
  <c r="P287" i="1"/>
  <c r="P253" i="1"/>
  <c r="S126" i="1"/>
  <c r="P270" i="1"/>
  <c r="P155" i="1"/>
  <c r="P257" i="1"/>
  <c r="S120" i="1"/>
  <c r="Q21" i="2"/>
  <c r="P19" i="3" s="1"/>
  <c r="S121" i="1"/>
  <c r="S118" i="1"/>
  <c r="S119" i="1"/>
  <c r="S124" i="1"/>
  <c r="S128" i="1"/>
  <c r="S129" i="1"/>
  <c r="S132" i="1"/>
  <c r="S138" i="1"/>
  <c r="S144" i="1" s="1"/>
  <c r="S123" i="1"/>
  <c r="S143" i="1"/>
  <c r="S142" i="1"/>
  <c r="R138" i="1"/>
  <c r="R144" i="1" s="1"/>
  <c r="R145" i="1" s="1"/>
  <c r="Q21" i="1"/>
  <c r="Q166" i="1"/>
  <c r="S25" i="1"/>
  <c r="U29" i="2"/>
  <c r="M1036" i="1"/>
  <c r="M1047" i="1" s="1"/>
  <c r="L1042" i="1"/>
  <c r="N107" i="2" s="1"/>
  <c r="M1037" i="1"/>
  <c r="M1056" i="1" s="1"/>
  <c r="L1044" i="1"/>
  <c r="N116" i="2" s="1"/>
  <c r="S174" i="1"/>
  <c r="R344" i="1"/>
  <c r="N22" i="2"/>
  <c r="L294" i="1"/>
  <c r="O22" i="2"/>
  <c r="S31" i="1"/>
  <c r="S32" i="1" s="1"/>
  <c r="S169" i="1"/>
  <c r="T28" i="2"/>
  <c r="Q380" i="1" l="1"/>
  <c r="Q333" i="1"/>
  <c r="Q329" i="1" s="1"/>
  <c r="Q330" i="1" s="1"/>
  <c r="Q215" i="1"/>
  <c r="Q245" i="1"/>
  <c r="Q207" i="1"/>
  <c r="Q219" i="1"/>
  <c r="Q224" i="1"/>
  <c r="P330" i="1"/>
  <c r="P324" i="1"/>
  <c r="R166" i="1"/>
  <c r="P22" i="3"/>
  <c r="M23" i="3"/>
  <c r="R26" i="2"/>
  <c r="N23" i="3"/>
  <c r="Q144" i="2"/>
  <c r="P295" i="1"/>
  <c r="P308" i="1" s="1"/>
  <c r="R92" i="2" s="1"/>
  <c r="Q20" i="3"/>
  <c r="P144" i="2"/>
  <c r="R21" i="1"/>
  <c r="N294" i="1"/>
  <c r="N314" i="1" s="1"/>
  <c r="P90" i="2" s="1"/>
  <c r="P150" i="2" s="1"/>
  <c r="O19" i="3"/>
  <c r="O21" i="3" s="1"/>
  <c r="P21" i="3"/>
  <c r="P369" i="1"/>
  <c r="P363" i="1" s="1"/>
  <c r="Q1061" i="1"/>
  <c r="P22" i="2"/>
  <c r="S145" i="1"/>
  <c r="P161" i="1"/>
  <c r="Q22" i="2"/>
  <c r="Q263" i="1"/>
  <c r="O294" i="1"/>
  <c r="O302" i="1" s="1"/>
  <c r="Q89" i="2" s="1"/>
  <c r="P159" i="1"/>
  <c r="P156" i="1"/>
  <c r="P160" i="1"/>
  <c r="S139" i="1"/>
  <c r="R21" i="2"/>
  <c r="Q270" i="1"/>
  <c r="R139" i="1"/>
  <c r="Q282" i="1"/>
  <c r="Q237" i="1"/>
  <c r="Q287" i="1"/>
  <c r="Q153" i="1"/>
  <c r="Q267" i="1"/>
  <c r="Q155" i="1"/>
  <c r="Q274" i="1"/>
  <c r="Q278" i="1"/>
  <c r="S25" i="2"/>
  <c r="Q257" i="1"/>
  <c r="Q253" i="1"/>
  <c r="Q154" i="1"/>
  <c r="Q232" i="1"/>
  <c r="S168" i="1"/>
  <c r="L314" i="1"/>
  <c r="N90" i="2" s="1"/>
  <c r="L317" i="1"/>
  <c r="N113" i="2" s="1"/>
  <c r="L302" i="1"/>
  <c r="N89" i="2" s="1"/>
  <c r="N134" i="2"/>
  <c r="O58" i="2"/>
  <c r="M1040" i="1"/>
  <c r="R345" i="1"/>
  <c r="S343" i="1" s="1"/>
  <c r="U28" i="2"/>
  <c r="Q324" i="1" l="1"/>
  <c r="P1039" i="1"/>
  <c r="Q381" i="1"/>
  <c r="R379" i="1" s="1"/>
  <c r="R215" i="1"/>
  <c r="R245" i="1"/>
  <c r="R207" i="1"/>
  <c r="R219" i="1"/>
  <c r="R224" i="1"/>
  <c r="R144" i="2"/>
  <c r="T25" i="2"/>
  <c r="R369" i="1" s="1"/>
  <c r="R363" i="1" s="1"/>
  <c r="R1039" i="1" s="1"/>
  <c r="R333" i="1"/>
  <c r="R329" i="1" s="1"/>
  <c r="R154" i="1"/>
  <c r="R155" i="1"/>
  <c r="R232" i="1"/>
  <c r="R270" i="1"/>
  <c r="R257" i="1"/>
  <c r="O22" i="3"/>
  <c r="W22" i="3" s="1"/>
  <c r="W19" i="3"/>
  <c r="R253" i="1"/>
  <c r="R278" i="1"/>
  <c r="N317" i="1"/>
  <c r="P113" i="2" s="1"/>
  <c r="P154" i="2" s="1"/>
  <c r="P149" i="2" s="1"/>
  <c r="O46" i="3" s="1"/>
  <c r="R282" i="1"/>
  <c r="R1061" i="1"/>
  <c r="N302" i="1"/>
  <c r="P89" i="2" s="1"/>
  <c r="P143" i="2" s="1"/>
  <c r="R153" i="1"/>
  <c r="R160" i="1" s="1"/>
  <c r="R263" i="1"/>
  <c r="R237" i="1"/>
  <c r="R287" i="1"/>
  <c r="R274" i="1"/>
  <c r="R267" i="1"/>
  <c r="R22" i="2"/>
  <c r="Q19" i="3"/>
  <c r="Q22" i="3" s="1"/>
  <c r="O314" i="1"/>
  <c r="Q90" i="2" s="1"/>
  <c r="Q150" i="2" s="1"/>
  <c r="O317" i="1"/>
  <c r="Q113" i="2" s="1"/>
  <c r="P294" i="1"/>
  <c r="P314" i="1" s="1"/>
  <c r="R90" i="2" s="1"/>
  <c r="S26" i="2"/>
  <c r="Q160" i="1"/>
  <c r="Q159" i="1"/>
  <c r="S23" i="2"/>
  <c r="Q369" i="1"/>
  <c r="Q363" i="1" s="1"/>
  <c r="Q1039" i="1" s="1"/>
  <c r="Q161" i="1"/>
  <c r="Q156" i="1"/>
  <c r="N150" i="2"/>
  <c r="O150" i="2"/>
  <c r="S183" i="1"/>
  <c r="S69" i="1" s="1"/>
  <c r="S66" i="1" s="1"/>
  <c r="S34" i="1" s="1"/>
  <c r="T23" i="2"/>
  <c r="T26" i="2"/>
  <c r="O135" i="2"/>
  <c r="N154" i="2"/>
  <c r="O154" i="2"/>
  <c r="N1037" i="1"/>
  <c r="N1056" i="1" s="1"/>
  <c r="N1036" i="1"/>
  <c r="N1047" i="1" s="1"/>
  <c r="M1042" i="1"/>
  <c r="O107" i="2" s="1"/>
  <c r="M1044" i="1"/>
  <c r="O116" i="2" s="1"/>
  <c r="S344" i="1"/>
  <c r="S345" i="1" s="1"/>
  <c r="N143" i="2"/>
  <c r="O143" i="2"/>
  <c r="R380" i="1" l="1"/>
  <c r="R381" i="1" s="1"/>
  <c r="S379" i="1" s="1"/>
  <c r="R330" i="1"/>
  <c r="R324" i="1"/>
  <c r="Q154" i="2"/>
  <c r="Q149" i="2" s="1"/>
  <c r="P46" i="3" s="1"/>
  <c r="R150" i="2"/>
  <c r="Q21" i="3"/>
  <c r="P23" i="3"/>
  <c r="O23" i="3"/>
  <c r="P302" i="1"/>
  <c r="R89" i="2" s="1"/>
  <c r="R143" i="2" s="1"/>
  <c r="R161" i="1"/>
  <c r="Q23" i="3"/>
  <c r="R295" i="1"/>
  <c r="R308" i="1" s="1"/>
  <c r="T92" i="2" s="1"/>
  <c r="S20" i="3"/>
  <c r="X20" i="3" s="1"/>
  <c r="R156" i="1"/>
  <c r="R159" i="1"/>
  <c r="P317" i="1"/>
  <c r="R113" i="2" s="1"/>
  <c r="R154" i="2" s="1"/>
  <c r="Q295" i="1"/>
  <c r="Q308" i="1" s="1"/>
  <c r="S92" i="2" s="1"/>
  <c r="R20" i="3"/>
  <c r="Q143" i="2"/>
  <c r="N149" i="2"/>
  <c r="M46" i="3" s="1"/>
  <c r="S21" i="2"/>
  <c r="T21" i="2"/>
  <c r="O134" i="2"/>
  <c r="S166" i="1"/>
  <c r="N1040" i="1"/>
  <c r="P58" i="2"/>
  <c r="U32" i="2"/>
  <c r="S21" i="1"/>
  <c r="O149" i="2"/>
  <c r="N46" i="3" s="1"/>
  <c r="S380" i="1" l="1"/>
  <c r="S381" i="1" s="1"/>
  <c r="S144" i="2"/>
  <c r="S333" i="1"/>
  <c r="S329" i="1" s="1"/>
  <c r="S215" i="1"/>
  <c r="S219" i="1"/>
  <c r="S245" i="1"/>
  <c r="S207" i="1"/>
  <c r="S224" i="1"/>
  <c r="S330" i="1"/>
  <c r="S324" i="1"/>
  <c r="R149" i="2"/>
  <c r="Q46" i="3" s="1"/>
  <c r="Q294" i="1"/>
  <c r="Q314" i="1" s="1"/>
  <c r="S90" i="2" s="1"/>
  <c r="S150" i="2" s="1"/>
  <c r="R19" i="3"/>
  <c r="R22" i="3" s="1"/>
  <c r="S1061" i="1"/>
  <c r="S22" i="2"/>
  <c r="T144" i="2"/>
  <c r="R294" i="1"/>
  <c r="R302" i="1" s="1"/>
  <c r="T89" i="2" s="1"/>
  <c r="S19" i="3"/>
  <c r="T22" i="2"/>
  <c r="P135" i="2"/>
  <c r="U25" i="2"/>
  <c r="S287" i="1"/>
  <c r="S267" i="1"/>
  <c r="S237" i="1"/>
  <c r="S282" i="1"/>
  <c r="S270" i="1"/>
  <c r="S278" i="1"/>
  <c r="S257" i="1"/>
  <c r="S232" i="1"/>
  <c r="S154" i="1"/>
  <c r="S263" i="1"/>
  <c r="S155" i="1"/>
  <c r="S274" i="1"/>
  <c r="S153" i="1"/>
  <c r="S253" i="1"/>
  <c r="O1036" i="1"/>
  <c r="O1047" i="1" s="1"/>
  <c r="O1037" i="1"/>
  <c r="O1056" i="1" s="1"/>
  <c r="N1042" i="1"/>
  <c r="P107" i="2" s="1"/>
  <c r="N1044" i="1"/>
  <c r="P116" i="2" s="1"/>
  <c r="R314" i="1" l="1"/>
  <c r="T90" i="2" s="1"/>
  <c r="T150" i="2" s="1"/>
  <c r="S22" i="3"/>
  <c r="X22" i="3" s="1"/>
  <c r="X19" i="3"/>
  <c r="R317" i="1"/>
  <c r="T113" i="2" s="1"/>
  <c r="Q317" i="1"/>
  <c r="S113" i="2" s="1"/>
  <c r="S154" i="2" s="1"/>
  <c r="S149" i="2" s="1"/>
  <c r="R46" i="3" s="1"/>
  <c r="R23" i="3"/>
  <c r="S21" i="3"/>
  <c r="Q302" i="1"/>
  <c r="S89" i="2" s="1"/>
  <c r="S143" i="2" s="1"/>
  <c r="R21" i="3"/>
  <c r="S161" i="1"/>
  <c r="U23" i="2"/>
  <c r="U21" i="2" s="1"/>
  <c r="T19" i="3" s="1"/>
  <c r="U26" i="2"/>
  <c r="F350" i="1" a="1"/>
  <c r="F350" i="1" s="1"/>
  <c r="S369" i="1"/>
  <c r="S363" i="1" s="1"/>
  <c r="F386" i="1" s="1" a="1"/>
  <c r="S160" i="1"/>
  <c r="P134" i="2"/>
  <c r="S156" i="1"/>
  <c r="Q58" i="2"/>
  <c r="O1040" i="1"/>
  <c r="S159" i="1"/>
  <c r="F386" i="1" l="1"/>
  <c r="Q391" i="1"/>
  <c r="S391" i="1" s="1"/>
  <c r="M387" i="1"/>
  <c r="N387" i="1" s="1"/>
  <c r="R391" i="1"/>
  <c r="R392" i="1"/>
  <c r="S392" i="1"/>
  <c r="N388" i="1"/>
  <c r="O388" i="1" s="1"/>
  <c r="P388" i="1" s="1"/>
  <c r="S393" i="1"/>
  <c r="O389" i="1"/>
  <c r="P389" i="1" s="1"/>
  <c r="P390" i="1"/>
  <c r="R390" i="1" s="1"/>
  <c r="S390" i="1" s="1"/>
  <c r="Q390" i="1"/>
  <c r="T143" i="2"/>
  <c r="S23" i="3"/>
  <c r="T154" i="2"/>
  <c r="T149" i="2" s="1"/>
  <c r="S46" i="3" s="1"/>
  <c r="S295" i="1"/>
  <c r="S308" i="1" s="1"/>
  <c r="U92" i="2" s="1"/>
  <c r="T20" i="3"/>
  <c r="T21" i="3" s="1"/>
  <c r="S1039" i="1"/>
  <c r="O1042" i="1"/>
  <c r="Q107" i="2" s="1"/>
  <c r="P1037" i="1"/>
  <c r="P1056" i="1" s="1"/>
  <c r="P1036" i="1"/>
  <c r="P1047" i="1" s="1"/>
  <c r="O1044" i="1"/>
  <c r="Q116" i="2" s="1"/>
  <c r="Q135" i="2"/>
  <c r="U22" i="2"/>
  <c r="S294" i="1"/>
  <c r="O353" i="1"/>
  <c r="S357" i="1"/>
  <c r="U357" i="1" s="1"/>
  <c r="Q355" i="1"/>
  <c r="R355" i="1" s="1"/>
  <c r="S355" i="1" s="1"/>
  <c r="M351" i="1"/>
  <c r="R356" i="1"/>
  <c r="S356" i="1" s="1"/>
  <c r="N352" i="1"/>
  <c r="O352" i="1" s="1"/>
  <c r="P352" i="1" s="1"/>
  <c r="P354" i="1"/>
  <c r="Q354" i="1" s="1"/>
  <c r="O387" i="1" l="1"/>
  <c r="P387" i="1" s="1"/>
  <c r="Q387" i="1" s="1"/>
  <c r="Q389" i="1"/>
  <c r="R387" i="1"/>
  <c r="S387" i="1" s="1"/>
  <c r="R389" i="1"/>
  <c r="S389" i="1" s="1"/>
  <c r="Q388" i="1"/>
  <c r="R388" i="1" s="1"/>
  <c r="L386" i="1"/>
  <c r="L384" i="1" s="1"/>
  <c r="L377" i="1" s="1"/>
  <c r="U144" i="2"/>
  <c r="T22" i="3"/>
  <c r="R354" i="1"/>
  <c r="S354" i="1" s="1"/>
  <c r="U354" i="1" s="1"/>
  <c r="U355" i="1"/>
  <c r="Q134" i="2"/>
  <c r="S314" i="1"/>
  <c r="U90" i="2" s="1"/>
  <c r="U150" i="2" s="1"/>
  <c r="S317" i="1"/>
  <c r="U113" i="2" s="1"/>
  <c r="U154" i="2" s="1"/>
  <c r="S302" i="1"/>
  <c r="U89" i="2" s="1"/>
  <c r="U143" i="2" s="1"/>
  <c r="U393" i="1"/>
  <c r="P353" i="1"/>
  <c r="P1040" i="1"/>
  <c r="R58" i="2"/>
  <c r="Q352" i="1"/>
  <c r="L350" i="1"/>
  <c r="U356" i="1"/>
  <c r="N351" i="1"/>
  <c r="M386" i="1" l="1"/>
  <c r="S388" i="1"/>
  <c r="T23" i="3"/>
  <c r="M350" i="1"/>
  <c r="M348" i="1" s="1"/>
  <c r="M341" i="1" s="1"/>
  <c r="M211" i="1" s="1"/>
  <c r="L348" i="1"/>
  <c r="L341" i="1" s="1"/>
  <c r="L211" i="1" s="1"/>
  <c r="U389" i="1"/>
  <c r="P1042" i="1"/>
  <c r="R107" i="2" s="1"/>
  <c r="Q1036" i="1"/>
  <c r="Q1047" i="1" s="1"/>
  <c r="Q1037" i="1"/>
  <c r="Q1056" i="1" s="1"/>
  <c r="P1044" i="1"/>
  <c r="R116" i="2" s="1"/>
  <c r="O351" i="1"/>
  <c r="P351" i="1" s="1"/>
  <c r="U390" i="1"/>
  <c r="R135" i="2"/>
  <c r="R352" i="1"/>
  <c r="S352" i="1" s="1"/>
  <c r="U352" i="1" s="1"/>
  <c r="U149" i="2"/>
  <c r="T46" i="3" s="1"/>
  <c r="U392" i="1"/>
  <c r="Q353" i="1"/>
  <c r="R353" i="1" s="1"/>
  <c r="M384" i="1" l="1"/>
  <c r="M377" i="1" s="1"/>
  <c r="N386" i="1"/>
  <c r="L204" i="1"/>
  <c r="L249" i="1"/>
  <c r="M249" i="1"/>
  <c r="N350" i="1"/>
  <c r="N348" i="1" s="1"/>
  <c r="N341" i="1" s="1"/>
  <c r="N211" i="1" s="1"/>
  <c r="O75" i="2"/>
  <c r="M323" i="1"/>
  <c r="R134" i="2"/>
  <c r="S58" i="2"/>
  <c r="Q1040" i="1"/>
  <c r="Q351" i="1"/>
  <c r="U388" i="1"/>
  <c r="N75" i="2"/>
  <c r="L323" i="1"/>
  <c r="L325" i="1" s="1"/>
  <c r="U391" i="1"/>
  <c r="S353" i="1"/>
  <c r="U353" i="1" s="1"/>
  <c r="N384" i="1" l="1"/>
  <c r="N377" i="1" s="1"/>
  <c r="O386" i="1"/>
  <c r="O384" i="1" s="1"/>
  <c r="O377" i="1" s="1"/>
  <c r="N249" i="1"/>
  <c r="O162" i="2"/>
  <c r="O76" i="2"/>
  <c r="N76" i="2"/>
  <c r="O350" i="1"/>
  <c r="O348" i="1" s="1"/>
  <c r="O341" i="1" s="1"/>
  <c r="O211" i="1" s="1"/>
  <c r="P75" i="2"/>
  <c r="N323" i="1"/>
  <c r="L230" i="1"/>
  <c r="N36" i="2"/>
  <c r="M24" i="3" s="1"/>
  <c r="L221" i="1"/>
  <c r="L234" i="1"/>
  <c r="L205" i="1"/>
  <c r="L217" i="1"/>
  <c r="L238" i="1"/>
  <c r="L209" i="1"/>
  <c r="L226" i="1"/>
  <c r="L213" i="1"/>
  <c r="N74" i="2"/>
  <c r="L365" i="1"/>
  <c r="R1037" i="1"/>
  <c r="R1056" i="1" s="1"/>
  <c r="R1036" i="1"/>
  <c r="R1047" i="1" s="1"/>
  <c r="Q1042" i="1"/>
  <c r="S107" i="2" s="1"/>
  <c r="Q1044" i="1"/>
  <c r="S116" i="2" s="1"/>
  <c r="M322" i="1"/>
  <c r="M325" i="1" s="1"/>
  <c r="N97" i="2"/>
  <c r="R351" i="1"/>
  <c r="S351" i="1" s="1"/>
  <c r="U351" i="1" s="1"/>
  <c r="P74" i="2"/>
  <c r="S135" i="2"/>
  <c r="P386" i="1" l="1"/>
  <c r="O249" i="1"/>
  <c r="P162" i="2"/>
  <c r="P76" i="2"/>
  <c r="P72" i="2" s="1"/>
  <c r="O30" i="3" s="1"/>
  <c r="O323" i="1"/>
  <c r="Q75" i="2"/>
  <c r="M25" i="3"/>
  <c r="V24" i="3"/>
  <c r="P350" i="1"/>
  <c r="P348" i="1" s="1"/>
  <c r="P341" i="1" s="1"/>
  <c r="P211" i="1" s="1"/>
  <c r="N37" i="2"/>
  <c r="G23" i="5" s="1"/>
  <c r="G22" i="5" s="1"/>
  <c r="N39" i="2"/>
  <c r="N40" i="2" s="1"/>
  <c r="L296" i="1"/>
  <c r="L305" i="1" s="1"/>
  <c r="N108" i="2" s="1"/>
  <c r="N145" i="2" s="1"/>
  <c r="N160" i="2"/>
  <c r="N159" i="2" s="1"/>
  <c r="M49" i="3" s="1"/>
  <c r="Q74" i="2"/>
  <c r="N136" i="2"/>
  <c r="N72" i="2"/>
  <c r="M30" i="3" s="1"/>
  <c r="P136" i="2"/>
  <c r="N322" i="1"/>
  <c r="N325" i="1" s="1"/>
  <c r="O97" i="2"/>
  <c r="N98" i="2"/>
  <c r="N133" i="2" s="1"/>
  <c r="M361" i="1"/>
  <c r="U387" i="1"/>
  <c r="O74" i="2"/>
  <c r="S134" i="2"/>
  <c r="R1040" i="1"/>
  <c r="T58" i="2"/>
  <c r="P384" i="1" l="1"/>
  <c r="P377" i="1" s="1"/>
  <c r="Q386" i="1"/>
  <c r="R386" i="1"/>
  <c r="R384" i="1" s="1"/>
  <c r="R377" i="1" s="1"/>
  <c r="N91" i="2"/>
  <c r="P249" i="1"/>
  <c r="Q162" i="2"/>
  <c r="Q76" i="2"/>
  <c r="Q72" i="2" s="1"/>
  <c r="P30" i="3" s="1"/>
  <c r="R75" i="2"/>
  <c r="M26" i="3"/>
  <c r="V25" i="3"/>
  <c r="P323" i="1"/>
  <c r="Q350" i="1"/>
  <c r="Q348" i="1" s="1"/>
  <c r="Q341" i="1" s="1"/>
  <c r="Q211" i="1" s="1"/>
  <c r="H23" i="5"/>
  <c r="H22" i="5" s="1"/>
  <c r="G25" i="5"/>
  <c r="G26" i="5" s="1"/>
  <c r="O160" i="2"/>
  <c r="O159" i="2" s="1"/>
  <c r="N49" i="3" s="1"/>
  <c r="P97" i="2"/>
  <c r="O322" i="1"/>
  <c r="O325" i="1" s="1"/>
  <c r="T135" i="2"/>
  <c r="Q136" i="2"/>
  <c r="M365" i="1"/>
  <c r="S1036" i="1"/>
  <c r="S1047" i="1" s="1"/>
  <c r="R1042" i="1"/>
  <c r="T107" i="2" s="1"/>
  <c r="S1037" i="1"/>
  <c r="S1056" i="1" s="1"/>
  <c r="R1044" i="1"/>
  <c r="T116" i="2" s="1"/>
  <c r="O72" i="2"/>
  <c r="N30" i="3" s="1"/>
  <c r="O136" i="2"/>
  <c r="N132" i="2"/>
  <c r="Q384" i="1" l="1"/>
  <c r="Q377" i="1" s="1"/>
  <c r="S386" i="1"/>
  <c r="S384" i="1" s="1"/>
  <c r="S377" i="1" s="1"/>
  <c r="Q249" i="1"/>
  <c r="R162" i="2"/>
  <c r="R76" i="2"/>
  <c r="S75" i="2"/>
  <c r="Q323" i="1"/>
  <c r="R350" i="1"/>
  <c r="S350" i="1" s="1"/>
  <c r="S348" i="1" s="1"/>
  <c r="S341" i="1" s="1"/>
  <c r="S211" i="1" s="1"/>
  <c r="H25" i="5"/>
  <c r="H26" i="5" s="1"/>
  <c r="I23" i="5"/>
  <c r="I22" i="5" s="1"/>
  <c r="S74" i="2"/>
  <c r="O98" i="2"/>
  <c r="O91" i="2" s="1"/>
  <c r="N361" i="1"/>
  <c r="N365" i="1" s="1"/>
  <c r="P160" i="2"/>
  <c r="P159" i="2" s="1"/>
  <c r="O49" i="3" s="1"/>
  <c r="T134" i="2"/>
  <c r="U58" i="2"/>
  <c r="S1040" i="1"/>
  <c r="P322" i="1"/>
  <c r="P325" i="1" s="1"/>
  <c r="Q97" i="2"/>
  <c r="T74" i="2"/>
  <c r="S249" i="1" l="1"/>
  <c r="S162" i="2"/>
  <c r="S76" i="2"/>
  <c r="S72" i="2" s="1"/>
  <c r="R30" i="3" s="1"/>
  <c r="R136" i="2"/>
  <c r="R74" i="2"/>
  <c r="R72" i="2" s="1"/>
  <c r="Q30" i="3" s="1"/>
  <c r="S323" i="1"/>
  <c r="U75" i="2"/>
  <c r="R348" i="1"/>
  <c r="R341" i="1" s="1"/>
  <c r="R211" i="1" s="1"/>
  <c r="U350" i="1"/>
  <c r="J23" i="5"/>
  <c r="J22" i="5" s="1"/>
  <c r="U386" i="1"/>
  <c r="S1042" i="1"/>
  <c r="U107" i="2" s="1"/>
  <c r="S1044" i="1"/>
  <c r="U116" i="2" s="1"/>
  <c r="T136" i="2"/>
  <c r="U135" i="2"/>
  <c r="O361" i="1"/>
  <c r="O365" i="1" s="1"/>
  <c r="P98" i="2"/>
  <c r="P91" i="2" s="1"/>
  <c r="O133" i="2"/>
  <c r="O132" i="2" s="1"/>
  <c r="S136" i="2"/>
  <c r="R97" i="2"/>
  <c r="Q322" i="1"/>
  <c r="Q325" i="1" s="1"/>
  <c r="Q160" i="2"/>
  <c r="Q159" i="2" s="1"/>
  <c r="P49" i="3" s="1"/>
  <c r="R249" i="1" l="1"/>
  <c r="U162" i="2"/>
  <c r="U76" i="2"/>
  <c r="U74" i="2"/>
  <c r="T75" i="2"/>
  <c r="T76" i="2" s="1"/>
  <c r="R323" i="1"/>
  <c r="U136" i="2"/>
  <c r="J25" i="5"/>
  <c r="J26" i="5" s="1"/>
  <c r="K23" i="5"/>
  <c r="S97" i="2"/>
  <c r="R322" i="1"/>
  <c r="P361" i="1"/>
  <c r="P365" i="1" s="1"/>
  <c r="Q98" i="2"/>
  <c r="Q91" i="2" s="1"/>
  <c r="R160" i="2"/>
  <c r="R159" i="2" s="1"/>
  <c r="Q49" i="3" s="1"/>
  <c r="P133" i="2"/>
  <c r="P132" i="2" s="1"/>
  <c r="U134" i="2"/>
  <c r="U72" i="2" l="1"/>
  <c r="T30" i="3" s="1"/>
  <c r="R325" i="1"/>
  <c r="T97" i="2" s="1"/>
  <c r="T162" i="2"/>
  <c r="T72" i="2"/>
  <c r="S30" i="3" s="1"/>
  <c r="K22" i="5"/>
  <c r="K25" i="5" s="1"/>
  <c r="K26" i="5" s="1"/>
  <c r="S160" i="2"/>
  <c r="S159" i="2" s="1"/>
  <c r="R49" i="3" s="1"/>
  <c r="R98" i="2"/>
  <c r="R91" i="2" s="1"/>
  <c r="Q361" i="1"/>
  <c r="Q365" i="1" s="1"/>
  <c r="Q133" i="2"/>
  <c r="Q132" i="2" s="1"/>
  <c r="S322" i="1" l="1"/>
  <c r="S325" i="1" s="1"/>
  <c r="U97" i="2" s="1"/>
  <c r="R361" i="1"/>
  <c r="R365" i="1" s="1"/>
  <c r="S98" i="2"/>
  <c r="S91" i="2" s="1"/>
  <c r="R133" i="2"/>
  <c r="R132" i="2" s="1"/>
  <c r="T160" i="2"/>
  <c r="T159" i="2" s="1"/>
  <c r="S49" i="3" s="1"/>
  <c r="U160" i="2" l="1"/>
  <c r="U159" i="2" s="1"/>
  <c r="T49" i="3" s="1"/>
  <c r="S133" i="2"/>
  <c r="S132" i="2" s="1"/>
  <c r="T98" i="2"/>
  <c r="T91" i="2" s="1"/>
  <c r="S361" i="1"/>
  <c r="S365" i="1" s="1"/>
  <c r="U98" i="2" s="1"/>
  <c r="U91" i="2" s="1"/>
  <c r="U133" i="2" l="1"/>
  <c r="U132" i="2" s="1"/>
  <c r="T133" i="2"/>
  <c r="T132" i="2" s="1"/>
  <c r="L242" i="1"/>
  <c r="L259" i="1" s="1"/>
  <c r="M250" i="1"/>
  <c r="N250" i="1" l="1"/>
  <c r="O250" i="1" s="1"/>
  <c r="L251" i="1"/>
  <c r="M242" i="1"/>
  <c r="M251" i="1" s="1"/>
  <c r="L276" i="1"/>
  <c r="L243" i="1"/>
  <c r="N42" i="2"/>
  <c r="M27" i="3" s="1"/>
  <c r="V27" i="3" s="1"/>
  <c r="L255" i="1"/>
  <c r="L264" i="1"/>
  <c r="L272" i="1"/>
  <c r="L280" i="1"/>
  <c r="L288" i="1"/>
  <c r="L247" i="1"/>
  <c r="L268" i="1"/>
  <c r="L284" i="1"/>
  <c r="O42" i="2" l="1"/>
  <c r="N27" i="3" s="1"/>
  <c r="M272" i="1"/>
  <c r="M264" i="1"/>
  <c r="N242" i="1"/>
  <c r="M255" i="1"/>
  <c r="M247" i="1"/>
  <c r="M280" i="1"/>
  <c r="O242" i="1"/>
  <c r="O280" i="1" s="1"/>
  <c r="P250" i="1"/>
  <c r="M288" i="1"/>
  <c r="M243" i="1"/>
  <c r="M259" i="1"/>
  <c r="M276" i="1"/>
  <c r="M268" i="1"/>
  <c r="M284" i="1"/>
  <c r="N52" i="2"/>
  <c r="N80" i="2" s="1"/>
  <c r="M28" i="3" s="1"/>
  <c r="N43" i="2"/>
  <c r="G29" i="5" s="1"/>
  <c r="L297" i="1"/>
  <c r="L311" i="1" s="1"/>
  <c r="N110" i="2" s="1"/>
  <c r="N146" i="2" s="1"/>
  <c r="N142" i="2" s="1"/>
  <c r="M45" i="3" s="1"/>
  <c r="M297" i="1" l="1"/>
  <c r="M311" i="1" s="1"/>
  <c r="O110" i="2" s="1"/>
  <c r="O146" i="2" s="1"/>
  <c r="O43" i="2"/>
  <c r="D18" i="3"/>
  <c r="E18" i="3" s="1"/>
  <c r="V28" i="3"/>
  <c r="C11" i="7"/>
  <c r="M29" i="3"/>
  <c r="M43" i="3"/>
  <c r="N268" i="1"/>
  <c r="N280" i="1"/>
  <c r="N288" i="1"/>
  <c r="P42" i="2"/>
  <c r="O27" i="3" s="1"/>
  <c r="W27" i="3" s="1"/>
  <c r="N276" i="1"/>
  <c r="N272" i="1"/>
  <c r="N243" i="1"/>
  <c r="N255" i="1"/>
  <c r="N284" i="1"/>
  <c r="N259" i="1"/>
  <c r="N247" i="1"/>
  <c r="N251" i="1"/>
  <c r="N264" i="1"/>
  <c r="O247" i="1"/>
  <c r="O251" i="1"/>
  <c r="O284" i="1"/>
  <c r="O243" i="1"/>
  <c r="O276" i="1"/>
  <c r="O259" i="1"/>
  <c r="O288" i="1"/>
  <c r="O264" i="1"/>
  <c r="O272" i="1"/>
  <c r="O268" i="1"/>
  <c r="Q42" i="2"/>
  <c r="O255" i="1"/>
  <c r="Q250" i="1"/>
  <c r="H29" i="5"/>
  <c r="G28" i="5"/>
  <c r="G31" i="5" s="1"/>
  <c r="N53" i="2"/>
  <c r="L1096" i="1" s="1"/>
  <c r="D13" i="3" l="1"/>
  <c r="D11" i="7"/>
  <c r="C13" i="7"/>
  <c r="F18" i="3"/>
  <c r="E13" i="3"/>
  <c r="P27" i="3"/>
  <c r="N297" i="1"/>
  <c r="N311" i="1" s="1"/>
  <c r="P110" i="2" s="1"/>
  <c r="P146" i="2" s="1"/>
  <c r="P43" i="2"/>
  <c r="Q43" i="2"/>
  <c r="O297" i="1"/>
  <c r="O311" i="1" s="1"/>
  <c r="Q110" i="2" s="1"/>
  <c r="R250" i="1"/>
  <c r="P242" i="1"/>
  <c r="P251" i="1" s="1"/>
  <c r="I29" i="5"/>
  <c r="H28" i="5"/>
  <c r="H31" i="5" s="1"/>
  <c r="G32" i="5"/>
  <c r="G38" i="5"/>
  <c r="G56" i="5"/>
  <c r="N131" i="2"/>
  <c r="L406" i="1"/>
  <c r="L399" i="1" s="1"/>
  <c r="L402" i="1" s="1"/>
  <c r="L413" i="1" s="1"/>
  <c r="N81" i="2"/>
  <c r="L1095" i="1" s="1"/>
  <c r="Q146" i="2" l="1"/>
  <c r="E11" i="7"/>
  <c r="D13" i="7"/>
  <c r="F13" i="3"/>
  <c r="P259" i="1"/>
  <c r="P276" i="1"/>
  <c r="P255" i="1"/>
  <c r="P288" i="1"/>
  <c r="P268" i="1"/>
  <c r="P284" i="1"/>
  <c r="P280" i="1"/>
  <c r="P272" i="1"/>
  <c r="P264" i="1"/>
  <c r="P247" i="1"/>
  <c r="P243" i="1"/>
  <c r="R42" i="2"/>
  <c r="Q27" i="3" s="1"/>
  <c r="S250" i="1"/>
  <c r="Q242" i="1"/>
  <c r="Q251" i="1" s="1"/>
  <c r="L408" i="1"/>
  <c r="N106" i="2" s="1"/>
  <c r="N59" i="2"/>
  <c r="N169" i="2" s="1"/>
  <c r="M397" i="1"/>
  <c r="L410" i="1"/>
  <c r="N115" i="2" s="1"/>
  <c r="N114" i="2" s="1"/>
  <c r="G39" i="5"/>
  <c r="G41" i="5"/>
  <c r="G57" i="5" s="1"/>
  <c r="G54" i="5" s="1"/>
  <c r="H32" i="5"/>
  <c r="H56" i="5"/>
  <c r="H38" i="5"/>
  <c r="J29" i="5"/>
  <c r="I28" i="5"/>
  <c r="I31" i="5" s="1"/>
  <c r="F11" i="7" l="1"/>
  <c r="E13" i="7"/>
  <c r="R242" i="1"/>
  <c r="R251" i="1" s="1"/>
  <c r="S242" i="1"/>
  <c r="S251" i="1" s="1"/>
  <c r="P297" i="1"/>
  <c r="P311" i="1" s="1"/>
  <c r="R110" i="2" s="1"/>
  <c r="R146" i="2" s="1"/>
  <c r="R43" i="2"/>
  <c r="Q264" i="1"/>
  <c r="Q255" i="1"/>
  <c r="Q272" i="1"/>
  <c r="S42" i="2"/>
  <c r="R27" i="3" s="1"/>
  <c r="Q276" i="1"/>
  <c r="Q247" i="1"/>
  <c r="Q284" i="1"/>
  <c r="Q268" i="1"/>
  <c r="Q280" i="1"/>
  <c r="Q259" i="1"/>
  <c r="Q243" i="1"/>
  <c r="Q288" i="1"/>
  <c r="K29" i="5"/>
  <c r="K28" i="5" s="1"/>
  <c r="K31" i="5" s="1"/>
  <c r="J28" i="5"/>
  <c r="J31" i="5" s="1"/>
  <c r="N105" i="2"/>
  <c r="N171" i="2"/>
  <c r="M52" i="3" s="1"/>
  <c r="G60" i="5"/>
  <c r="H39" i="5"/>
  <c r="H41" i="5"/>
  <c r="H57" i="5" s="1"/>
  <c r="H54" i="5" s="1"/>
  <c r="H60" i="5" s="1"/>
  <c r="N57" i="2"/>
  <c r="N55" i="2" s="1"/>
  <c r="I38" i="5"/>
  <c r="I56" i="5"/>
  <c r="I32" i="5"/>
  <c r="G44" i="5"/>
  <c r="G45" i="5" s="1"/>
  <c r="G11" i="7" l="1"/>
  <c r="G13" i="7" s="1"/>
  <c r="F13" i="7"/>
  <c r="L1057" i="1"/>
  <c r="M54" i="3"/>
  <c r="N61" i="2"/>
  <c r="N62" i="2" s="1"/>
  <c r="M31" i="3"/>
  <c r="Q297" i="1"/>
  <c r="Q311" i="1" s="1"/>
  <c r="S110" i="2" s="1"/>
  <c r="S146" i="2" s="1"/>
  <c r="S43" i="2"/>
  <c r="S259" i="1"/>
  <c r="S268" i="1"/>
  <c r="S280" i="1"/>
  <c r="S255" i="1"/>
  <c r="S243" i="1"/>
  <c r="U42" i="2"/>
  <c r="T27" i="3" s="1"/>
  <c r="S272" i="1"/>
  <c r="S276" i="1"/>
  <c r="S284" i="1"/>
  <c r="S288" i="1"/>
  <c r="S264" i="1"/>
  <c r="S247" i="1"/>
  <c r="R243" i="1"/>
  <c r="R259" i="1"/>
  <c r="R284" i="1"/>
  <c r="R288" i="1"/>
  <c r="R280" i="1"/>
  <c r="R264" i="1"/>
  <c r="T42" i="2"/>
  <c r="S27" i="3" s="1"/>
  <c r="X27" i="3" s="1"/>
  <c r="R272" i="1"/>
  <c r="R255" i="1"/>
  <c r="R247" i="1"/>
  <c r="R268" i="1"/>
  <c r="R276" i="1"/>
  <c r="H61" i="5"/>
  <c r="G61" i="5"/>
  <c r="J38" i="5"/>
  <c r="J56" i="5"/>
  <c r="J32" i="5"/>
  <c r="I39" i="5"/>
  <c r="I41" i="5"/>
  <c r="I57" i="5" s="1"/>
  <c r="I54" i="5" s="1"/>
  <c r="H44" i="5"/>
  <c r="H45" i="5" s="1"/>
  <c r="K38" i="5"/>
  <c r="K56" i="5"/>
  <c r="K32" i="5"/>
  <c r="N64" i="2" l="1"/>
  <c r="N139" i="2" s="1"/>
  <c r="N138" i="2" s="1"/>
  <c r="U43" i="2"/>
  <c r="S297" i="1"/>
  <c r="S311" i="1" s="1"/>
  <c r="U110" i="2" s="1"/>
  <c r="R297" i="1"/>
  <c r="R311" i="1" s="1"/>
  <c r="T110" i="2" s="1"/>
  <c r="T146" i="2" s="1"/>
  <c r="T43" i="2"/>
  <c r="J39" i="5"/>
  <c r="J41" i="5"/>
  <c r="J57" i="5" s="1"/>
  <c r="J54" i="5" s="1"/>
  <c r="I44" i="5"/>
  <c r="I45" i="5" s="1"/>
  <c r="K39" i="5"/>
  <c r="K41" i="5"/>
  <c r="K57" i="5" s="1"/>
  <c r="K54" i="5" s="1"/>
  <c r="I60" i="5"/>
  <c r="M32" i="3" l="1"/>
  <c r="M33" i="3" s="1"/>
  <c r="L298" i="1"/>
  <c r="N67" i="2"/>
  <c r="N69" i="2" s="1"/>
  <c r="N156" i="2"/>
  <c r="N157" i="2" s="1"/>
  <c r="M44" i="3"/>
  <c r="M47" i="3" s="1"/>
  <c r="U146" i="2"/>
  <c r="J60" i="5"/>
  <c r="J61" i="5" s="1"/>
  <c r="K60" i="5"/>
  <c r="K44" i="5"/>
  <c r="K45" i="5" s="1"/>
  <c r="J44" i="5"/>
  <c r="J45" i="5" s="1"/>
  <c r="I61" i="5"/>
  <c r="L1083" i="1" l="1"/>
  <c r="L1089" i="1" s="1"/>
  <c r="L1088" i="1" s="1"/>
  <c r="L1084" i="1" s="1"/>
  <c r="N122" i="2" s="1"/>
  <c r="N119" i="2" s="1"/>
  <c r="N104" i="2" s="1"/>
  <c r="N174" i="2"/>
  <c r="M34" i="3"/>
  <c r="M35" i="3" s="1"/>
  <c r="N68" i="2"/>
  <c r="L1097" i="1" s="1"/>
  <c r="N166" i="2"/>
  <c r="L1054" i="1" s="1"/>
  <c r="L1059" i="1" s="1"/>
  <c r="L1063" i="1" s="1"/>
  <c r="L1067" i="1" s="1"/>
  <c r="M50" i="3"/>
  <c r="M48" i="3"/>
  <c r="K61" i="5"/>
  <c r="D65" i="5"/>
  <c r="D64" i="5"/>
  <c r="L1068" i="1" l="1"/>
  <c r="M1065" i="1" s="1"/>
  <c r="M1070" i="1" s="1"/>
  <c r="M1066" i="1"/>
  <c r="M1058" i="1" s="1"/>
  <c r="N176" i="2"/>
  <c r="N173" i="2" s="1"/>
  <c r="N183" i="2" s="1"/>
  <c r="N186" i="2" s="1"/>
  <c r="N87" i="2" s="1"/>
  <c r="L1086" i="1"/>
  <c r="M1082" i="1" s="1"/>
  <c r="N167" i="2"/>
  <c r="M51" i="3"/>
  <c r="M55" i="3"/>
  <c r="M58" i="3" l="1"/>
  <c r="M59" i="3" s="1"/>
  <c r="M60" i="3" s="1"/>
  <c r="N86" i="2"/>
  <c r="N85" i="2" s="1"/>
  <c r="N127" i="2" s="1"/>
  <c r="L417" i="1"/>
  <c r="O185" i="2"/>
  <c r="M56" i="3"/>
  <c r="M1053" i="1" l="1"/>
  <c r="L418" i="1"/>
  <c r="M39" i="3" s="1"/>
  <c r="M38" i="3"/>
  <c r="D19" i="3" l="1"/>
  <c r="D20" i="3" s="1"/>
  <c r="C15" i="7"/>
  <c r="D15" i="7" l="1"/>
  <c r="C16" i="7"/>
  <c r="C19" i="7" s="1"/>
  <c r="C23" i="7" s="1"/>
  <c r="C22" i="7" s="1"/>
  <c r="D22" i="3"/>
  <c r="D16" i="3"/>
  <c r="F36" i="3" l="1"/>
  <c r="D15" i="3"/>
  <c r="E15" i="7"/>
  <c r="D16" i="7"/>
  <c r="D19" i="7" s="1"/>
  <c r="D23" i="7" s="1"/>
  <c r="D22" i="7" s="1"/>
  <c r="F15" i="7" l="1"/>
  <c r="E16" i="7"/>
  <c r="E19" i="7" s="1"/>
  <c r="E23" i="7" s="1"/>
  <c r="E22" i="7" s="1"/>
  <c r="F35" i="3"/>
  <c r="F37" i="3" s="1"/>
  <c r="N13" i="3"/>
  <c r="N15" i="3" l="1"/>
  <c r="G15" i="7"/>
  <c r="G16" i="7" s="1"/>
  <c r="G19" i="7" s="1"/>
  <c r="G23" i="7" s="1"/>
  <c r="G22" i="7" s="1"/>
  <c r="F16" i="7"/>
  <c r="F19" i="7" s="1"/>
  <c r="F23" i="7" s="1"/>
  <c r="F22" i="7" s="1"/>
  <c r="J331" i="1" l="1"/>
  <c r="J333" i="1" s="1"/>
  <c r="J334" i="1" s="1"/>
  <c r="C25" i="7" l="1"/>
  <c r="D25" i="7"/>
  <c r="E25" i="7"/>
  <c r="F25" i="7"/>
  <c r="G25" i="7"/>
  <c r="C26" i="7"/>
  <c r="D26" i="7"/>
  <c r="E26" i="7"/>
  <c r="F26" i="7"/>
  <c r="G26" i="7"/>
  <c r="C29" i="7" a="1"/>
  <c r="C29" i="7"/>
  <c r="D29" i="7"/>
  <c r="E29" i="7"/>
  <c r="F29" i="7"/>
  <c r="G29" i="7"/>
  <c r="D30" i="7"/>
  <c r="E30" i="7"/>
  <c r="F30" i="7"/>
  <c r="G30" i="7"/>
  <c r="D31" i="7"/>
  <c r="E31" i="7"/>
  <c r="F31" i="7"/>
  <c r="G31" i="7"/>
  <c r="D32" i="7"/>
  <c r="E32" i="7"/>
  <c r="F32" i="7"/>
  <c r="G32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M204" i="1"/>
  <c r="N204" i="1"/>
  <c r="O204" i="1"/>
  <c r="P204" i="1"/>
  <c r="Q204" i="1"/>
  <c r="R204" i="1"/>
  <c r="S204" i="1"/>
  <c r="M205" i="1"/>
  <c r="N205" i="1"/>
  <c r="O205" i="1"/>
  <c r="P205" i="1"/>
  <c r="Q205" i="1"/>
  <c r="R205" i="1"/>
  <c r="S205" i="1"/>
  <c r="M209" i="1"/>
  <c r="N209" i="1"/>
  <c r="O209" i="1"/>
  <c r="P209" i="1"/>
  <c r="Q209" i="1"/>
  <c r="R209" i="1"/>
  <c r="S209" i="1"/>
  <c r="M213" i="1"/>
  <c r="N213" i="1"/>
  <c r="O213" i="1"/>
  <c r="P213" i="1"/>
  <c r="Q213" i="1"/>
  <c r="R213" i="1"/>
  <c r="S213" i="1"/>
  <c r="M217" i="1"/>
  <c r="N217" i="1"/>
  <c r="O217" i="1"/>
  <c r="P217" i="1"/>
  <c r="Q217" i="1"/>
  <c r="R217" i="1"/>
  <c r="S217" i="1"/>
  <c r="M221" i="1"/>
  <c r="N221" i="1"/>
  <c r="O221" i="1"/>
  <c r="P221" i="1"/>
  <c r="Q221" i="1"/>
  <c r="R221" i="1"/>
  <c r="S221" i="1"/>
  <c r="M226" i="1"/>
  <c r="N226" i="1"/>
  <c r="O226" i="1"/>
  <c r="P226" i="1"/>
  <c r="Q226" i="1"/>
  <c r="R226" i="1"/>
  <c r="S226" i="1"/>
  <c r="M228" i="1"/>
  <c r="N228" i="1"/>
  <c r="O228" i="1"/>
  <c r="P228" i="1"/>
  <c r="Q228" i="1"/>
  <c r="R228" i="1"/>
  <c r="S228" i="1"/>
  <c r="M229" i="1"/>
  <c r="N229" i="1"/>
  <c r="O229" i="1"/>
  <c r="P229" i="1"/>
  <c r="Q229" i="1"/>
  <c r="R229" i="1"/>
  <c r="S229" i="1"/>
  <c r="M230" i="1"/>
  <c r="N230" i="1"/>
  <c r="O230" i="1"/>
  <c r="P230" i="1"/>
  <c r="Q230" i="1"/>
  <c r="R230" i="1"/>
  <c r="S230" i="1"/>
  <c r="M234" i="1"/>
  <c r="N234" i="1"/>
  <c r="O234" i="1"/>
  <c r="P234" i="1"/>
  <c r="Q234" i="1"/>
  <c r="R234" i="1"/>
  <c r="S234" i="1"/>
  <c r="M238" i="1"/>
  <c r="N238" i="1"/>
  <c r="O238" i="1"/>
  <c r="P238" i="1"/>
  <c r="Q238" i="1"/>
  <c r="R238" i="1"/>
  <c r="S238" i="1"/>
  <c r="M296" i="1"/>
  <c r="N296" i="1"/>
  <c r="O296" i="1"/>
  <c r="P296" i="1"/>
  <c r="Q296" i="1"/>
  <c r="R296" i="1"/>
  <c r="S296" i="1"/>
  <c r="M298" i="1"/>
  <c r="N298" i="1"/>
  <c r="O298" i="1"/>
  <c r="P298" i="1"/>
  <c r="Q298" i="1"/>
  <c r="R298" i="1"/>
  <c r="S298" i="1"/>
  <c r="M305" i="1"/>
  <c r="N305" i="1"/>
  <c r="O305" i="1"/>
  <c r="P305" i="1"/>
  <c r="Q305" i="1"/>
  <c r="R305" i="1"/>
  <c r="S305" i="1"/>
  <c r="N397" i="1"/>
  <c r="O397" i="1"/>
  <c r="P397" i="1"/>
  <c r="Q397" i="1"/>
  <c r="R397" i="1"/>
  <c r="S397" i="1"/>
  <c r="M399" i="1"/>
  <c r="N399" i="1"/>
  <c r="O399" i="1"/>
  <c r="P399" i="1"/>
  <c r="Q399" i="1"/>
  <c r="R399" i="1"/>
  <c r="S399" i="1"/>
  <c r="M402" i="1"/>
  <c r="N402" i="1"/>
  <c r="O402" i="1"/>
  <c r="P402" i="1"/>
  <c r="Q402" i="1"/>
  <c r="R402" i="1"/>
  <c r="S402" i="1"/>
  <c r="M406" i="1"/>
  <c r="N406" i="1"/>
  <c r="O406" i="1"/>
  <c r="P406" i="1"/>
  <c r="Q406" i="1"/>
  <c r="R406" i="1"/>
  <c r="S406" i="1"/>
  <c r="M408" i="1"/>
  <c r="N408" i="1"/>
  <c r="O408" i="1"/>
  <c r="P408" i="1"/>
  <c r="Q408" i="1"/>
  <c r="R408" i="1"/>
  <c r="S408" i="1"/>
  <c r="M410" i="1"/>
  <c r="N410" i="1"/>
  <c r="O410" i="1"/>
  <c r="P410" i="1"/>
  <c r="Q410" i="1"/>
  <c r="R410" i="1"/>
  <c r="S410" i="1"/>
  <c r="M413" i="1"/>
  <c r="N413" i="1"/>
  <c r="O413" i="1"/>
  <c r="P413" i="1"/>
  <c r="Q413" i="1"/>
  <c r="R413" i="1"/>
  <c r="S413" i="1"/>
  <c r="M417" i="1"/>
  <c r="N417" i="1"/>
  <c r="O417" i="1"/>
  <c r="P417" i="1"/>
  <c r="Q417" i="1"/>
  <c r="R417" i="1"/>
  <c r="S417" i="1"/>
  <c r="M418" i="1"/>
  <c r="N418" i="1"/>
  <c r="O418" i="1"/>
  <c r="P418" i="1"/>
  <c r="Q418" i="1"/>
  <c r="R418" i="1"/>
  <c r="S418" i="1"/>
  <c r="N1053" i="1"/>
  <c r="O1053" i="1"/>
  <c r="P1053" i="1"/>
  <c r="Q1053" i="1"/>
  <c r="R1053" i="1"/>
  <c r="S1053" i="1"/>
  <c r="M1054" i="1"/>
  <c r="N1054" i="1"/>
  <c r="O1054" i="1"/>
  <c r="P1054" i="1"/>
  <c r="Q1054" i="1"/>
  <c r="R1054" i="1"/>
  <c r="S1054" i="1"/>
  <c r="M1057" i="1"/>
  <c r="N1057" i="1"/>
  <c r="O1057" i="1"/>
  <c r="P1057" i="1"/>
  <c r="Q1057" i="1"/>
  <c r="R1057" i="1"/>
  <c r="S1057" i="1"/>
  <c r="N1058" i="1"/>
  <c r="O1058" i="1"/>
  <c r="P1058" i="1"/>
  <c r="Q1058" i="1"/>
  <c r="R1058" i="1"/>
  <c r="S1058" i="1"/>
  <c r="M1059" i="1"/>
  <c r="N1059" i="1"/>
  <c r="O1059" i="1"/>
  <c r="P1059" i="1"/>
  <c r="Q1059" i="1"/>
  <c r="R1059" i="1"/>
  <c r="S1059" i="1"/>
  <c r="M1063" i="1"/>
  <c r="N1063" i="1"/>
  <c r="O1063" i="1"/>
  <c r="P1063" i="1"/>
  <c r="Q1063" i="1"/>
  <c r="R1063" i="1"/>
  <c r="S1063" i="1"/>
  <c r="N1065" i="1"/>
  <c r="O1065" i="1"/>
  <c r="P1065" i="1"/>
  <c r="Q1065" i="1"/>
  <c r="R1065" i="1"/>
  <c r="S1065" i="1"/>
  <c r="N1066" i="1"/>
  <c r="O1066" i="1"/>
  <c r="P1066" i="1"/>
  <c r="Q1066" i="1"/>
  <c r="R1066" i="1"/>
  <c r="S1066" i="1"/>
  <c r="M1067" i="1"/>
  <c r="N1067" i="1"/>
  <c r="O1067" i="1"/>
  <c r="P1067" i="1"/>
  <c r="Q1067" i="1"/>
  <c r="R1067" i="1"/>
  <c r="S1067" i="1"/>
  <c r="M1068" i="1"/>
  <c r="N1068" i="1"/>
  <c r="O1068" i="1"/>
  <c r="P1068" i="1"/>
  <c r="Q1068" i="1"/>
  <c r="R1068" i="1"/>
  <c r="S1068" i="1"/>
  <c r="N1070" i="1"/>
  <c r="O1070" i="1"/>
  <c r="P1070" i="1"/>
  <c r="Q1070" i="1"/>
  <c r="R1070" i="1"/>
  <c r="S1070" i="1"/>
  <c r="N1082" i="1"/>
  <c r="O1082" i="1"/>
  <c r="P1082" i="1"/>
  <c r="Q1082" i="1"/>
  <c r="R1082" i="1"/>
  <c r="S1082" i="1"/>
  <c r="M1083" i="1"/>
  <c r="N1083" i="1"/>
  <c r="O1083" i="1"/>
  <c r="P1083" i="1"/>
  <c r="Q1083" i="1"/>
  <c r="R1083" i="1"/>
  <c r="S1083" i="1"/>
  <c r="M1084" i="1"/>
  <c r="N1084" i="1"/>
  <c r="O1084" i="1"/>
  <c r="P1084" i="1"/>
  <c r="Q1084" i="1"/>
  <c r="R1084" i="1"/>
  <c r="S1084" i="1"/>
  <c r="M1086" i="1"/>
  <c r="N1086" i="1"/>
  <c r="O1086" i="1"/>
  <c r="P1086" i="1"/>
  <c r="Q1086" i="1"/>
  <c r="R1086" i="1"/>
  <c r="S1086" i="1"/>
  <c r="M1088" i="1"/>
  <c r="N1088" i="1"/>
  <c r="O1088" i="1"/>
  <c r="P1088" i="1"/>
  <c r="Q1088" i="1"/>
  <c r="R1088" i="1"/>
  <c r="S1088" i="1"/>
  <c r="M1089" i="1"/>
  <c r="N1089" i="1"/>
  <c r="O1089" i="1"/>
  <c r="P1089" i="1"/>
  <c r="Q1089" i="1"/>
  <c r="R1089" i="1"/>
  <c r="S1089" i="1"/>
  <c r="M1095" i="1"/>
  <c r="N1095" i="1"/>
  <c r="O1095" i="1"/>
  <c r="P1095" i="1"/>
  <c r="Q1095" i="1"/>
  <c r="R1095" i="1"/>
  <c r="S1095" i="1"/>
  <c r="M1096" i="1"/>
  <c r="N1096" i="1"/>
  <c r="O1096" i="1"/>
  <c r="P1096" i="1"/>
  <c r="Q1096" i="1"/>
  <c r="R1096" i="1"/>
  <c r="S1096" i="1"/>
  <c r="M1097" i="1"/>
  <c r="N1097" i="1"/>
  <c r="O1097" i="1"/>
  <c r="P1097" i="1"/>
  <c r="Q1097" i="1"/>
  <c r="R1097" i="1"/>
  <c r="S1097" i="1"/>
  <c r="W10" i="3"/>
  <c r="W11" i="3"/>
  <c r="W12" i="3"/>
  <c r="O13" i="3"/>
  <c r="P13" i="3"/>
  <c r="Q13" i="3"/>
  <c r="R13" i="3"/>
  <c r="T13" i="3"/>
  <c r="E14" i="3"/>
  <c r="F14" i="3"/>
  <c r="R14" i="3"/>
  <c r="T14" i="3"/>
  <c r="E15" i="3"/>
  <c r="F15" i="3"/>
  <c r="O15" i="3"/>
  <c r="P15" i="3"/>
  <c r="Q15" i="3"/>
  <c r="R15" i="3"/>
  <c r="T15" i="3"/>
  <c r="AD18" i="3"/>
  <c r="E19" i="3"/>
  <c r="F19" i="3"/>
  <c r="E20" i="3"/>
  <c r="F20" i="3"/>
  <c r="E22" i="3"/>
  <c r="F22" i="3"/>
  <c r="N24" i="3"/>
  <c r="O24" i="3"/>
  <c r="P24" i="3"/>
  <c r="Q24" i="3"/>
  <c r="R24" i="3"/>
  <c r="S24" i="3"/>
  <c r="T24" i="3"/>
  <c r="W24" i="3"/>
  <c r="X24" i="3"/>
  <c r="N25" i="3"/>
  <c r="O25" i="3"/>
  <c r="P25" i="3"/>
  <c r="Q25" i="3"/>
  <c r="R25" i="3"/>
  <c r="S25" i="3"/>
  <c r="T25" i="3"/>
  <c r="W25" i="3"/>
  <c r="X25" i="3"/>
  <c r="D26" i="3"/>
  <c r="E26" i="3"/>
  <c r="F26" i="3"/>
  <c r="N26" i="3"/>
  <c r="O26" i="3"/>
  <c r="P26" i="3"/>
  <c r="Q26" i="3"/>
  <c r="R26" i="3"/>
  <c r="S26" i="3"/>
  <c r="T26" i="3"/>
  <c r="AD26" i="3"/>
  <c r="D27" i="3"/>
  <c r="F27" i="3"/>
  <c r="D28" i="3"/>
  <c r="E28" i="3"/>
  <c r="F28" i="3"/>
  <c r="N28" i="3"/>
  <c r="O28" i="3"/>
  <c r="P28" i="3"/>
  <c r="Q28" i="3"/>
  <c r="R28" i="3"/>
  <c r="S28" i="3"/>
  <c r="T28" i="3"/>
  <c r="W28" i="3"/>
  <c r="X28" i="3"/>
  <c r="N29" i="3"/>
  <c r="O29" i="3"/>
  <c r="P29" i="3"/>
  <c r="Q29" i="3"/>
  <c r="R29" i="3"/>
  <c r="S29" i="3"/>
  <c r="T29" i="3"/>
  <c r="D30" i="3"/>
  <c r="E30" i="3"/>
  <c r="F30" i="3"/>
  <c r="D31" i="3"/>
  <c r="E31" i="3"/>
  <c r="F31" i="3"/>
  <c r="N31" i="3"/>
  <c r="O31" i="3"/>
  <c r="P31" i="3"/>
  <c r="Q31" i="3"/>
  <c r="R31" i="3"/>
  <c r="S31" i="3"/>
  <c r="T31" i="3"/>
  <c r="D32" i="3"/>
  <c r="E32" i="3"/>
  <c r="F32" i="3"/>
  <c r="N32" i="3"/>
  <c r="O32" i="3"/>
  <c r="P32" i="3"/>
  <c r="Q32" i="3"/>
  <c r="R32" i="3"/>
  <c r="S32" i="3"/>
  <c r="T32" i="3"/>
  <c r="N33" i="3"/>
  <c r="O33" i="3"/>
  <c r="P33" i="3"/>
  <c r="Q33" i="3"/>
  <c r="R33" i="3"/>
  <c r="S33" i="3"/>
  <c r="T33" i="3"/>
  <c r="N34" i="3"/>
  <c r="O34" i="3"/>
  <c r="P34" i="3"/>
  <c r="Q34" i="3"/>
  <c r="R34" i="3"/>
  <c r="S34" i="3"/>
  <c r="T34" i="3"/>
  <c r="N35" i="3"/>
  <c r="O35" i="3"/>
  <c r="P35" i="3"/>
  <c r="Q35" i="3"/>
  <c r="R35" i="3"/>
  <c r="S35" i="3"/>
  <c r="T35" i="3"/>
  <c r="N38" i="3"/>
  <c r="O38" i="3"/>
  <c r="P38" i="3"/>
  <c r="Q38" i="3"/>
  <c r="R38" i="3"/>
  <c r="S38" i="3"/>
  <c r="T38" i="3"/>
  <c r="N39" i="3"/>
  <c r="O39" i="3"/>
  <c r="P39" i="3"/>
  <c r="Q39" i="3"/>
  <c r="R39" i="3"/>
  <c r="S39" i="3"/>
  <c r="T39" i="3"/>
  <c r="N43" i="3"/>
  <c r="O43" i="3"/>
  <c r="P43" i="3"/>
  <c r="Q43" i="3"/>
  <c r="R43" i="3"/>
  <c r="S43" i="3"/>
  <c r="T43" i="3"/>
  <c r="N44" i="3"/>
  <c r="O44" i="3"/>
  <c r="P44" i="3"/>
  <c r="Q44" i="3"/>
  <c r="R44" i="3"/>
  <c r="S44" i="3"/>
  <c r="T44" i="3"/>
  <c r="N45" i="3"/>
  <c r="O45" i="3"/>
  <c r="P45" i="3"/>
  <c r="Q45" i="3"/>
  <c r="R45" i="3"/>
  <c r="S45" i="3"/>
  <c r="T45" i="3"/>
  <c r="N47" i="3"/>
  <c r="O47" i="3"/>
  <c r="P47" i="3"/>
  <c r="Q47" i="3"/>
  <c r="R47" i="3"/>
  <c r="S47" i="3"/>
  <c r="T47" i="3"/>
  <c r="N48" i="3"/>
  <c r="O48" i="3"/>
  <c r="P48" i="3"/>
  <c r="Q48" i="3"/>
  <c r="R48" i="3"/>
  <c r="S48" i="3"/>
  <c r="T48" i="3"/>
  <c r="N50" i="3"/>
  <c r="O50" i="3"/>
  <c r="P50" i="3"/>
  <c r="Q50" i="3"/>
  <c r="R50" i="3"/>
  <c r="S50" i="3"/>
  <c r="T50" i="3"/>
  <c r="N51" i="3"/>
  <c r="O51" i="3"/>
  <c r="P51" i="3"/>
  <c r="Q51" i="3"/>
  <c r="R51" i="3"/>
  <c r="S51" i="3"/>
  <c r="T51" i="3"/>
  <c r="N52" i="3"/>
  <c r="O52" i="3"/>
  <c r="P52" i="3"/>
  <c r="Q52" i="3"/>
  <c r="R52" i="3"/>
  <c r="S52" i="3"/>
  <c r="T52" i="3"/>
  <c r="N54" i="3"/>
  <c r="O54" i="3"/>
  <c r="P54" i="3"/>
  <c r="Q54" i="3"/>
  <c r="R54" i="3"/>
  <c r="S54" i="3"/>
  <c r="T54" i="3"/>
  <c r="N55" i="3"/>
  <c r="O55" i="3"/>
  <c r="P55" i="3"/>
  <c r="Q55" i="3"/>
  <c r="R55" i="3"/>
  <c r="S55" i="3"/>
  <c r="T55" i="3"/>
  <c r="N56" i="3"/>
  <c r="O56" i="3"/>
  <c r="P56" i="3"/>
  <c r="Q56" i="3"/>
  <c r="R56" i="3"/>
  <c r="S56" i="3"/>
  <c r="T56" i="3"/>
  <c r="N58" i="3"/>
  <c r="O58" i="3"/>
  <c r="P58" i="3"/>
  <c r="Q58" i="3"/>
  <c r="R58" i="3"/>
  <c r="S58" i="3"/>
  <c r="T58" i="3"/>
  <c r="N59" i="3"/>
  <c r="O59" i="3"/>
  <c r="P59" i="3"/>
  <c r="Q59" i="3"/>
  <c r="R59" i="3"/>
  <c r="S59" i="3"/>
  <c r="T59" i="3"/>
  <c r="N60" i="3"/>
  <c r="O60" i="3"/>
  <c r="P60" i="3"/>
  <c r="Q60" i="3"/>
  <c r="R60" i="3"/>
  <c r="S60" i="3"/>
  <c r="T60" i="3"/>
  <c r="O36" i="2"/>
  <c r="P36" i="2"/>
  <c r="Q36" i="2"/>
  <c r="R36" i="2"/>
  <c r="S36" i="2"/>
  <c r="T36" i="2"/>
  <c r="U36" i="2"/>
  <c r="O37" i="2"/>
  <c r="P37" i="2"/>
  <c r="Q37" i="2"/>
  <c r="R37" i="2"/>
  <c r="S37" i="2"/>
  <c r="T37" i="2"/>
  <c r="U37" i="2"/>
  <c r="O39" i="2"/>
  <c r="P39" i="2"/>
  <c r="Q39" i="2"/>
  <c r="R39" i="2"/>
  <c r="S39" i="2"/>
  <c r="T39" i="2"/>
  <c r="U39" i="2"/>
  <c r="O40" i="2"/>
  <c r="P40" i="2"/>
  <c r="Q40" i="2"/>
  <c r="R40" i="2"/>
  <c r="S40" i="2"/>
  <c r="T40" i="2"/>
  <c r="U40" i="2"/>
  <c r="O52" i="2"/>
  <c r="P52" i="2"/>
  <c r="Q52" i="2"/>
  <c r="R52" i="2"/>
  <c r="S52" i="2"/>
  <c r="T52" i="2"/>
  <c r="U52" i="2"/>
  <c r="O53" i="2"/>
  <c r="P53" i="2"/>
  <c r="Q53" i="2"/>
  <c r="R53" i="2"/>
  <c r="S53" i="2"/>
  <c r="T53" i="2"/>
  <c r="U53" i="2"/>
  <c r="O55" i="2"/>
  <c r="P55" i="2"/>
  <c r="Q55" i="2"/>
  <c r="R55" i="2"/>
  <c r="S55" i="2"/>
  <c r="T55" i="2"/>
  <c r="U55" i="2"/>
  <c r="O57" i="2"/>
  <c r="P57" i="2"/>
  <c r="Q57" i="2"/>
  <c r="R57" i="2"/>
  <c r="S57" i="2"/>
  <c r="T57" i="2"/>
  <c r="U57" i="2"/>
  <c r="O59" i="2"/>
  <c r="P59" i="2"/>
  <c r="Q59" i="2"/>
  <c r="R59" i="2"/>
  <c r="S59" i="2"/>
  <c r="T59" i="2"/>
  <c r="U59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4" i="2"/>
  <c r="P64" i="2"/>
  <c r="Q64" i="2"/>
  <c r="R64" i="2"/>
  <c r="S64" i="2"/>
  <c r="T64" i="2"/>
  <c r="U64" i="2"/>
  <c r="O67" i="2"/>
  <c r="P67" i="2"/>
  <c r="Q67" i="2"/>
  <c r="R67" i="2"/>
  <c r="S67" i="2"/>
  <c r="T67" i="2"/>
  <c r="U67" i="2"/>
  <c r="O68" i="2"/>
  <c r="P68" i="2"/>
  <c r="Q68" i="2"/>
  <c r="R68" i="2"/>
  <c r="S68" i="2"/>
  <c r="T68" i="2"/>
  <c r="U68" i="2"/>
  <c r="O69" i="2"/>
  <c r="P69" i="2"/>
  <c r="Q69" i="2"/>
  <c r="R69" i="2"/>
  <c r="S69" i="2"/>
  <c r="T69" i="2"/>
  <c r="U69" i="2"/>
  <c r="O80" i="2"/>
  <c r="P80" i="2"/>
  <c r="Q80" i="2"/>
  <c r="R80" i="2"/>
  <c r="S80" i="2"/>
  <c r="T80" i="2"/>
  <c r="U80" i="2"/>
  <c r="O81" i="2"/>
  <c r="P81" i="2"/>
  <c r="Q81" i="2"/>
  <c r="R81" i="2"/>
  <c r="S81" i="2"/>
  <c r="T81" i="2"/>
  <c r="U81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7" i="2"/>
  <c r="P87" i="2"/>
  <c r="Q87" i="2"/>
  <c r="R87" i="2"/>
  <c r="S87" i="2"/>
  <c r="T87" i="2"/>
  <c r="U87" i="2"/>
  <c r="O104" i="2"/>
  <c r="P104" i="2"/>
  <c r="Q104" i="2"/>
  <c r="R104" i="2"/>
  <c r="S104" i="2"/>
  <c r="T104" i="2"/>
  <c r="U104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8" i="2"/>
  <c r="P108" i="2"/>
  <c r="Q108" i="2"/>
  <c r="R108" i="2"/>
  <c r="S108" i="2"/>
  <c r="T108" i="2"/>
  <c r="U108" i="2"/>
  <c r="O114" i="2"/>
  <c r="P114" i="2"/>
  <c r="Q114" i="2"/>
  <c r="R114" i="2"/>
  <c r="S114" i="2"/>
  <c r="T114" i="2"/>
  <c r="U114" i="2"/>
  <c r="O115" i="2"/>
  <c r="P115" i="2"/>
  <c r="Q115" i="2"/>
  <c r="R115" i="2"/>
  <c r="S115" i="2"/>
  <c r="T115" i="2"/>
  <c r="U115" i="2"/>
  <c r="O119" i="2"/>
  <c r="P119" i="2"/>
  <c r="Q119" i="2"/>
  <c r="R119" i="2"/>
  <c r="S119" i="2"/>
  <c r="T119" i="2"/>
  <c r="U119" i="2"/>
  <c r="O122" i="2"/>
  <c r="P122" i="2"/>
  <c r="Q122" i="2"/>
  <c r="R122" i="2"/>
  <c r="S122" i="2"/>
  <c r="T122" i="2"/>
  <c r="U122" i="2"/>
  <c r="O127" i="2"/>
  <c r="P127" i="2"/>
  <c r="Q127" i="2"/>
  <c r="R127" i="2"/>
  <c r="S127" i="2"/>
  <c r="T127" i="2"/>
  <c r="U127" i="2"/>
  <c r="O131" i="2"/>
  <c r="P131" i="2"/>
  <c r="Q131" i="2"/>
  <c r="R131" i="2"/>
  <c r="S131" i="2"/>
  <c r="T131" i="2"/>
  <c r="U131" i="2"/>
  <c r="O138" i="2"/>
  <c r="P138" i="2"/>
  <c r="Q138" i="2"/>
  <c r="R138" i="2"/>
  <c r="S138" i="2"/>
  <c r="T138" i="2"/>
  <c r="U138" i="2"/>
  <c r="O139" i="2"/>
  <c r="P139" i="2"/>
  <c r="Q139" i="2"/>
  <c r="R139" i="2"/>
  <c r="S139" i="2"/>
  <c r="T139" i="2"/>
  <c r="U139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56" i="2"/>
  <c r="P156" i="2"/>
  <c r="Q156" i="2"/>
  <c r="R156" i="2"/>
  <c r="S156" i="2"/>
  <c r="T156" i="2"/>
  <c r="U156" i="2"/>
  <c r="O157" i="2"/>
  <c r="P157" i="2"/>
  <c r="Q157" i="2"/>
  <c r="R157" i="2"/>
  <c r="S157" i="2"/>
  <c r="T157" i="2"/>
  <c r="U157" i="2"/>
  <c r="O166" i="2"/>
  <c r="P166" i="2"/>
  <c r="Q166" i="2"/>
  <c r="R166" i="2"/>
  <c r="S166" i="2"/>
  <c r="T166" i="2"/>
  <c r="U166" i="2"/>
  <c r="O167" i="2"/>
  <c r="P167" i="2"/>
  <c r="Q167" i="2"/>
  <c r="R167" i="2"/>
  <c r="S167" i="2"/>
  <c r="T167" i="2"/>
  <c r="U167" i="2"/>
  <c r="O169" i="2"/>
  <c r="P169" i="2"/>
  <c r="Q169" i="2"/>
  <c r="R169" i="2"/>
  <c r="S169" i="2"/>
  <c r="T169" i="2"/>
  <c r="U169" i="2"/>
  <c r="O171" i="2"/>
  <c r="P171" i="2"/>
  <c r="Q171" i="2"/>
  <c r="R171" i="2"/>
  <c r="S171" i="2"/>
  <c r="T171" i="2"/>
  <c r="U171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6" i="2"/>
  <c r="P176" i="2"/>
  <c r="Q176" i="2"/>
  <c r="R176" i="2"/>
  <c r="S176" i="2"/>
  <c r="T176" i="2"/>
  <c r="U176" i="2"/>
  <c r="O183" i="2"/>
  <c r="P183" i="2"/>
  <c r="Q183" i="2"/>
  <c r="R183" i="2"/>
  <c r="S183" i="2"/>
  <c r="T183" i="2"/>
  <c r="U183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tc={61EEC1F6-C40F-417F-BC1D-D76618925F13}</author>
    <author>tc={342E963E-5864-4CE0-A7E6-F8D119127DC7}</author>
    <author>tc={697D4846-736B-4934-B824-D2310A926782}</author>
    <author>Heitor Crespo</author>
    <author>Lisa Mandetta</author>
  </authors>
  <commentList>
    <comment ref="D215" authorId="0" shapeId="0" xr:uid="{61EEC1F6-C40F-417F-BC1D-D76618925F13}">
      <text>
        <t>[Threaded comment]
Your version of Excel allows you to read this threaded comment; however, any edits to it will get removed if the file is opened in a newer version of Excel. Learn more: https://go.microsoft.com/fwlink/?linkid=870924
Comment:
    Flat por receita
Reply:
    Usar a aproprção de clientes que utilizam de 3/10</t>
      </text>
    </comment>
    <comment ref="D223" authorId="1" shapeId="0" xr:uid="{342E963E-5864-4CE0-A7E6-F8D119127DC7}">
      <text>
        <t>[Threaded comment]
Your version of Excel allows you to read this threaded comment; however, any edits to it will get removed if the file is opened in a newer version of Excel. Learn more: https://go.microsoft.com/fwlink/?linkid=870924
Comment:
    Usar Capex de Manutenção de Unit Economics</t>
      </text>
    </comment>
    <comment ref="D245" authorId="2" shapeId="0" xr:uid="{697D4846-736B-4934-B824-D2310A9267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mANTER FLAT e economizar no pessoal e encargos </t>
      </text>
    </comment>
    <comment ref="L404" authorId="3" shapeId="0" xr:uid="{557465C9-2612-401C-8694-4A70F9A2CA92}">
      <text>
        <r>
          <rPr>
            <b/>
            <sz val="9"/>
            <color indexed="81"/>
            <rFont val="Tahoma"/>
            <family val="2"/>
          </rPr>
          <t>Heitor Crespo:</t>
        </r>
        <r>
          <rPr>
            <sz val="9"/>
            <color indexed="81"/>
            <rFont val="Tahoma"/>
            <family val="2"/>
          </rPr>
          <t xml:space="preserve">
Deixando a empresa so um pouco menos alavancada que em anos anteriores</t>
        </r>
      </text>
    </comment>
    <comment ref="D1037" authorId="4" shapeId="0" xr:uid="{A652F154-BFD4-42A3-8B5A-D29B75ED5D80}">
      <text>
        <r>
          <rPr>
            <b/>
            <sz val="9"/>
            <color indexed="81"/>
            <rFont val="Tahoma"/>
            <family val="2"/>
          </rPr>
          <t>Lisa Mandetta:</t>
        </r>
        <r>
          <rPr>
            <sz val="9"/>
            <color indexed="81"/>
            <rFont val="Tahoma"/>
            <family val="2"/>
          </rPr>
          <t xml:space="preserve">
Eu acho que no IFRS 16, a amortização seria o mesmo que Contraprestações - Juros incorridos (foi isso que eu fiz)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Lisa Mandetta</author>
  </authors>
  <commentList>
    <comment ref="H41" authorId="0" shapeId="0" xr:uid="{595198F0-EB01-4D48-83E5-F143BF9AAC33}">
      <text>
        <r>
          <rPr>
            <b/>
            <sz val="9"/>
            <color indexed="81"/>
            <rFont val="Tahoma"/>
            <family val="2"/>
          </rPr>
          <t>Lisa Mandetta:</t>
        </r>
        <r>
          <rPr>
            <sz val="9"/>
            <color indexed="81"/>
            <rFont val="Tahoma"/>
            <family val="2"/>
          </rPr>
          <t xml:space="preserve">
Aqui tenho que fazer igual o fluxo de caixa e fazer aquelas alterações de IFRS 16?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tc={15E9E7FC-EE93-440C-A93A-0E7D26BD192B}</author>
  </authors>
  <commentList>
    <comment ref="B48" authorId="0" shapeId="0" xr:uid="{15E9E7FC-EE93-440C-A93A-0E7D26BD192B}">
      <text>
        <t>[Threaded comment]
Your version of Excel allows you to read this threaded comment; however, any edits to it will get removed if the file is opened in a newer version of Excel. Learn more: https://go.microsoft.com/fwlink/?linkid=870924
Comment:
    Fonte: IMF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<sst xmlns="http://schemas.openxmlformats.org/spreadsheetml/2006/main" count="2867" uniqueCount="615">
  <si>
    <t>Valuation Model I 2025</t>
  </si>
  <si>
    <t>Autores:</t>
  </si>
  <si>
    <t>Carlos dos Anjos</t>
  </si>
  <si>
    <t>Eduardo Lima</t>
  </si>
  <si>
    <t>Heitor Crespo</t>
  </si>
  <si>
    <t>Lisa Mandetta</t>
  </si>
  <si>
    <t>Yago Santos</t>
  </si>
  <si>
    <t>Mentor:</t>
  </si>
  <si>
    <t>João Jaca</t>
  </si>
  <si>
    <t>Legenda:</t>
  </si>
  <si>
    <t>Input</t>
  </si>
  <si>
    <t>Premissas</t>
  </si>
  <si>
    <t>F'ormula</t>
  </si>
  <si>
    <t xml:space="preserve">To do list </t>
  </si>
  <si>
    <t xml:space="preserve">O que fazer </t>
  </si>
  <si>
    <t xml:space="preserve">Quem </t>
  </si>
  <si>
    <t xml:space="preserve">Data </t>
  </si>
  <si>
    <t xml:space="preserve">Check </t>
  </si>
  <si>
    <t xml:space="preserve">Arrumar Dívida </t>
  </si>
  <si>
    <t xml:space="preserve">Heitor </t>
  </si>
  <si>
    <t>Ok</t>
  </si>
  <si>
    <t>Acabar PP&amp;E</t>
  </si>
  <si>
    <t xml:space="preserve">Revolver </t>
  </si>
  <si>
    <t xml:space="preserve">Lisa </t>
  </si>
  <si>
    <t xml:space="preserve">Melhorar premissas de Build up </t>
  </si>
  <si>
    <t xml:space="preserve">Eduardo </t>
  </si>
  <si>
    <t xml:space="preserve">Arrumar COGS e SG&amp;A </t>
  </si>
  <si>
    <t xml:space="preserve">Yago </t>
  </si>
  <si>
    <t xml:space="preserve">Arrumar D&amp;A de leasing e imob </t>
  </si>
  <si>
    <t xml:space="preserve">Revenue Build-up </t>
  </si>
  <si>
    <t xml:space="preserve">COGS e SG&amp;A </t>
  </si>
  <si>
    <t xml:space="preserve">Leasing </t>
  </si>
  <si>
    <t xml:space="preserve">Unit Economics </t>
  </si>
  <si>
    <t xml:space="preserve">Carlos </t>
  </si>
  <si>
    <t xml:space="preserve">Linkar Modelo </t>
  </si>
  <si>
    <t xml:space="preserve">Considerações: </t>
  </si>
  <si>
    <t>D&amp;A de imobilizado, intangivel e leasing continuam muito alto</t>
  </si>
  <si>
    <t>Checar revolver (ainda não esta linkado com o balanço)</t>
  </si>
  <si>
    <t xml:space="preserve">Olhar caixa para ver se faz sentido </t>
  </si>
  <si>
    <t>Net debt muito alto</t>
  </si>
  <si>
    <t xml:space="preserve">ebitda desproporcional </t>
  </si>
  <si>
    <t>Na aba de deal at a glance -&gt; verificar todos os valores de % dos funders, preço pago na entrada, multiplo e etc. (apenas imputei qq coisa para testar)</t>
  </si>
  <si>
    <t xml:space="preserve">Unit </t>
  </si>
  <si>
    <t xml:space="preserve">Aux </t>
  </si>
  <si>
    <t>1Q25</t>
  </si>
  <si>
    <t>2Q25</t>
  </si>
  <si>
    <t>3Q25</t>
  </si>
  <si>
    <t>4Q25</t>
  </si>
  <si>
    <t>x</t>
  </si>
  <si>
    <t>Overview</t>
  </si>
  <si>
    <t xml:space="preserve">Share Price </t>
  </si>
  <si>
    <t>Mkt Cap (mn)</t>
  </si>
  <si>
    <t xml:space="preserve">52-week-high </t>
  </si>
  <si>
    <t>% of week high</t>
  </si>
  <si>
    <t xml:space="preserve">52-week-low </t>
  </si>
  <si>
    <t>Shares Outstanding (mn)</t>
  </si>
  <si>
    <t>•</t>
  </si>
  <si>
    <t>P&amp;L</t>
  </si>
  <si>
    <t xml:space="preserve">Gross Revenue </t>
  </si>
  <si>
    <t xml:space="preserve">% Growth </t>
  </si>
  <si>
    <t xml:space="preserve">(-) Deductions </t>
  </si>
  <si>
    <t xml:space="preserve">% of Gross Revenue </t>
  </si>
  <si>
    <t xml:space="preserve">(=) Net Revenue </t>
  </si>
  <si>
    <t xml:space="preserve">Smart Fit </t>
  </si>
  <si>
    <t xml:space="preserve">Smart Fit Brazil </t>
  </si>
  <si>
    <t xml:space="preserve">Smart Fit Mexico </t>
  </si>
  <si>
    <t>Smart Fit Others LatAm</t>
  </si>
  <si>
    <t xml:space="preserve">Bio Ritmo and O2 </t>
  </si>
  <si>
    <t xml:space="preserve">Franchises </t>
  </si>
  <si>
    <t xml:space="preserve">Digital </t>
  </si>
  <si>
    <t xml:space="preserve">(-) Costs </t>
  </si>
  <si>
    <t xml:space="preserve">% of revenue </t>
  </si>
  <si>
    <t xml:space="preserve">Gross Profit </t>
  </si>
  <si>
    <t xml:space="preserve">% Margin </t>
  </si>
  <si>
    <t xml:space="preserve">(-) SG&amp;A </t>
  </si>
  <si>
    <t xml:space="preserve">Desespesas com vendas </t>
  </si>
  <si>
    <t xml:space="preserve">Gerais e Administrativas </t>
  </si>
  <si>
    <t xml:space="preserve">Aluguéis </t>
  </si>
  <si>
    <t>(+/-) Other revenue (expenses)</t>
  </si>
  <si>
    <t xml:space="preserve">(+/-) Equivalência Patrimonial </t>
  </si>
  <si>
    <t xml:space="preserve">(=) EBIT </t>
  </si>
  <si>
    <t xml:space="preserve">Financial Result </t>
  </si>
  <si>
    <t xml:space="preserve">(+) Interest Income </t>
  </si>
  <si>
    <t xml:space="preserve">(-) Financial expenses </t>
  </si>
  <si>
    <t xml:space="preserve">Juros de Arrendamento Mercantil </t>
  </si>
  <si>
    <t>Others</t>
  </si>
  <si>
    <t>(=) EBT</t>
  </si>
  <si>
    <t>% Margin</t>
  </si>
  <si>
    <t xml:space="preserve">(-) Income Taxes </t>
  </si>
  <si>
    <t>% EBT</t>
  </si>
  <si>
    <t xml:space="preserve">(=) Net Income </t>
  </si>
  <si>
    <t>YoY</t>
  </si>
  <si>
    <t>Depreciação e amortização</t>
  </si>
  <si>
    <t>Depreciação de Direito de Uso</t>
  </si>
  <si>
    <t>Depreciação de Imobilizado</t>
  </si>
  <si>
    <t xml:space="preserve">Imobilizado + Intangível </t>
  </si>
  <si>
    <t>Amortização de Intangível</t>
  </si>
  <si>
    <t>Outros</t>
  </si>
  <si>
    <t xml:space="preserve">EBITDA </t>
  </si>
  <si>
    <t xml:space="preserve">Balance Sheet </t>
  </si>
  <si>
    <t xml:space="preserve">Assets </t>
  </si>
  <si>
    <t xml:space="preserve">Current </t>
  </si>
  <si>
    <t>Caixa e equivalentes de caixa</t>
  </si>
  <si>
    <t>Caixa</t>
  </si>
  <si>
    <t>Investimentos em ativos financeiros</t>
  </si>
  <si>
    <t>Clientes</t>
  </si>
  <si>
    <t>WK</t>
  </si>
  <si>
    <t xml:space="preserve">Non-Current </t>
  </si>
  <si>
    <t>Impostos a recuperar</t>
  </si>
  <si>
    <t>Ativos por imposto diferido</t>
  </si>
  <si>
    <t xml:space="preserve">Flat </t>
  </si>
  <si>
    <t>Depósitos judiciais</t>
  </si>
  <si>
    <t xml:space="preserve">Outros </t>
  </si>
  <si>
    <t>Imobilizado</t>
  </si>
  <si>
    <t>Build-Up</t>
  </si>
  <si>
    <t>Lease</t>
  </si>
  <si>
    <t>Intangível</t>
  </si>
  <si>
    <t>Investimentos em controladas e joint ventures</t>
  </si>
  <si>
    <t xml:space="preserve">Outros ativos fixos </t>
  </si>
  <si>
    <t xml:space="preserve">Liabilities and Shareholders' Equity </t>
  </si>
  <si>
    <t>Empréstimos</t>
  </si>
  <si>
    <t>Passivos de arrendamentos</t>
  </si>
  <si>
    <t>Fornecedores</t>
  </si>
  <si>
    <t>Receita diferida</t>
  </si>
  <si>
    <t>Salários, provisões e contribuições sociais</t>
  </si>
  <si>
    <t>Impostos e contribuições a recolher</t>
  </si>
  <si>
    <t>Contas a pagar</t>
  </si>
  <si>
    <t xml:space="preserve">Non- Current </t>
  </si>
  <si>
    <t xml:space="preserve">Shareholders' Equity </t>
  </si>
  <si>
    <t>Capital social</t>
  </si>
  <si>
    <t>Reserva de capital</t>
  </si>
  <si>
    <t>Reserva de Lucro / Prejuízos acumulados</t>
  </si>
  <si>
    <t xml:space="preserve">Build-up </t>
  </si>
  <si>
    <t>Outros resultados abrangentes</t>
  </si>
  <si>
    <t>Participação não controladora</t>
  </si>
  <si>
    <t xml:space="preserve">Cash Flow </t>
  </si>
  <si>
    <t>EBITDA pós IFRS-16</t>
  </si>
  <si>
    <t>Aluguel</t>
  </si>
  <si>
    <t xml:space="preserve">Lease Asset </t>
  </si>
  <si>
    <t xml:space="preserve">Lease Liabilitie </t>
  </si>
  <si>
    <t>Juros de Arrendamento</t>
  </si>
  <si>
    <t>Impostos</t>
  </si>
  <si>
    <t>Impostos DRE</t>
  </si>
  <si>
    <t>Impostos Diferidos</t>
  </si>
  <si>
    <t>(+/-) WK</t>
  </si>
  <si>
    <t>(+/-) Others Operational</t>
  </si>
  <si>
    <t>Outros Ativos</t>
  </si>
  <si>
    <t>Depósitos Judiciais</t>
  </si>
  <si>
    <t>Receita Diferida</t>
  </si>
  <si>
    <t>Impostos a Recolher</t>
  </si>
  <si>
    <t>Outros Passivos</t>
  </si>
  <si>
    <t>(=) OCF (caixa operacional)</t>
  </si>
  <si>
    <t>% EBITDA</t>
  </si>
  <si>
    <t>(+/-) Capex</t>
  </si>
  <si>
    <t>(=)  OCF post-CAPEX &amp; M&amp;As</t>
  </si>
  <si>
    <t>(+/-) Resultado Financeiro</t>
  </si>
  <si>
    <t>(+/-) Empréstimos</t>
  </si>
  <si>
    <t>(+/-) Dividendos</t>
  </si>
  <si>
    <t>(-) Lucro Líquido do Período</t>
  </si>
  <si>
    <t>(+/-) Outros</t>
  </si>
  <si>
    <t>Variação Capital Social</t>
  </si>
  <si>
    <t>Variação do caixa</t>
  </si>
  <si>
    <t>Caixa BoP</t>
  </si>
  <si>
    <t>Caixa EoP</t>
  </si>
  <si>
    <t xml:space="preserve">End </t>
  </si>
  <si>
    <t xml:space="preserve"> </t>
  </si>
  <si>
    <t>Build - up</t>
  </si>
  <si>
    <t>Aux  1</t>
  </si>
  <si>
    <t>Aux  2</t>
  </si>
  <si>
    <t xml:space="preserve">Macroeconomic indicators </t>
  </si>
  <si>
    <t>GDP Growth</t>
  </si>
  <si>
    <t>%</t>
  </si>
  <si>
    <t xml:space="preserve">IPCA </t>
  </si>
  <si>
    <t>IGP-M</t>
  </si>
  <si>
    <t>Selic</t>
  </si>
  <si>
    <t>CDI</t>
  </si>
  <si>
    <t>BRL/USD</t>
  </si>
  <si>
    <t xml:space="preserve">Net Revenue </t>
  </si>
  <si>
    <t xml:space="preserve">By Region </t>
  </si>
  <si>
    <t>SmartFit</t>
  </si>
  <si>
    <t>Brasil</t>
  </si>
  <si>
    <t>México</t>
  </si>
  <si>
    <t xml:space="preserve">Other </t>
  </si>
  <si>
    <t>Bio Ritmo &amp; Others</t>
  </si>
  <si>
    <t>Other</t>
  </si>
  <si>
    <t>Smartfit - Brasil</t>
  </si>
  <si>
    <t>Own gym revenue</t>
  </si>
  <si>
    <t>Revenue per client (R$)</t>
  </si>
  <si>
    <t>yoy growth (%)</t>
  </si>
  <si>
    <t># of clients</t>
  </si>
  <si>
    <t xml:space="preserve">Smartfit - Mexico </t>
  </si>
  <si>
    <t xml:space="preserve">Smartfit - Others </t>
  </si>
  <si>
    <t># of gyms</t>
  </si>
  <si>
    <t>Total # of gyms</t>
  </si>
  <si>
    <t>Smart Fit</t>
  </si>
  <si>
    <t>Próprias</t>
  </si>
  <si>
    <t>Franquias</t>
  </si>
  <si>
    <t>Studios</t>
  </si>
  <si>
    <t>Net Openings</t>
  </si>
  <si>
    <t>Total Net Openigs</t>
  </si>
  <si>
    <t xml:space="preserve">Store Share </t>
  </si>
  <si>
    <t>Store Count per Maturity</t>
  </si>
  <si>
    <t xml:space="preserve">Year 1 </t>
  </si>
  <si>
    <t>Year 2</t>
  </si>
  <si>
    <t>Mature</t>
  </si>
  <si>
    <t>Check</t>
  </si>
  <si>
    <t>Store Share per Maturity</t>
  </si>
  <si>
    <t>Maturity Curve</t>
  </si>
  <si>
    <t>Revenue by Cohort</t>
  </si>
  <si>
    <t>Revenue Share by Cohort</t>
  </si>
  <si>
    <t># of clients (000)</t>
  </si>
  <si>
    <t>Total # of clients</t>
  </si>
  <si>
    <t>Digital</t>
  </si>
  <si>
    <t>% of total</t>
  </si>
  <si>
    <t>Clients per gym</t>
  </si>
  <si>
    <t>n.a</t>
  </si>
  <si>
    <t>Costs Build-up</t>
  </si>
  <si>
    <t xml:space="preserve">Total COGS </t>
  </si>
  <si>
    <t xml:space="preserve">Pessoal e encargos </t>
  </si>
  <si>
    <t>% of Total COGS</t>
  </si>
  <si>
    <t xml:space="preserve">D&amp;A </t>
  </si>
  <si>
    <t xml:space="preserve">Despesa de consumo </t>
  </si>
  <si>
    <t>Serviços de apoio operacional</t>
  </si>
  <si>
    <t>Gastos com abertura de novas unidades</t>
  </si>
  <si>
    <t xml:space="preserve">Cost per new open </t>
  </si>
  <si>
    <t>Aluguéis variáveis, condomínios e gastos de ocupação</t>
  </si>
  <si>
    <t>Manutenções</t>
  </si>
  <si>
    <t xml:space="preserve">SG&amp;A Build-Up </t>
  </si>
  <si>
    <t xml:space="preserve">Total SG&amp;A </t>
  </si>
  <si>
    <t xml:space="preserve">% of Total SG&amp;A </t>
  </si>
  <si>
    <t xml:space="preserve">Gastos por loja aberta </t>
  </si>
  <si>
    <t>Mídia e comerciais</t>
  </si>
  <si>
    <t>Taxa de administração de cartões de crédito</t>
  </si>
  <si>
    <t>Apropriação aos planos de opção de ações</t>
  </si>
  <si>
    <t>Remensuração de participação</t>
  </si>
  <si>
    <t>-</t>
  </si>
  <si>
    <t>Working Capital Build-Up</t>
  </si>
  <si>
    <t xml:space="preserve">Deductions </t>
  </si>
  <si>
    <t xml:space="preserve">COGS </t>
  </si>
  <si>
    <t>SG&amp;A</t>
  </si>
  <si>
    <t xml:space="preserve">Taxes </t>
  </si>
  <si>
    <t xml:space="preserve"># Days </t>
  </si>
  <si>
    <t xml:space="preserve">Days of Gross Revenue </t>
  </si>
  <si>
    <t xml:space="preserve">Fornecedores </t>
  </si>
  <si>
    <t xml:space="preserve">Days of COGS </t>
  </si>
  <si>
    <t xml:space="preserve">Impostos a Recuperar </t>
  </si>
  <si>
    <t xml:space="preserve">Days of Deductions </t>
  </si>
  <si>
    <t xml:space="preserve">Salários </t>
  </si>
  <si>
    <t>Days of SG&amp;A</t>
  </si>
  <si>
    <t xml:space="preserve">Other ST Assets </t>
  </si>
  <si>
    <t xml:space="preserve">Other ST Liabilities </t>
  </si>
  <si>
    <t xml:space="preserve">PP&amp;E + Intangible </t>
  </si>
  <si>
    <t>Net PP&amp;E + Intangible BoP</t>
  </si>
  <si>
    <t>(-) D&amp;A</t>
  </si>
  <si>
    <t xml:space="preserve">(+) Capex </t>
  </si>
  <si>
    <t>Net PP&amp;E + Intangible EoP</t>
  </si>
  <si>
    <t xml:space="preserve">Capex </t>
  </si>
  <si>
    <t xml:space="preserve">Total Capex </t>
  </si>
  <si>
    <t xml:space="preserve">Capex para expansão </t>
  </si>
  <si>
    <t xml:space="preserve">% of total capex  </t>
  </si>
  <si>
    <t xml:space="preserve">&gt; 80% para manter em linha com o release </t>
  </si>
  <si>
    <t xml:space="preserve">Capex para manutenção </t>
  </si>
  <si>
    <t>Novas Academias</t>
  </si>
  <si>
    <t>CapEx / Academia</t>
  </si>
  <si>
    <t>D&amp;A</t>
  </si>
  <si>
    <t xml:space="preserve">Total Depreciation </t>
  </si>
  <si>
    <t>years</t>
  </si>
  <si>
    <t>tx</t>
  </si>
  <si>
    <t>Existing PP&amp;E BoP</t>
  </si>
  <si>
    <t xml:space="preserve">(-) D&amp;A </t>
  </si>
  <si>
    <t>Existing PP&amp;E EoP</t>
  </si>
  <si>
    <t># of Years of D&amp;A</t>
  </si>
  <si>
    <t xml:space="preserve">New PP&amp;E </t>
  </si>
  <si>
    <t xml:space="preserve">Soma </t>
  </si>
  <si>
    <t>Ativos de direito de uso (Lease Asset )</t>
  </si>
  <si>
    <t>Lease BoP</t>
  </si>
  <si>
    <t>(+) Additions  (Aquisitions/Incorporations, New Contract)</t>
  </si>
  <si>
    <t>(-) Write Off (discontinuity of use)</t>
  </si>
  <si>
    <t>Lease EoP</t>
  </si>
  <si>
    <t xml:space="preserve">Additions </t>
  </si>
  <si>
    <t>Existing Lease BoP</t>
  </si>
  <si>
    <t>Existing Lease EoP</t>
  </si>
  <si>
    <t xml:space="preserve">New Lease Depreciation </t>
  </si>
  <si>
    <t xml:space="preserve">Debt </t>
  </si>
  <si>
    <t>Total Debt BOP</t>
  </si>
  <si>
    <t>(+) New Fundraising</t>
  </si>
  <si>
    <t>(-) Amortization</t>
  </si>
  <si>
    <t>Total Debt EOP</t>
  </si>
  <si>
    <t>Gross Debt/EBTIDA</t>
  </si>
  <si>
    <t>Gross Debt</t>
  </si>
  <si>
    <t>Target Debt</t>
  </si>
  <si>
    <t xml:space="preserve">Empréstimos de Curto Prazo </t>
  </si>
  <si>
    <t xml:space="preserve">% of total loans </t>
  </si>
  <si>
    <t xml:space="preserve">Empréstimos de Longo Prazo </t>
  </si>
  <si>
    <t xml:space="preserve">Financial Expenses </t>
  </si>
  <si>
    <t xml:space="preserve">Interest Rate </t>
  </si>
  <si>
    <t xml:space="preserve">CDI </t>
  </si>
  <si>
    <t xml:space="preserve">Net debt </t>
  </si>
  <si>
    <t xml:space="preserve">Net debt/EBITDA </t>
  </si>
  <si>
    <t>7.1.1</t>
  </si>
  <si>
    <t>Árvore da Dívida</t>
  </si>
  <si>
    <t>Sétima Emissão - 1a Série</t>
  </si>
  <si>
    <t xml:space="preserve">Curva de Amortização </t>
  </si>
  <si>
    <t>Vencimento</t>
  </si>
  <si>
    <t>Juros</t>
  </si>
  <si>
    <t>CDI +</t>
  </si>
  <si>
    <t>Moeda</t>
  </si>
  <si>
    <t>BRL</t>
  </si>
  <si>
    <t>Kd</t>
  </si>
  <si>
    <t>Sétima Emissão - 2a Série</t>
  </si>
  <si>
    <t>IPCA +</t>
  </si>
  <si>
    <t>Oitava Emissão</t>
  </si>
  <si>
    <t>Nona Emissão - 1a Série</t>
  </si>
  <si>
    <t>Nona Emissão - 2a Série</t>
  </si>
  <si>
    <t>Décima Emissão - 1a Série</t>
  </si>
  <si>
    <t>Décima Primeira Emissão - 1a Série</t>
  </si>
  <si>
    <t>Décima Segunda Emissão - 1a Série</t>
  </si>
  <si>
    <t>2a Emissão de Nota Comercial</t>
  </si>
  <si>
    <t>Smartfit Brasil Capital de Giro</t>
  </si>
  <si>
    <t>w</t>
  </si>
  <si>
    <t>Controladas</t>
  </si>
  <si>
    <t>D</t>
  </si>
  <si>
    <t>Smartfit Brasil Capital de Giro 1</t>
  </si>
  <si>
    <t>Smartfit Brasil Capital de Giro 2</t>
  </si>
  <si>
    <t>Smartfit Brasil Capital de Giro 3</t>
  </si>
  <si>
    <t>Smartfit Brasil Capital de Giro 4</t>
  </si>
  <si>
    <t>Latamgym México 1</t>
  </si>
  <si>
    <t>Valor Inicial em BRL</t>
  </si>
  <si>
    <t>TIIE +</t>
  </si>
  <si>
    <t>MXN</t>
  </si>
  <si>
    <t>Latamgym México 2</t>
  </si>
  <si>
    <t>Latamgym México 3</t>
  </si>
  <si>
    <t>Latamgym México 4</t>
  </si>
  <si>
    <t>Latamgym México 5</t>
  </si>
  <si>
    <t>Latamgym México 6</t>
  </si>
  <si>
    <t>Latamgym México 7</t>
  </si>
  <si>
    <t>Latamgym México 8</t>
  </si>
  <si>
    <t>Valor em BRL</t>
  </si>
  <si>
    <t>ja venceu</t>
  </si>
  <si>
    <t>Sporty City Colombia 1</t>
  </si>
  <si>
    <t>IBR +</t>
  </si>
  <si>
    <t>COP</t>
  </si>
  <si>
    <t>Sporty City Colombia 2</t>
  </si>
  <si>
    <t>Sporty City Colombia 3</t>
  </si>
  <si>
    <t>Sporty City Colombia 4</t>
  </si>
  <si>
    <t>Sporty City Colombia 5</t>
  </si>
  <si>
    <t>Sporty City Colombia 6</t>
  </si>
  <si>
    <t>Sporty City Colombia 7</t>
  </si>
  <si>
    <t>Sporty City Colombia 8</t>
  </si>
  <si>
    <t>Sporty City Colombia 9</t>
  </si>
  <si>
    <t>Sporty City Colombia 10</t>
  </si>
  <si>
    <t>Sporty City Colombia 11</t>
  </si>
  <si>
    <t>Sporty City Colombia 12</t>
  </si>
  <si>
    <t>Sporty City Colombia 13</t>
  </si>
  <si>
    <t>Sporty City Colombia 14</t>
  </si>
  <si>
    <t>Sporty City Colombia 15</t>
  </si>
  <si>
    <t>Sporty City Colombia 16</t>
  </si>
  <si>
    <t>Sporty City Colombia 17</t>
  </si>
  <si>
    <t>Sporty City Colombia 18</t>
  </si>
  <si>
    <t>Sporty City Colombia 19</t>
  </si>
  <si>
    <t>Sporty City Colombia 20</t>
  </si>
  <si>
    <t>Sporty City Colombia 21</t>
  </si>
  <si>
    <t>Sporty City Colombia 22</t>
  </si>
  <si>
    <t>Sporty City Colombia 23</t>
  </si>
  <si>
    <t>Sporty City Colombia 24</t>
  </si>
  <si>
    <t>SmartFit Peru 1</t>
  </si>
  <si>
    <t>Pré-Fixado</t>
  </si>
  <si>
    <t>PEN</t>
  </si>
  <si>
    <t>SmartFit Peru 2</t>
  </si>
  <si>
    <t>SmartFit Peru 3</t>
  </si>
  <si>
    <t>SmartFit Peru 4</t>
  </si>
  <si>
    <t>SmartFit Peru 5</t>
  </si>
  <si>
    <t>SmartFit Peru 6</t>
  </si>
  <si>
    <t>SmartFit Peru 7</t>
  </si>
  <si>
    <t>Chile 1</t>
  </si>
  <si>
    <t>CLP</t>
  </si>
  <si>
    <t>Chile 2</t>
  </si>
  <si>
    <t>Chile 3</t>
  </si>
  <si>
    <t>Chile 4</t>
  </si>
  <si>
    <t>ICP +</t>
  </si>
  <si>
    <t>Chile 5</t>
  </si>
  <si>
    <t>Sporty Panama SA 1</t>
  </si>
  <si>
    <t>USD</t>
  </si>
  <si>
    <t>Sporty Panama SA 2</t>
  </si>
  <si>
    <t>Sporty Panama SA 3</t>
  </si>
  <si>
    <t>SOFR3M +</t>
  </si>
  <si>
    <t>Sporty Panama SA 4</t>
  </si>
  <si>
    <t>SmartFit Paraguai 1</t>
  </si>
  <si>
    <t>PYG</t>
  </si>
  <si>
    <t>SmartFit Paraguai 2</t>
  </si>
  <si>
    <t>SmartFit Paraguai 3</t>
  </si>
  <si>
    <t>SmartFit Paraguai 4</t>
  </si>
  <si>
    <t>julho</t>
  </si>
  <si>
    <t>SmartFit S.A.S</t>
  </si>
  <si>
    <t>Valor BRL</t>
  </si>
  <si>
    <t>ARS</t>
  </si>
  <si>
    <t>UI +</t>
  </si>
  <si>
    <t>UYU</t>
  </si>
  <si>
    <t>Lease Liability</t>
  </si>
  <si>
    <t>Lease Liabilities BoP</t>
  </si>
  <si>
    <t>% Amortization</t>
  </si>
  <si>
    <t xml:space="preserve">Net New Leases </t>
  </si>
  <si>
    <t>Lease Liabilitie EoP</t>
  </si>
  <si>
    <t xml:space="preserve">Lease Debt de Curto Prazo </t>
  </si>
  <si>
    <t xml:space="preserve">Lease Debt de Longo Prazo </t>
  </si>
  <si>
    <t xml:space="preserve">Interest Provision </t>
  </si>
  <si>
    <t xml:space="preserve">Cash BoP </t>
  </si>
  <si>
    <t>(+) Operational Cash post-Capex</t>
  </si>
  <si>
    <t>(+/-) Capital increase / Dividends</t>
  </si>
  <si>
    <t>(+/-) Existing Debt Var.</t>
  </si>
  <si>
    <t>(+/-) Financial Result</t>
  </si>
  <si>
    <t>(-) Amortization Revolver</t>
  </si>
  <si>
    <t>Cash EoP pre-Revolver</t>
  </si>
  <si>
    <t>(-) Minimum Cash</t>
  </si>
  <si>
    <t>% revenue</t>
  </si>
  <si>
    <t>(=) Cash Need</t>
  </si>
  <si>
    <t>Revolver BoP</t>
  </si>
  <si>
    <t>(+) New Debt</t>
  </si>
  <si>
    <t>Revolver EoP</t>
  </si>
  <si>
    <t>Financial Expenses</t>
  </si>
  <si>
    <t>Interest Rate</t>
  </si>
  <si>
    <t xml:space="preserve">Interest Income </t>
  </si>
  <si>
    <t xml:space="preserve">Financial Income </t>
  </si>
  <si>
    <t>Equity</t>
  </si>
  <si>
    <t>Equity BoP</t>
  </si>
  <si>
    <t>(+) Net Income</t>
  </si>
  <si>
    <t>(-) Dividends</t>
  </si>
  <si>
    <t>(+) Capital Increase</t>
  </si>
  <si>
    <t>Equity EoP</t>
  </si>
  <si>
    <t>Dividend Payout</t>
  </si>
  <si>
    <t>&lt;&lt;&lt;&lt;&lt;&lt;&lt;LISA DA UMA OLHADA PFVR</t>
  </si>
  <si>
    <t>Net Income</t>
  </si>
  <si>
    <t>% of Net Income</t>
  </si>
  <si>
    <t>Financial ratios</t>
  </si>
  <si>
    <t>Margins</t>
  </si>
  <si>
    <t xml:space="preserve"> EBITDA margin</t>
  </si>
  <si>
    <t xml:space="preserve"> Operating Margin</t>
  </si>
  <si>
    <t xml:space="preserve"> Net margin</t>
  </si>
  <si>
    <t>Profitability</t>
  </si>
  <si>
    <t xml:space="preserve"> ROIC</t>
  </si>
  <si>
    <t xml:space="preserve"> ROE</t>
  </si>
  <si>
    <t>Coverage</t>
  </si>
  <si>
    <t xml:space="preserve"> EBITDA/Net Interest</t>
  </si>
  <si>
    <t>Leverage</t>
  </si>
  <si>
    <t>Net Debt/EBITDA</t>
  </si>
  <si>
    <t>Debt</t>
  </si>
  <si>
    <t xml:space="preserve"> Total Debt</t>
  </si>
  <si>
    <t xml:space="preserve"> Net Debt</t>
  </si>
  <si>
    <t xml:space="preserve">ROIC </t>
  </si>
  <si>
    <t>NOPAT</t>
  </si>
  <si>
    <t>Invested Capital</t>
  </si>
  <si>
    <t>Working Capital</t>
  </si>
  <si>
    <t>Net PP&amp;E</t>
  </si>
  <si>
    <t>Intangibles</t>
  </si>
  <si>
    <t>ROIC</t>
  </si>
  <si>
    <t>Growth Capex LTM</t>
  </si>
  <si>
    <t>Maintenance Capex LTM</t>
  </si>
  <si>
    <t>New Units Opened</t>
  </si>
  <si>
    <t>Units 2Q25</t>
  </si>
  <si>
    <t>Units 2Q24</t>
  </si>
  <si>
    <t>Unit</t>
  </si>
  <si>
    <t>[aux1]</t>
  </si>
  <si>
    <t>[aux2]</t>
  </si>
  <si>
    <t>Revenue/Store</t>
  </si>
  <si>
    <t>% Mature</t>
  </si>
  <si>
    <t>Gross Profit</t>
  </si>
  <si>
    <t>(-) SG&amp;A</t>
  </si>
  <si>
    <t>EBITDA</t>
  </si>
  <si>
    <t>EBIT</t>
  </si>
  <si>
    <t>(-) Taxes</t>
  </si>
  <si>
    <t>Tax Rate</t>
  </si>
  <si>
    <t>Capex</t>
  </si>
  <si>
    <t>Opening Capex</t>
  </si>
  <si>
    <t>Unit Maintenance Capex</t>
  </si>
  <si>
    <t>Cash Flow</t>
  </si>
  <si>
    <t>(+) EBITDA</t>
  </si>
  <si>
    <t>(-) Opening Capex</t>
  </si>
  <si>
    <t>Accumulated Cash Flow</t>
  </si>
  <si>
    <t>Payback</t>
  </si>
  <si>
    <t>IRR 5y</t>
  </si>
  <si>
    <t>D@G</t>
  </si>
  <si>
    <t xml:space="preserve">FX Rate </t>
  </si>
  <si>
    <t>Deal Cash Flow (R$mn)</t>
  </si>
  <si>
    <t>Acc</t>
  </si>
  <si>
    <t>Returns (R$mn)</t>
  </si>
  <si>
    <t>Money In</t>
  </si>
  <si>
    <t>MoM</t>
  </si>
  <si>
    <t>Entry Valuation (R$mn)</t>
  </si>
  <si>
    <t>Money Out</t>
  </si>
  <si>
    <t>IRR</t>
  </si>
  <si>
    <t>DD Costs</t>
  </si>
  <si>
    <t>K-Gain</t>
  </si>
  <si>
    <t>EV / Revenue</t>
  </si>
  <si>
    <t>Dividends</t>
  </si>
  <si>
    <t>EV / EBITDA</t>
  </si>
  <si>
    <t>Exit Proceeds</t>
  </si>
  <si>
    <t>P / E Post-Money</t>
  </si>
  <si>
    <t>(=) Deal Cash Flow</t>
  </si>
  <si>
    <t>P / E Pre-Money</t>
  </si>
  <si>
    <t>CAGR</t>
  </si>
  <si>
    <t>Income Statement (R$mn)</t>
  </si>
  <si>
    <t>2023-25</t>
  </si>
  <si>
    <t>2026-27</t>
  </si>
  <si>
    <t>2026-31</t>
  </si>
  <si>
    <t>Entry Multiple</t>
  </si>
  <si>
    <t>Enterprise Value</t>
  </si>
  <si>
    <t>(-) Net Debt</t>
  </si>
  <si>
    <t>Gross Revenue</t>
  </si>
  <si>
    <t>(=) Equity Value</t>
  </si>
  <si>
    <t>(+) Money-In</t>
  </si>
  <si>
    <t xml:space="preserve">% Gross Revenue </t>
  </si>
  <si>
    <t>Exit</t>
  </si>
  <si>
    <t>(=) Equity Value Post Money</t>
  </si>
  <si>
    <t>(=) Net Revenue</t>
  </si>
  <si>
    <t>YoY Growth</t>
  </si>
  <si>
    <t>Exit Valuation (R$mn)</t>
  </si>
  <si>
    <t>(-) COGS</t>
  </si>
  <si>
    <t>(=) Gross Profit</t>
  </si>
  <si>
    <t>Gross Margin</t>
  </si>
  <si>
    <t>P / E</t>
  </si>
  <si>
    <t>(=) EBITDA</t>
  </si>
  <si>
    <t>EBITDA Margin</t>
  </si>
  <si>
    <t>(-) Financial Result</t>
  </si>
  <si>
    <t>(-) Income Tax</t>
  </si>
  <si>
    <t>Cap Table (R$mn)</t>
  </si>
  <si>
    <t>Pre-Deal</t>
  </si>
  <si>
    <t>Post-Deal</t>
  </si>
  <si>
    <t xml:space="preserve">Founders + Others Funds </t>
  </si>
  <si>
    <t>Net Margin %</t>
  </si>
  <si>
    <t>PEP</t>
  </si>
  <si>
    <t>Total</t>
  </si>
  <si>
    <t>Net Debt</t>
  </si>
  <si>
    <t>Sources ($mn)</t>
  </si>
  <si>
    <t>Net Debt / EBITDA</t>
  </si>
  <si>
    <t>PEP Equity Check</t>
  </si>
  <si>
    <t>(=) Total Sources</t>
  </si>
  <si>
    <t>Cash Flow (R$mn)</t>
  </si>
  <si>
    <t>Uses ($mn)</t>
  </si>
  <si>
    <t>Money-Out</t>
  </si>
  <si>
    <t>Money-In</t>
  </si>
  <si>
    <t>(-) ∆ Working Capital</t>
  </si>
  <si>
    <t xml:space="preserve">(-) Other Operational </t>
  </si>
  <si>
    <t>(=) Total Uses</t>
  </si>
  <si>
    <t>(=) Operating Cash Flow</t>
  </si>
  <si>
    <t>% of EBITDA</t>
  </si>
  <si>
    <t>(-) CAPEX</t>
  </si>
  <si>
    <t>(=) OCF after CAPEX</t>
  </si>
  <si>
    <t>(+/-) Loans</t>
  </si>
  <si>
    <t>(+/-) Revolver</t>
  </si>
  <si>
    <t xml:space="preserve">(+/-) Financial Result </t>
  </si>
  <si>
    <t>(=) FCFF</t>
  </si>
  <si>
    <t>(=) Net Cash Flow</t>
  </si>
  <si>
    <t>AVP (R$M)</t>
  </si>
  <si>
    <t>(x) Multiple</t>
  </si>
  <si>
    <t>TEV (R$M)</t>
  </si>
  <si>
    <t>Equity Value (R$M)</t>
  </si>
  <si>
    <t>Primary Check (R$M)</t>
  </si>
  <si>
    <t>Equity Value Post Money (R$M)</t>
  </si>
  <si>
    <t>Cap Table</t>
  </si>
  <si>
    <t>Founders</t>
  </si>
  <si>
    <t>Equity Value at Exit (R$M)</t>
  </si>
  <si>
    <t>PEP Stake Value (R$M)</t>
  </si>
  <si>
    <t>Return Calcs</t>
  </si>
  <si>
    <t>MOIC</t>
  </si>
  <si>
    <t>2025P</t>
  </si>
  <si>
    <t>2026P</t>
  </si>
  <si>
    <t>2027P</t>
  </si>
  <si>
    <t>2028P</t>
  </si>
  <si>
    <t>2029P</t>
  </si>
  <si>
    <t>2030P</t>
  </si>
  <si>
    <t>2031P</t>
  </si>
  <si>
    <t xml:space="preserve">World </t>
  </si>
  <si>
    <t>Atividade econômica</t>
  </si>
  <si>
    <t>Mundo –  Crescimento real do PIB</t>
  </si>
  <si>
    <t>EUA – Crescimento real do PIB</t>
  </si>
  <si>
    <t>Zona do Euro – Crescimento real do PIB</t>
  </si>
  <si>
    <t>China – Crescimento real do PIB</t>
  </si>
  <si>
    <t>Inflação</t>
  </si>
  <si>
    <t>EUA – CPI</t>
  </si>
  <si>
    <t>Núcleo do CPI</t>
  </si>
  <si>
    <t>Zona do Euro – CPI</t>
  </si>
  <si>
    <t>PIB nominal – Bilhões de reais</t>
  </si>
  <si>
    <t>PIB nominal – Bilhões de dólares</t>
  </si>
  <si>
    <t>Crescimento real do PIB</t>
  </si>
  <si>
    <t>Taxa de desemprego - média do ano</t>
  </si>
  <si>
    <t>Taxa de desemprego - fim de período</t>
  </si>
  <si>
    <t>IPCA</t>
  </si>
  <si>
    <t>INPC</t>
  </si>
  <si>
    <t>IPA-M (preços por atacado)</t>
  </si>
  <si>
    <t>Taxa de juros</t>
  </si>
  <si>
    <t>Selic – final do ano</t>
  </si>
  <si>
    <t>Selic – média do ano</t>
  </si>
  <si>
    <t>Taxa real de juros (Selic/IPCA) – fim de período</t>
  </si>
  <si>
    <t>CDI - final do ano (anualizado)</t>
  </si>
  <si>
    <t>CDI - acumulado no ano</t>
  </si>
  <si>
    <t>TJLP (Taxa nominal) – fim de período</t>
  </si>
  <si>
    <t>TLP (Taxa real) – fim de período</t>
  </si>
  <si>
    <t>Finanças públicas</t>
  </si>
  <si>
    <t>Resultado primário – % do PIB</t>
  </si>
  <si>
    <t>Resultado nominal – % do PIB</t>
  </si>
  <si>
    <t>Dívida pública líquida - % do PIB</t>
  </si>
  <si>
    <t>Dívida pública bruta - % do PIB</t>
  </si>
  <si>
    <t>Taxa de câmbio</t>
  </si>
  <si>
    <t>BRL / USD – dez</t>
  </si>
  <si>
    <t>BRL / USD – média do ano</t>
  </si>
  <si>
    <t>Setor externo</t>
  </si>
  <si>
    <t>Balança comercial - USD bi</t>
  </si>
  <si>
    <t>Exportações – USD bi</t>
  </si>
  <si>
    <t>Importações – USD bi</t>
  </si>
  <si>
    <t>Conta corrente - % PIB</t>
  </si>
  <si>
    <t>Investimento direto no país - % PIB</t>
  </si>
  <si>
    <t>Inflação LatAm + Caribe</t>
  </si>
  <si>
    <t>Câmbio MXN/BRL</t>
  </si>
  <si>
    <t>CPI MXN</t>
  </si>
  <si>
    <t>Fonte: Itaú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</si>
</sst>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_);\(#,##0.0\)"/>
    <numFmt numFmtId="167" formatCode="#,##0.0"/>
    <numFmt numFmtId="168" formatCode="#,##0.0;\(#,##0.0\);\-"/>
    <numFmt numFmtId="169" formatCode="[$-409]mmm\-yy;@"/>
    <numFmt numFmtId="170" formatCode="_(#,##0.0_)_%;\(#,##0.0\)_%;_(&quot;–&quot;_)_%;_(@_)_%"/>
    <numFmt numFmtId="171" formatCode="0&quot;E&quot;"/>
    <numFmt numFmtId="172" formatCode="_(#,##0_)_%;\(#,##0\)_%;_(&quot;–&quot;_)_%;_(@_)_%"/>
    <numFmt numFmtId="173" formatCode="_(0.0\x_)_)_';_(\(0.0\x\)_'_';_(&quot;–&quot;_)_%;_(@_)_%"/>
    <numFmt numFmtId="174" formatCode="_(#,##0.0%_);\(#,##0.0%\);_(&quot;–&quot;_)_%;_(@_)_%"/>
    <numFmt numFmtId="175" formatCode="#,##0;\(#,##0\);&quot;–&quot;;@"/>
    <numFmt numFmtId="176" formatCode="_(#,##0%_);\(#,##0%\);_(&quot;–&quot;_)_%;_(@_)_%"/>
    <numFmt numFmtId="177" formatCode="#,##0.0%;\(#,##0.0%\);&quot;–&quot;;@"/>
    <numFmt numFmtId="178" formatCode="0.0\x;\(0.0\x\);&quot;–&quot;"/>
    <numFmt numFmtId="179" formatCode="_([$$]#,##0_)_%;\([$$]#,##0\)_%;_(&quot;–&quot;_)_%;_(@_)_%"/>
    <numFmt numFmtId="180" formatCode="0.0\x"/>
    <numFmt numFmtId="181" formatCode="#,##0;\(#,##0\);\-"/>
    <numFmt numFmtId="182" formatCode="#&quot;y&quot;"/>
    <numFmt numFmtId="183" formatCode="_(* #,##0_);_(* \(#,##0\);_(* &quot;-&quot;??_);_(@_)"/>
    <numFmt numFmtId="184" formatCode="#,##0.00;\(#,##0.00\);\-"/>
    <numFmt numFmtId="185" formatCode="yyyy&quot;A&quot;"/>
    <numFmt numFmtId="186" formatCode="yyyy&quot;E&quot;"/>
    <numFmt numFmtId="187" formatCode="#,##0.0;\(#,##0.0\);&quot;–&quot;;@"/>
    <numFmt numFmtId="188" formatCode="0.0%;\(0.0%\)"/>
    <numFmt numFmtId="189" formatCode="#,##0;\(#,##0\);&quot;-&quot;"/>
    <numFmt numFmtId="190" formatCode="0.00\x"/>
    <numFmt numFmtId="191" formatCode="_(0.00\x_)_)_';_(\(0.00\x\)_'_';_(&quot;–&quot;_)_%;_(@_)_%"/>
    <numFmt numFmtId="192" formatCode="#,##0.000;\(#,##0.000\);\-"/>
  </numFmts>
  <fonts count="7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Inter"/>
    </font>
    <font>
      <sz val="11"/>
      <color theme="1"/>
      <name val="Arial Narrow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Inter"/>
    </font>
    <font>
      <sz val="10"/>
      <name val="Inter"/>
    </font>
    <font>
      <i/>
      <sz val="10"/>
      <name val="Inter"/>
    </font>
    <font>
      <b/>
      <i/>
      <sz val="10"/>
      <name val="Inter"/>
    </font>
    <font>
      <i/>
      <sz val="9"/>
      <name val="Inter"/>
    </font>
    <font>
      <b/>
      <sz val="10"/>
      <name val="Inter"/>
    </font>
    <font>
      <b/>
      <i/>
      <sz val="10"/>
      <color indexed="9"/>
      <name val="Inter"/>
    </font>
    <font>
      <b/>
      <sz val="10"/>
      <color theme="0"/>
      <name val="Inter"/>
    </font>
    <font>
      <b/>
      <i/>
      <sz val="10"/>
      <color theme="0"/>
      <name val="Inter"/>
    </font>
    <font>
      <b/>
      <sz val="10"/>
      <color rgb="FFFF7800"/>
      <name val="Inter"/>
    </font>
    <font>
      <b/>
      <sz val="10"/>
      <color theme="1"/>
      <name val="Inter"/>
    </font>
    <font>
      <sz val="10"/>
      <color theme="1"/>
      <name val="Inter"/>
    </font>
    <font>
      <b/>
      <i/>
      <sz val="10"/>
      <color theme="1"/>
      <name val="Inter"/>
    </font>
    <font>
      <i/>
      <sz val="10"/>
      <color theme="1"/>
      <name val="Inter"/>
    </font>
    <font>
      <i/>
      <u/>
      <sz val="10"/>
      <name val="Inter"/>
    </font>
    <font>
      <b/>
      <sz val="11"/>
      <color rgb="FFFFFFFF"/>
      <name val="Inter"/>
    </font>
    <font>
      <sz val="10"/>
      <color rgb="FF008000"/>
      <name val="Inter"/>
    </font>
    <font>
      <sz val="10"/>
      <color rgb="FF000000"/>
      <name val="Inter"/>
    </font>
    <font>
      <b/>
      <sz val="10"/>
      <color rgb="FF000000"/>
      <name val="Inter"/>
    </font>
    <font>
      <b/>
      <i/>
      <u/>
      <sz val="10"/>
      <name val="Inter"/>
    </font>
    <font>
      <i/>
      <sz val="10"/>
      <color rgb="FF000000"/>
      <name val="Inter"/>
    </font>
    <font>
      <sz val="10"/>
      <color rgb="FF0000FF"/>
      <name val="Inter"/>
    </font>
    <font>
      <b/>
      <sz val="11"/>
      <color theme="1"/>
      <name val="Inter"/>
    </font>
    <font>
      <b/>
      <sz val="11"/>
      <color theme="0"/>
      <name val="Inte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rgb="FF00CC00"/>
      <name val="Aptos Narrow"/>
      <family val="2"/>
      <scheme val="minor"/>
    </font>
    <font>
      <sz val="11"/>
      <color rgb="FF00CC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4"/>
      <color rgb="FF0F172A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i/>
      <sz val="11"/>
      <color rgb="FF00CC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i/>
      <u/>
      <sz val="11"/>
      <color theme="7" tint="0.59999389629810485"/>
      <name val="Aptos Narrow"/>
      <family val="2"/>
      <scheme val="minor"/>
    </font>
    <font>
      <sz val="11"/>
      <color rgb="FF008000"/>
      <name val="Aptos Narrow"/>
      <family val="2"/>
      <scheme val="minor"/>
    </font>
    <font>
      <i/>
      <sz val="11"/>
      <color rgb="FF008000"/>
      <name val="Aptos Narrow"/>
      <family val="2"/>
      <scheme val="minor"/>
    </font>
    <font>
      <i/>
      <sz val="11"/>
      <color theme="7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/>
    </fill>
    <fill>
      <patternFill patternType="gray0625">
        <bgColor theme="0" tint="-4.9989318521683403E-2"/>
      </patternFill>
    </fill>
    <fill>
      <patternFill patternType="solid">
        <fgColor rgb="FFFFFB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E161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F6D1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hair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theme="0" tint="-0.1499984740745262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 style="hair">
        <color rgb="FF000000"/>
      </top>
      <bottom/>
      <diagonal/>
    </border>
    <border>
      <left style="hair">
        <color theme="1"/>
      </left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theme="1"/>
      </top>
      <bottom/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 style="hair">
        <color indexed="64"/>
      </right>
      <top style="thin">
        <color theme="1"/>
      </top>
      <bottom style="thin">
        <color theme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14999847407452621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614">
    <xf numFmtId="0" fontId="0" fillId="0" borderId="0" xfId="0"/>
    <xf numFmtId="0" fontId="5" fillId="0" borderId="0" xfId="0" applyFont="1"/>
    <xf numFmtId="0" fontId="10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right" vertical="center"/>
    </xf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vertical="top"/>
    </xf>
    <xf numFmtId="0" fontId="10" fillId="0" borderId="0" xfId="3" applyFont="1" applyAlignment="1">
      <alignment horizontal="center" vertical="center"/>
    </xf>
    <xf numFmtId="0" fontId="15" fillId="13" borderId="0" xfId="3" applyFont="1" applyFill="1" applyAlignment="1">
      <alignment vertical="center" wrapText="1"/>
    </xf>
    <xf numFmtId="0" fontId="16" fillId="13" borderId="0" xfId="3" applyFont="1" applyFill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0" fontId="17" fillId="12" borderId="36" xfId="3" applyFont="1" applyFill="1" applyBorder="1" applyAlignment="1">
      <alignment vertical="center" wrapText="1"/>
    </xf>
    <xf numFmtId="17" fontId="18" fillId="12" borderId="36" xfId="3" applyNumberFormat="1" applyFont="1" applyFill="1" applyBorder="1" applyAlignment="1">
      <alignment horizontal="center" vertical="center" wrapText="1"/>
    </xf>
    <xf numFmtId="0" fontId="19" fillId="0" borderId="36" xfId="3" applyFont="1" applyBorder="1" applyAlignment="1">
      <alignment vertical="center" wrapText="1"/>
    </xf>
    <xf numFmtId="165" fontId="20" fillId="0" borderId="36" xfId="3" applyNumberFormat="1" applyFont="1" applyBorder="1" applyAlignment="1">
      <alignment horizontal="center" vertical="center" wrapText="1"/>
    </xf>
    <xf numFmtId="0" fontId="21" fillId="14" borderId="0" xfId="3" applyFont="1" applyFill="1" applyAlignment="1">
      <alignment horizontal="left" vertical="center" indent="1"/>
    </xf>
    <xf numFmtId="165" fontId="21" fillId="14" borderId="0" xfId="3" applyNumberFormat="1" applyFont="1" applyFill="1" applyAlignment="1">
      <alignment horizontal="center" vertical="center" wrapText="1"/>
    </xf>
    <xf numFmtId="165" fontId="21" fillId="12" borderId="0" xfId="3" applyNumberFormat="1" applyFont="1" applyFill="1" applyAlignment="1">
      <alignment horizontal="center" vertical="center" wrapText="1"/>
    </xf>
    <xf numFmtId="165" fontId="20" fillId="15" borderId="0" xfId="5" applyNumberFormat="1" applyFont="1" applyFill="1" applyAlignment="1">
      <alignment horizontal="center" vertical="center" wrapText="1"/>
    </xf>
    <xf numFmtId="165" fontId="20" fillId="15" borderId="0" xfId="3" applyNumberFormat="1" applyFont="1" applyFill="1" applyAlignment="1">
      <alignment horizontal="center" vertical="center" wrapText="1"/>
    </xf>
    <xf numFmtId="0" fontId="20" fillId="0" borderId="36" xfId="3" applyFont="1" applyBorder="1" applyAlignment="1">
      <alignment vertical="center" wrapText="1"/>
    </xf>
    <xf numFmtId="0" fontId="21" fillId="14" borderId="0" xfId="6" applyFont="1" applyFill="1" applyAlignment="1">
      <alignment horizontal="left" vertical="center" indent="1"/>
    </xf>
    <xf numFmtId="17" fontId="22" fillId="12" borderId="36" xfId="3" applyNumberFormat="1" applyFont="1" applyFill="1" applyBorder="1" applyAlignment="1">
      <alignment horizontal="center" vertical="center" wrapText="1"/>
    </xf>
    <xf numFmtId="17" fontId="23" fillId="12" borderId="36" xfId="3" applyNumberFormat="1" applyFont="1" applyFill="1" applyBorder="1" applyAlignment="1">
      <alignment horizontal="center" vertical="center" wrapText="1"/>
    </xf>
    <xf numFmtId="183" fontId="21" fillId="12" borderId="0" xfId="7" applyNumberFormat="1" applyFont="1" applyFill="1" applyAlignment="1">
      <alignment horizontal="center" vertical="center" wrapText="1"/>
    </xf>
    <xf numFmtId="183" fontId="20" fillId="15" borderId="0" xfId="7" applyNumberFormat="1" applyFont="1" applyFill="1" applyAlignment="1">
      <alignment horizontal="center" vertical="center" wrapText="1"/>
    </xf>
    <xf numFmtId="165" fontId="21" fillId="12" borderId="0" xfId="4" applyNumberFormat="1" applyFont="1" applyFill="1" applyAlignment="1">
      <alignment horizontal="center" vertical="center" wrapText="1"/>
    </xf>
    <xf numFmtId="165" fontId="20" fillId="15" borderId="0" xfId="4" applyNumberFormat="1" applyFont="1" applyFill="1" applyAlignment="1">
      <alignment horizontal="center" vertical="center" wrapText="1"/>
    </xf>
    <xf numFmtId="165" fontId="20" fillId="0" borderId="0" xfId="4" applyNumberFormat="1" applyFont="1" applyAlignment="1">
      <alignment horizontal="center" vertical="center" wrapText="1"/>
    </xf>
    <xf numFmtId="10" fontId="21" fillId="12" borderId="0" xfId="5" applyNumberFormat="1" applyFont="1" applyFill="1" applyAlignment="1">
      <alignment horizontal="center" vertical="center" wrapText="1"/>
    </xf>
    <xf numFmtId="10" fontId="20" fillId="15" borderId="0" xfId="5" applyNumberFormat="1" applyFont="1" applyFill="1" applyAlignment="1">
      <alignment horizontal="center" vertical="center" wrapText="1"/>
    </xf>
    <xf numFmtId="10" fontId="20" fillId="0" borderId="0" xfId="5" applyNumberFormat="1" applyFont="1" applyFill="1" applyAlignment="1">
      <alignment horizontal="center" vertical="center" wrapText="1"/>
    </xf>
    <xf numFmtId="10" fontId="21" fillId="12" borderId="0" xfId="8" applyNumberFormat="1" applyFont="1" applyFill="1" applyAlignment="1">
      <alignment horizontal="center" vertical="center" wrapText="1"/>
    </xf>
    <xf numFmtId="10" fontId="20" fillId="15" borderId="0" xfId="8" applyNumberFormat="1" applyFont="1" applyFill="1" applyAlignment="1">
      <alignment horizontal="center" vertical="center" wrapText="1"/>
    </xf>
    <xf numFmtId="10" fontId="5" fillId="0" borderId="0" xfId="0" applyNumberFormat="1" applyFont="1"/>
    <xf numFmtId="10" fontId="21" fillId="12" borderId="0" xfId="3" applyNumberFormat="1" applyFont="1" applyFill="1" applyAlignment="1">
      <alignment horizontal="center" vertical="center" wrapText="1"/>
    </xf>
    <xf numFmtId="10" fontId="20" fillId="15" borderId="0" xfId="3" applyNumberFormat="1" applyFont="1" applyFill="1" applyAlignment="1">
      <alignment horizontal="center" vertical="center" wrapText="1"/>
    </xf>
    <xf numFmtId="10" fontId="21" fillId="0" borderId="0" xfId="8" applyNumberFormat="1" applyFont="1" applyAlignment="1">
      <alignment horizontal="center" vertical="center" wrapText="1"/>
    </xf>
    <xf numFmtId="165" fontId="21" fillId="14" borderId="0" xfId="5" applyNumberFormat="1" applyFont="1" applyFill="1" applyAlignment="1">
      <alignment horizontal="left" vertical="center" indent="1"/>
    </xf>
    <xf numFmtId="165" fontId="21" fillId="12" borderId="0" xfId="5" applyNumberFormat="1" applyFont="1" applyFill="1" applyAlignment="1">
      <alignment horizontal="center" vertical="center" wrapText="1"/>
    </xf>
    <xf numFmtId="164" fontId="21" fillId="14" borderId="0" xfId="9" applyNumberFormat="1" applyFont="1" applyFill="1" applyAlignment="1">
      <alignment horizontal="left" vertical="center" indent="1"/>
    </xf>
    <xf numFmtId="2" fontId="21" fillId="12" borderId="0" xfId="9" applyNumberFormat="1" applyFont="1" applyFill="1" applyAlignment="1">
      <alignment horizontal="center" vertical="center" wrapText="1"/>
    </xf>
    <xf numFmtId="2" fontId="20" fillId="15" borderId="0" xfId="9" applyNumberFormat="1" applyFont="1" applyFill="1" applyAlignment="1">
      <alignment horizontal="center" vertical="center" wrapText="1"/>
    </xf>
    <xf numFmtId="1" fontId="21" fillId="12" borderId="0" xfId="7" applyNumberFormat="1" applyFont="1" applyFill="1" applyAlignment="1">
      <alignment horizontal="center" vertical="center" wrapText="1"/>
    </xf>
    <xf numFmtId="1" fontId="20" fillId="15" borderId="0" xfId="7" applyNumberFormat="1" applyFont="1" applyFill="1" applyAlignment="1">
      <alignment horizontal="center" vertical="center" wrapText="1"/>
    </xf>
    <xf numFmtId="0" fontId="21" fillId="0" borderId="0" xfId="3" applyFont="1" applyAlignment="1">
      <alignment horizontal="left" vertical="center" indent="1"/>
    </xf>
    <xf numFmtId="1" fontId="21" fillId="12" borderId="0" xfId="6" applyNumberFormat="1" applyFont="1" applyFill="1" applyAlignment="1">
      <alignment horizontal="center" vertical="center" wrapText="1"/>
    </xf>
    <xf numFmtId="1" fontId="20" fillId="15" borderId="0" xfId="6" applyNumberFormat="1" applyFont="1" applyFill="1" applyAlignment="1">
      <alignment horizontal="center" vertical="center" wrapText="1"/>
    </xf>
    <xf numFmtId="0" fontId="21" fillId="14" borderId="37" xfId="3" applyFont="1" applyFill="1" applyBorder="1" applyAlignment="1">
      <alignment horizontal="left" vertical="center" indent="1"/>
    </xf>
    <xf numFmtId="165" fontId="21" fillId="12" borderId="37" xfId="5" applyNumberFormat="1" applyFont="1" applyFill="1" applyBorder="1" applyAlignment="1">
      <alignment horizontal="center" vertical="center" wrapText="1"/>
    </xf>
    <xf numFmtId="165" fontId="20" fillId="15" borderId="37" xfId="5" applyNumberFormat="1" applyFont="1" applyFill="1" applyBorder="1" applyAlignment="1">
      <alignment horizontal="center" vertical="center" wrapText="1"/>
    </xf>
    <xf numFmtId="0" fontId="11" fillId="15" borderId="0" xfId="3" applyFont="1" applyFill="1" applyAlignment="1">
      <alignment vertical="center"/>
    </xf>
    <xf numFmtId="0" fontId="11" fillId="15" borderId="0" xfId="3" applyFont="1" applyFill="1" applyAlignment="1">
      <alignment horizontal="right" vertical="center"/>
    </xf>
    <xf numFmtId="0" fontId="12" fillId="15" borderId="0" xfId="3" applyFont="1" applyFill="1" applyAlignment="1">
      <alignment vertical="center"/>
    </xf>
    <xf numFmtId="0" fontId="13" fillId="15" borderId="0" xfId="3" applyFont="1" applyFill="1" applyAlignment="1">
      <alignment vertical="center"/>
    </xf>
    <xf numFmtId="43" fontId="11" fillId="15" borderId="0" xfId="3" applyNumberFormat="1" applyFont="1" applyFill="1" applyAlignment="1">
      <alignment vertical="center"/>
    </xf>
    <xf numFmtId="43" fontId="11" fillId="0" borderId="0" xfId="3" applyNumberFormat="1" applyFont="1" applyAlignment="1">
      <alignment vertical="center"/>
    </xf>
    <xf numFmtId="0" fontId="11" fillId="0" borderId="35" xfId="3" applyFont="1" applyBorder="1" applyAlignment="1">
      <alignment vertical="center"/>
    </xf>
    <xf numFmtId="0" fontId="11" fillId="15" borderId="35" xfId="3" applyFont="1" applyFill="1" applyBorder="1" applyAlignment="1">
      <alignment vertical="center"/>
    </xf>
    <xf numFmtId="0" fontId="11" fillId="15" borderId="35" xfId="3" applyFont="1" applyFill="1" applyBorder="1" applyAlignment="1">
      <alignment horizontal="right" vertical="center"/>
    </xf>
    <xf numFmtId="0" fontId="12" fillId="15" borderId="35" xfId="3" applyFont="1" applyFill="1" applyBorder="1" applyAlignment="1">
      <alignment vertical="center"/>
    </xf>
    <xf numFmtId="0" fontId="13" fillId="15" borderId="35" xfId="3" applyFont="1" applyFill="1" applyBorder="1" applyAlignment="1">
      <alignment vertical="center"/>
    </xf>
    <xf numFmtId="43" fontId="11" fillId="15" borderId="35" xfId="3" applyNumberFormat="1" applyFont="1" applyFill="1" applyBorder="1" applyAlignment="1">
      <alignment vertical="center"/>
    </xf>
    <xf numFmtId="10" fontId="11" fillId="0" borderId="35" xfId="3" applyNumberFormat="1" applyFont="1" applyBorder="1" applyAlignment="1">
      <alignment vertical="center"/>
    </xf>
    <xf numFmtId="10" fontId="5" fillId="0" borderId="35" xfId="0" applyNumberFormat="1" applyFont="1" applyBorder="1"/>
    <xf numFmtId="0" fontId="24" fillId="0" borderId="0" xfId="0" applyFont="1" applyAlignment="1">
      <alignment horizontal="center"/>
    </xf>
    <xf numFmtId="0" fontId="25" fillId="2" borderId="24" xfId="0" applyFont="1" applyFill="1" applyBorder="1"/>
    <xf numFmtId="180" fontId="25" fillId="2" borderId="25" xfId="0" applyNumberFormat="1" applyFont="1" applyFill="1" applyBorder="1" applyAlignment="1">
      <alignment horizontal="center"/>
    </xf>
    <xf numFmtId="180" fontId="25" fillId="2" borderId="26" xfId="0" applyNumberFormat="1" applyFont="1" applyFill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179" fontId="26" fillId="0" borderId="0" xfId="0" applyNumberFormat="1" applyFont="1" applyAlignment="1">
      <alignment horizontal="center"/>
    </xf>
    <xf numFmtId="179" fontId="27" fillId="0" borderId="0" xfId="0" applyNumberFormat="1" applyFont="1" applyAlignment="1">
      <alignment horizontal="center"/>
    </xf>
    <xf numFmtId="173" fontId="27" fillId="0" borderId="0" xfId="0" applyNumberFormat="1" applyFont="1" applyAlignment="1">
      <alignment horizontal="center"/>
    </xf>
    <xf numFmtId="0" fontId="15" fillId="3" borderId="32" xfId="0" applyFont="1" applyFill="1" applyBorder="1"/>
    <xf numFmtId="179" fontId="28" fillId="3" borderId="31" xfId="0" applyNumberFormat="1" applyFont="1" applyFill="1" applyBorder="1" applyAlignment="1">
      <alignment horizontal="center"/>
    </xf>
    <xf numFmtId="0" fontId="15" fillId="9" borderId="32" xfId="0" applyFont="1" applyFill="1" applyBorder="1"/>
    <xf numFmtId="179" fontId="28" fillId="9" borderId="31" xfId="0" applyNumberFormat="1" applyFont="1" applyFill="1" applyBorder="1" applyAlignment="1">
      <alignment horizontal="center"/>
    </xf>
    <xf numFmtId="0" fontId="29" fillId="0" borderId="27" xfId="0" applyFont="1" applyBorder="1"/>
    <xf numFmtId="0" fontId="12" fillId="10" borderId="33" xfId="0" applyFont="1" applyFill="1" applyBorder="1"/>
    <xf numFmtId="176" fontId="30" fillId="10" borderId="16" xfId="0" applyNumberFormat="1" applyFont="1" applyFill="1" applyBorder="1" applyAlignment="1">
      <alignment horizontal="center"/>
    </xf>
    <xf numFmtId="0" fontId="12" fillId="10" borderId="34" xfId="0" applyFont="1" applyFill="1" applyBorder="1"/>
    <xf numFmtId="176" fontId="30" fillId="10" borderId="20" xfId="0" applyNumberFormat="1" applyFont="1" applyFill="1" applyBorder="1" applyAlignment="1">
      <alignment horizontal="center"/>
    </xf>
    <xf numFmtId="0" fontId="5" fillId="0" borderId="33" xfId="0" applyFont="1" applyBorder="1"/>
    <xf numFmtId="0" fontId="5" fillId="0" borderId="16" xfId="0" applyFont="1" applyBorder="1"/>
    <xf numFmtId="179" fontId="26" fillId="0" borderId="16" xfId="0" applyNumberFormat="1" applyFont="1" applyBorder="1" applyAlignment="1">
      <alignment horizontal="center"/>
    </xf>
    <xf numFmtId="179" fontId="27" fillId="0" borderId="16" xfId="0" applyNumberFormat="1" applyFont="1" applyBorder="1" applyAlignment="1">
      <alignment horizontal="center"/>
    </xf>
    <xf numFmtId="0" fontId="5" fillId="0" borderId="34" xfId="0" applyFont="1" applyBorder="1"/>
    <xf numFmtId="179" fontId="27" fillId="0" borderId="20" xfId="0" applyNumberFormat="1" applyFont="1" applyBorder="1" applyAlignment="1">
      <alignment horizontal="center"/>
    </xf>
    <xf numFmtId="0" fontId="24" fillId="0" borderId="27" xfId="0" applyFont="1" applyBorder="1"/>
    <xf numFmtId="169" fontId="5" fillId="0" borderId="27" xfId="0" applyNumberFormat="1" applyFont="1" applyBorder="1" applyAlignment="1">
      <alignment horizontal="left"/>
    </xf>
    <xf numFmtId="179" fontId="31" fillId="0" borderId="0" xfId="0" applyNumberFormat="1" applyFont="1" applyAlignment="1">
      <alignment horizontal="center"/>
    </xf>
    <xf numFmtId="169" fontId="15" fillId="11" borderId="32" xfId="0" applyNumberFormat="1" applyFont="1" applyFill="1" applyBorder="1" applyAlignment="1">
      <alignment horizontal="left"/>
    </xf>
    <xf numFmtId="174" fontId="28" fillId="11" borderId="31" xfId="0" applyNumberFormat="1" applyFont="1" applyFill="1" applyBorder="1" applyAlignment="1">
      <alignment horizontal="center"/>
    </xf>
    <xf numFmtId="0" fontId="15" fillId="11" borderId="27" xfId="0" applyFont="1" applyFill="1" applyBorder="1"/>
    <xf numFmtId="173" fontId="28" fillId="11" borderId="0" xfId="0" applyNumberFormat="1" applyFont="1" applyFill="1" applyAlignment="1">
      <alignment horizontal="center"/>
    </xf>
    <xf numFmtId="0" fontId="15" fillId="11" borderId="29" xfId="0" applyFont="1" applyFill="1" applyBorder="1"/>
    <xf numFmtId="179" fontId="28" fillId="11" borderId="3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2" fillId="0" borderId="0" xfId="0" applyFont="1"/>
    <xf numFmtId="0" fontId="5" fillId="13" borderId="0" xfId="0" applyFont="1" applyFill="1"/>
    <xf numFmtId="0" fontId="5" fillId="3" borderId="0" xfId="0" applyFont="1" applyFill="1"/>
    <xf numFmtId="0" fontId="33" fillId="1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" fontId="5" fillId="3" borderId="0" xfId="0" applyNumberFormat="1" applyFont="1" applyFill="1" applyAlignment="1">
      <alignment horizontal="center"/>
    </xf>
    <xf numFmtId="0" fontId="5" fillId="18" borderId="0" xfId="0" applyFont="1" applyFill="1"/>
    <xf numFmtId="0" fontId="34" fillId="13" borderId="48" xfId="0" applyFont="1" applyFill="1" applyBorder="1"/>
    <xf numFmtId="0" fontId="34" fillId="13" borderId="49" xfId="0" applyFont="1" applyFill="1" applyBorder="1"/>
    <xf numFmtId="0" fontId="34" fillId="13" borderId="50" xfId="0" applyFont="1" applyFill="1" applyBorder="1"/>
    <xf numFmtId="0" fontId="34" fillId="13" borderId="51" xfId="0" applyFont="1" applyFill="1" applyBorder="1"/>
    <xf numFmtId="0" fontId="34" fillId="13" borderId="0" xfId="0" applyFont="1" applyFill="1"/>
    <xf numFmtId="0" fontId="34" fillId="13" borderId="52" xfId="0" applyFont="1" applyFill="1" applyBorder="1"/>
    <xf numFmtId="0" fontId="35" fillId="13" borderId="0" xfId="0" applyFont="1" applyFill="1"/>
    <xf numFmtId="0" fontId="2" fillId="13" borderId="0" xfId="0" applyFont="1" applyFill="1"/>
    <xf numFmtId="0" fontId="34" fillId="13" borderId="53" xfId="0" applyFont="1" applyFill="1" applyBorder="1"/>
    <xf numFmtId="0" fontId="34" fillId="13" borderId="54" xfId="0" applyFont="1" applyFill="1" applyBorder="1"/>
    <xf numFmtId="0" fontId="34" fillId="13" borderId="55" xfId="0" applyFont="1" applyFill="1" applyBorder="1"/>
    <xf numFmtId="0" fontId="4" fillId="12" borderId="0" xfId="0" applyFont="1" applyFill="1"/>
    <xf numFmtId="0" fontId="3" fillId="7" borderId="38" xfId="0" applyFont="1" applyFill="1" applyBorder="1"/>
    <xf numFmtId="0" fontId="3" fillId="12" borderId="0" xfId="0" applyFont="1" applyFill="1"/>
    <xf numFmtId="0" fontId="0" fillId="13" borderId="0" xfId="0" applyFill="1"/>
    <xf numFmtId="0" fontId="0" fillId="18" borderId="0" xfId="0" applyFill="1"/>
    <xf numFmtId="0" fontId="38" fillId="13" borderId="0" xfId="0" applyFont="1" applyFill="1" applyAlignment="1">
      <alignment horizontal="center"/>
    </xf>
    <xf numFmtId="185" fontId="38" fillId="13" borderId="0" xfId="0" applyNumberFormat="1" applyFont="1" applyFill="1" applyAlignment="1">
      <alignment horizontal="center"/>
    </xf>
    <xf numFmtId="186" fontId="38" fillId="18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189" fontId="0" fillId="0" borderId="0" xfId="1" applyNumberFormat="1" applyFont="1" applyAlignment="1">
      <alignment horizontal="center"/>
    </xf>
    <xf numFmtId="165" fontId="39" fillId="0" borderId="0" xfId="1" applyNumberFormat="1" applyFont="1" applyAlignment="1">
      <alignment horizontal="center"/>
    </xf>
    <xf numFmtId="189" fontId="4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8" fontId="41" fillId="0" borderId="0" xfId="0" applyNumberFormat="1" applyFont="1" applyAlignment="1">
      <alignment horizontal="center"/>
    </xf>
    <xf numFmtId="168" fontId="42" fillId="0" borderId="0" xfId="0" applyNumberFormat="1" applyFont="1" applyAlignment="1">
      <alignment horizontal="center"/>
    </xf>
    <xf numFmtId="0" fontId="40" fillId="0" borderId="0" xfId="0" applyFont="1"/>
    <xf numFmtId="188" fontId="3" fillId="7" borderId="23" xfId="0" applyNumberFormat="1" applyFont="1" applyFill="1" applyBorder="1" applyAlignment="1">
      <alignment horizontal="center"/>
    </xf>
    <xf numFmtId="0" fontId="0" fillId="4" borderId="0" xfId="0" applyFill="1"/>
    <xf numFmtId="188" fontId="43" fillId="0" borderId="0" xfId="1" applyNumberFormat="1" applyFont="1" applyAlignment="1">
      <alignment horizontal="center"/>
    </xf>
    <xf numFmtId="188" fontId="42" fillId="0" borderId="0" xfId="0" applyNumberFormat="1" applyFont="1" applyAlignment="1">
      <alignment horizontal="center"/>
    </xf>
    <xf numFmtId="188" fontId="0" fillId="0" borderId="0" xfId="0" applyNumberFormat="1"/>
    <xf numFmtId="168" fontId="4" fillId="0" borderId="0" xfId="0" applyNumberFormat="1" applyFont="1" applyAlignment="1">
      <alignment horizontal="center"/>
    </xf>
    <xf numFmtId="188" fontId="40" fillId="0" borderId="0" xfId="1" applyNumberFormat="1" applyFont="1" applyAlignment="1">
      <alignment horizontal="center"/>
    </xf>
    <xf numFmtId="188" fontId="40" fillId="7" borderId="0" xfId="0" applyNumberFormat="1" applyFont="1" applyFill="1" applyAlignment="1">
      <alignment horizontal="center"/>
    </xf>
    <xf numFmtId="188" fontId="40" fillId="0" borderId="0" xfId="0" applyNumberFormat="1" applyFont="1" applyAlignment="1">
      <alignment horizontal="center"/>
    </xf>
    <xf numFmtId="0" fontId="37" fillId="3" borderId="1" xfId="0" applyFont="1" applyFill="1" applyBorder="1"/>
    <xf numFmtId="0" fontId="0" fillId="3" borderId="1" xfId="0" applyFill="1" applyBorder="1"/>
    <xf numFmtId="168" fontId="42" fillId="3" borderId="1" xfId="0" applyNumberFormat="1" applyFont="1" applyFill="1" applyBorder="1" applyAlignment="1">
      <alignment horizontal="center"/>
    </xf>
    <xf numFmtId="168" fontId="41" fillId="3" borderId="1" xfId="0" applyNumberFormat="1" applyFont="1" applyFill="1" applyBorder="1" applyAlignment="1">
      <alignment horizontal="center"/>
    </xf>
    <xf numFmtId="0" fontId="37" fillId="0" borderId="0" xfId="0" applyFont="1"/>
    <xf numFmtId="168" fontId="44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168" fontId="45" fillId="0" borderId="0" xfId="0" applyNumberFormat="1" applyFont="1" applyAlignment="1">
      <alignment horizontal="center"/>
    </xf>
    <xf numFmtId="0" fontId="37" fillId="0" borderId="0" xfId="0" applyFont="1" applyAlignment="1">
      <alignment horizontal="left"/>
    </xf>
    <xf numFmtId="0" fontId="0" fillId="0" borderId="0" xfId="0" applyAlignment="1">
      <alignment horizontal="left"/>
    </xf>
    <xf numFmtId="168" fontId="3" fillId="0" borderId="0" xfId="0" applyNumberFormat="1" applyFont="1" applyAlignment="1">
      <alignment horizontal="center"/>
    </xf>
    <xf numFmtId="0" fontId="40" fillId="0" borderId="0" xfId="0" applyFont="1" applyAlignment="1">
      <alignment horizontal="left"/>
    </xf>
    <xf numFmtId="167" fontId="0" fillId="0" borderId="0" xfId="0" applyNumberFormat="1"/>
    <xf numFmtId="0" fontId="37" fillId="0" borderId="1" xfId="0" applyFont="1" applyBorder="1"/>
    <xf numFmtId="168" fontId="42" fillId="0" borderId="1" xfId="0" applyNumberFormat="1" applyFont="1" applyBorder="1" applyAlignment="1">
      <alignment horizontal="center"/>
    </xf>
    <xf numFmtId="188" fontId="43" fillId="0" borderId="0" xfId="1" applyNumberFormat="1" applyFont="1" applyBorder="1" applyAlignment="1">
      <alignment horizontal="center"/>
    </xf>
    <xf numFmtId="0" fontId="0" fillId="0" borderId="0" xfId="0" applyAlignment="1">
      <alignment horizontal="left" indent="2"/>
    </xf>
    <xf numFmtId="168" fontId="41" fillId="0" borderId="1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46" fillId="0" borderId="0" xfId="0" applyFont="1" applyAlignment="1">
      <alignment horizontal="left" indent="3"/>
    </xf>
    <xf numFmtId="188" fontId="40" fillId="0" borderId="0" xfId="1" applyNumberFormat="1" applyFont="1" applyFill="1" applyAlignment="1">
      <alignment horizontal="center"/>
    </xf>
    <xf numFmtId="188" fontId="39" fillId="7" borderId="0" xfId="1" applyNumberFormat="1" applyFont="1" applyFill="1" applyAlignment="1">
      <alignment horizontal="center"/>
    </xf>
    <xf numFmtId="188" fontId="39" fillId="0" borderId="0" xfId="1" applyNumberFormat="1" applyFont="1" applyFill="1" applyAlignment="1">
      <alignment horizontal="center"/>
    </xf>
    <xf numFmtId="0" fontId="46" fillId="0" borderId="0" xfId="0" applyFont="1" applyAlignment="1">
      <alignment horizontal="left" indent="1"/>
    </xf>
    <xf numFmtId="9" fontId="3" fillId="0" borderId="0" xfId="1" applyFont="1" applyFill="1" applyBorder="1" applyAlignment="1">
      <alignment horizontal="center"/>
    </xf>
    <xf numFmtId="168" fontId="3" fillId="7" borderId="0" xfId="0" applyNumberFormat="1" applyFont="1" applyFill="1" applyAlignment="1">
      <alignment horizontal="center"/>
    </xf>
    <xf numFmtId="167" fontId="42" fillId="3" borderId="1" xfId="0" applyNumberFormat="1" applyFont="1" applyFill="1" applyBorder="1" applyAlignment="1">
      <alignment horizontal="center"/>
    </xf>
    <xf numFmtId="167" fontId="41" fillId="3" borderId="1" xfId="0" applyNumberFormat="1" applyFont="1" applyFill="1" applyBorder="1" applyAlignment="1">
      <alignment horizontal="center"/>
    </xf>
    <xf numFmtId="4" fontId="0" fillId="0" borderId="0" xfId="0" applyNumberFormat="1"/>
    <xf numFmtId="0" fontId="37" fillId="3" borderId="0" xfId="0" applyFont="1" applyFill="1"/>
    <xf numFmtId="0" fontId="0" fillId="3" borderId="0" xfId="0" applyFill="1"/>
    <xf numFmtId="167" fontId="42" fillId="3" borderId="0" xfId="0" applyNumberFormat="1" applyFont="1" applyFill="1" applyAlignment="1">
      <alignment horizontal="center"/>
    </xf>
    <xf numFmtId="0" fontId="3" fillId="3" borderId="0" xfId="0" applyFont="1" applyFill="1"/>
    <xf numFmtId="167" fontId="37" fillId="3" borderId="0" xfId="0" applyNumberFormat="1" applyFont="1" applyFill="1" applyAlignment="1">
      <alignment horizontal="center"/>
    </xf>
    <xf numFmtId="0" fontId="37" fillId="0" borderId="2" xfId="0" applyFont="1" applyBorder="1"/>
    <xf numFmtId="0" fontId="0" fillId="0" borderId="2" xfId="0" applyBorder="1"/>
    <xf numFmtId="168" fontId="42" fillId="0" borderId="2" xfId="0" applyNumberFormat="1" applyFont="1" applyBorder="1" applyAlignment="1">
      <alignment horizontal="center"/>
    </xf>
    <xf numFmtId="0" fontId="42" fillId="0" borderId="2" xfId="0" applyFont="1" applyBorder="1"/>
    <xf numFmtId="167" fontId="37" fillId="0" borderId="2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7" fontId="45" fillId="0" borderId="0" xfId="0" applyNumberFormat="1" applyFont="1" applyAlignment="1">
      <alignment horizontal="center"/>
    </xf>
    <xf numFmtId="0" fontId="3" fillId="0" borderId="2" xfId="0" applyFont="1" applyBorder="1"/>
    <xf numFmtId="168" fontId="0" fillId="7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67" fontId="41" fillId="3" borderId="0" xfId="0" applyNumberFormat="1" applyFont="1" applyFill="1" applyAlignment="1">
      <alignment horizontal="center"/>
    </xf>
    <xf numFmtId="168" fontId="41" fillId="0" borderId="2" xfId="0" applyNumberFormat="1" applyFont="1" applyBorder="1" applyAlignment="1">
      <alignment horizontal="center"/>
    </xf>
    <xf numFmtId="0" fontId="0" fillId="5" borderId="0" xfId="0" applyFill="1"/>
    <xf numFmtId="168" fontId="37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8" fontId="37" fillId="3" borderId="0" xfId="0" applyNumberFormat="1" applyFont="1" applyFill="1" applyAlignment="1">
      <alignment horizontal="center"/>
    </xf>
    <xf numFmtId="188" fontId="0" fillId="0" borderId="0" xfId="1" applyNumberFormat="1" applyFont="1" applyAlignment="1">
      <alignment horizontal="center"/>
    </xf>
    <xf numFmtId="167" fontId="37" fillId="0" borderId="0" xfId="0" applyNumberFormat="1" applyFont="1" applyAlignment="1">
      <alignment horizontal="center"/>
    </xf>
    <xf numFmtId="0" fontId="36" fillId="0" borderId="0" xfId="0" applyFont="1"/>
    <xf numFmtId="0" fontId="47" fillId="1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11" xfId="0" applyBorder="1"/>
    <xf numFmtId="0" fontId="40" fillId="0" borderId="0" xfId="0" applyFont="1" applyAlignment="1">
      <alignment horizontal="center"/>
    </xf>
    <xf numFmtId="188" fontId="39" fillId="0" borderId="0" xfId="1" applyNumberFormat="1" applyFont="1" applyAlignment="1">
      <alignment horizontal="center"/>
    </xf>
    <xf numFmtId="188" fontId="39" fillId="0" borderId="11" xfId="1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0" fontId="48" fillId="19" borderId="0" xfId="0" applyFont="1" applyFill="1" applyAlignment="1">
      <alignment horizontal="center"/>
    </xf>
    <xf numFmtId="0" fontId="38" fillId="13" borderId="0" xfId="0" applyFont="1" applyFill="1" applyAlignment="1">
      <alignment horizontal="left"/>
    </xf>
    <xf numFmtId="168" fontId="0" fillId="0" borderId="11" xfId="0" applyNumberFormat="1" applyBorder="1" applyAlignment="1">
      <alignment horizontal="center"/>
    </xf>
    <xf numFmtId="0" fontId="0" fillId="0" borderId="1" xfId="0" applyBorder="1"/>
    <xf numFmtId="168" fontId="0" fillId="0" borderId="1" xfId="0" applyNumberFormat="1" applyBorder="1" applyAlignment="1">
      <alignment horizontal="center"/>
    </xf>
    <xf numFmtId="168" fontId="44" fillId="0" borderId="1" xfId="0" applyNumberFormat="1" applyFont="1" applyBorder="1" applyAlignment="1">
      <alignment horizontal="center"/>
    </xf>
    <xf numFmtId="168" fontId="44" fillId="0" borderId="43" xfId="0" applyNumberFormat="1" applyFont="1" applyBorder="1" applyAlignment="1">
      <alignment horizontal="center"/>
    </xf>
    <xf numFmtId="175" fontId="2" fillId="19" borderId="0" xfId="2" applyNumberFormat="1" applyFont="1" applyFill="1" applyAlignment="1">
      <alignment horizontal="left" vertical="center"/>
    </xf>
    <xf numFmtId="0" fontId="37" fillId="0" borderId="35" xfId="0" applyFont="1" applyBorder="1" applyAlignment="1">
      <alignment horizontal="left" indent="1"/>
    </xf>
    <xf numFmtId="0" fontId="0" fillId="0" borderId="35" xfId="0" applyBorder="1"/>
    <xf numFmtId="168" fontId="0" fillId="0" borderId="35" xfId="0" applyNumberFormat="1" applyBorder="1" applyAlignment="1">
      <alignment horizontal="center"/>
    </xf>
    <xf numFmtId="9" fontId="42" fillId="0" borderId="35" xfId="1" applyFont="1" applyFill="1" applyBorder="1" applyAlignment="1">
      <alignment horizontal="center"/>
    </xf>
    <xf numFmtId="166" fontId="42" fillId="0" borderId="35" xfId="0" applyNumberFormat="1" applyFont="1" applyBorder="1" applyAlignment="1">
      <alignment horizontal="center"/>
    </xf>
    <xf numFmtId="166" fontId="42" fillId="0" borderId="44" xfId="0" applyNumberFormat="1" applyFont="1" applyBorder="1" applyAlignment="1">
      <alignment horizontal="center"/>
    </xf>
    <xf numFmtId="168" fontId="37" fillId="0" borderId="35" xfId="0" applyNumberFormat="1" applyFont="1" applyBorder="1" applyAlignment="1">
      <alignment horizontal="center"/>
    </xf>
    <xf numFmtId="9" fontId="3" fillId="0" borderId="0" xfId="1" applyFont="1" applyFill="1" applyAlignment="1">
      <alignment horizontal="center"/>
    </xf>
    <xf numFmtId="166" fontId="42" fillId="0" borderId="0" xfId="0" applyNumberFormat="1" applyFont="1" applyAlignment="1">
      <alignment horizontal="center"/>
    </xf>
    <xf numFmtId="166" fontId="42" fillId="0" borderId="11" xfId="0" applyNumberFormat="1" applyFont="1" applyBorder="1" applyAlignment="1">
      <alignment horizontal="center"/>
    </xf>
    <xf numFmtId="168" fontId="3" fillId="0" borderId="11" xfId="0" applyNumberFormat="1" applyFont="1" applyBorder="1" applyAlignment="1">
      <alignment horizontal="center"/>
    </xf>
    <xf numFmtId="165" fontId="3" fillId="0" borderId="0" xfId="1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0" fontId="37" fillId="0" borderId="35" xfId="0" applyFont="1" applyBorder="1"/>
    <xf numFmtId="168" fontId="0" fillId="0" borderId="44" xfId="0" applyNumberFormat="1" applyBorder="1" applyAlignment="1">
      <alignment horizontal="center"/>
    </xf>
    <xf numFmtId="9" fontId="4" fillId="0" borderId="0" xfId="1" applyFont="1" applyAlignment="1">
      <alignment horizontal="left"/>
    </xf>
    <xf numFmtId="9" fontId="41" fillId="0" borderId="0" xfId="1" applyFont="1" applyAlignment="1">
      <alignment horizontal="left"/>
    </xf>
    <xf numFmtId="168" fontId="37" fillId="0" borderId="11" xfId="0" applyNumberFormat="1" applyFont="1" applyBorder="1" applyAlignment="1">
      <alignment horizontal="center"/>
    </xf>
    <xf numFmtId="184" fontId="0" fillId="0" borderId="0" xfId="0" applyNumberFormat="1" applyAlignment="1">
      <alignment horizontal="center"/>
    </xf>
    <xf numFmtId="188" fontId="0" fillId="0" borderId="11" xfId="1" applyNumberFormat="1" applyFont="1" applyBorder="1" applyAlignment="1">
      <alignment horizontal="center"/>
    </xf>
    <xf numFmtId="181" fontId="0" fillId="0" borderId="0" xfId="0" applyNumberFormat="1" applyAlignment="1">
      <alignment horizontal="center"/>
    </xf>
    <xf numFmtId="188" fontId="0" fillId="0" borderId="0" xfId="1" applyNumberFormat="1" applyFont="1" applyBorder="1" applyAlignment="1">
      <alignment horizontal="center"/>
    </xf>
    <xf numFmtId="9" fontId="41" fillId="0" borderId="35" xfId="1" applyFont="1" applyBorder="1" applyAlignment="1">
      <alignment horizontal="left"/>
    </xf>
    <xf numFmtId="37" fontId="41" fillId="12" borderId="36" xfId="0" applyNumberFormat="1" applyFont="1" applyFill="1" applyBorder="1" applyAlignment="1">
      <alignment horizontal="left"/>
    </xf>
    <xf numFmtId="0" fontId="0" fillId="0" borderId="36" xfId="0" applyBorder="1"/>
    <xf numFmtId="181" fontId="37" fillId="0" borderId="36" xfId="0" applyNumberFormat="1" applyFont="1" applyBorder="1" applyAlignment="1">
      <alignment horizontal="center"/>
    </xf>
    <xf numFmtId="168" fontId="0" fillId="0" borderId="36" xfId="0" applyNumberFormat="1" applyBorder="1" applyAlignment="1">
      <alignment horizontal="center"/>
    </xf>
    <xf numFmtId="181" fontId="37" fillId="0" borderId="40" xfId="0" applyNumberFormat="1" applyFont="1" applyBorder="1" applyAlignment="1">
      <alignment horizontal="center"/>
    </xf>
    <xf numFmtId="37" fontId="4" fillId="12" borderId="0" xfId="0" applyNumberFormat="1" applyFont="1" applyFill="1" applyAlignment="1">
      <alignment horizontal="left" indent="2"/>
    </xf>
    <xf numFmtId="181" fontId="0" fillId="0" borderId="11" xfId="0" applyNumberFormat="1" applyBorder="1" applyAlignment="1">
      <alignment horizontal="center"/>
    </xf>
    <xf numFmtId="181" fontId="3" fillId="7" borderId="35" xfId="0" applyNumberFormat="1" applyFont="1" applyFill="1" applyBorder="1" applyAlignment="1">
      <alignment horizontal="center"/>
    </xf>
    <xf numFmtId="181" fontId="42" fillId="0" borderId="35" xfId="0" applyNumberFormat="1" applyFont="1" applyBorder="1" applyAlignment="1">
      <alignment horizontal="center"/>
    </xf>
    <xf numFmtId="181" fontId="42" fillId="0" borderId="44" xfId="0" applyNumberFormat="1" applyFont="1" applyBorder="1" applyAlignment="1">
      <alignment horizontal="center"/>
    </xf>
    <xf numFmtId="181" fontId="37" fillId="0" borderId="35" xfId="0" applyNumberFormat="1" applyFont="1" applyBorder="1" applyAlignment="1">
      <alignment horizontal="center"/>
    </xf>
    <xf numFmtId="0" fontId="37" fillId="0" borderId="0" xfId="0" applyFont="1" applyAlignment="1">
      <alignment horizontal="left" indent="1"/>
    </xf>
    <xf numFmtId="181" fontId="3" fillId="7" borderId="0" xfId="0" applyNumberFormat="1" applyFont="1" applyFill="1" applyAlignment="1">
      <alignment horizontal="center"/>
    </xf>
    <xf numFmtId="181" fontId="42" fillId="0" borderId="0" xfId="0" applyNumberFormat="1" applyFont="1" applyAlignment="1">
      <alignment horizontal="center"/>
    </xf>
    <xf numFmtId="181" fontId="42" fillId="0" borderId="11" xfId="0" applyNumberFormat="1" applyFont="1" applyBorder="1" applyAlignment="1">
      <alignment horizontal="center"/>
    </xf>
    <xf numFmtId="181" fontId="37" fillId="0" borderId="0" xfId="0" applyNumberFormat="1" applyFont="1" applyAlignment="1">
      <alignment horizontal="center"/>
    </xf>
    <xf numFmtId="181" fontId="3" fillId="0" borderId="0" xfId="0" applyNumberFormat="1" applyFont="1" applyAlignment="1">
      <alignment horizontal="center"/>
    </xf>
    <xf numFmtId="181" fontId="3" fillId="0" borderId="11" xfId="0" applyNumberFormat="1" applyFont="1" applyBorder="1" applyAlignment="1">
      <alignment horizontal="center"/>
    </xf>
    <xf numFmtId="0" fontId="37" fillId="0" borderId="35" xfId="0" applyFont="1" applyBorder="1" applyAlignment="1">
      <alignment horizontal="left"/>
    </xf>
    <xf numFmtId="175" fontId="37" fillId="0" borderId="0" xfId="2" applyNumberFormat="1" applyFont="1" applyAlignment="1">
      <alignment horizontal="left" vertical="center"/>
    </xf>
    <xf numFmtId="175" fontId="37" fillId="0" borderId="0" xfId="2" applyNumberFormat="1" applyFont="1" applyAlignment="1">
      <alignment horizontal="center" vertical="center"/>
    </xf>
    <xf numFmtId="175" fontId="37" fillId="0" borderId="11" xfId="2" applyNumberFormat="1" applyFont="1" applyBorder="1" applyAlignment="1">
      <alignment horizontal="center" vertical="center"/>
    </xf>
    <xf numFmtId="175" fontId="37" fillId="0" borderId="36" xfId="2" applyNumberFormat="1" applyFont="1" applyBorder="1" applyAlignment="1">
      <alignment horizontal="left" vertical="center"/>
    </xf>
    <xf numFmtId="175" fontId="37" fillId="0" borderId="36" xfId="2" applyNumberFormat="1" applyFont="1" applyBorder="1" applyAlignment="1">
      <alignment horizontal="center" vertical="center"/>
    </xf>
    <xf numFmtId="175" fontId="37" fillId="0" borderId="40" xfId="2" applyNumberFormat="1" applyFont="1" applyBorder="1" applyAlignment="1">
      <alignment horizontal="center" vertical="center"/>
    </xf>
    <xf numFmtId="181" fontId="3" fillId="0" borderId="35" xfId="0" applyNumberFormat="1" applyFont="1" applyBorder="1" applyAlignment="1">
      <alignment horizontal="center"/>
    </xf>
    <xf numFmtId="181" fontId="37" fillId="0" borderId="44" xfId="0" applyNumberFormat="1" applyFont="1" applyBorder="1" applyAlignment="1">
      <alignment horizontal="center"/>
    </xf>
    <xf numFmtId="181" fontId="37" fillId="0" borderId="11" xfId="0" applyNumberFormat="1" applyFont="1" applyBorder="1" applyAlignment="1">
      <alignment horizontal="center"/>
    </xf>
    <xf numFmtId="181" fontId="41" fillId="0" borderId="0" xfId="0" applyNumberFormat="1" applyFont="1" applyAlignment="1">
      <alignment horizontal="center"/>
    </xf>
    <xf numFmtId="181" fontId="4" fillId="0" borderId="0" xfId="0" applyNumberFormat="1" applyFont="1" applyAlignment="1">
      <alignment horizontal="center"/>
    </xf>
    <xf numFmtId="181" fontId="41" fillId="0" borderId="46" xfId="0" applyNumberFormat="1" applyFont="1" applyBorder="1" applyAlignment="1">
      <alignment horizontal="center"/>
    </xf>
    <xf numFmtId="181" fontId="41" fillId="0" borderId="35" xfId="0" applyNumberFormat="1" applyFont="1" applyBorder="1" applyAlignment="1">
      <alignment horizontal="center"/>
    </xf>
    <xf numFmtId="0" fontId="49" fillId="0" borderId="0" xfId="0" applyFont="1"/>
    <xf numFmtId="188" fontId="37" fillId="0" borderId="0" xfId="1" applyNumberFormat="1" applyFont="1" applyAlignment="1">
      <alignment horizontal="center"/>
    </xf>
    <xf numFmtId="188" fontId="37" fillId="0" borderId="11" xfId="1" applyNumberFormat="1" applyFont="1" applyBorder="1" applyAlignment="1">
      <alignment horizontal="center"/>
    </xf>
    <xf numFmtId="188" fontId="37" fillId="0" borderId="0" xfId="0" applyNumberFormat="1" applyFont="1" applyAlignment="1">
      <alignment horizontal="center"/>
    </xf>
    <xf numFmtId="188" fontId="37" fillId="0" borderId="11" xfId="0" applyNumberFormat="1" applyFont="1" applyBorder="1" applyAlignment="1">
      <alignment horizontal="center"/>
    </xf>
    <xf numFmtId="188" fontId="0" fillId="0" borderId="11" xfId="0" applyNumberFormat="1" applyBorder="1" applyAlignment="1">
      <alignment horizontal="center"/>
    </xf>
    <xf numFmtId="188" fontId="37" fillId="0" borderId="35" xfId="1" applyNumberFormat="1" applyFont="1" applyBorder="1" applyAlignment="1">
      <alignment horizontal="center"/>
    </xf>
    <xf numFmtId="188" fontId="37" fillId="0" borderId="44" xfId="0" applyNumberFormat="1" applyFont="1" applyBorder="1" applyAlignment="1">
      <alignment horizontal="center"/>
    </xf>
    <xf numFmtId="188" fontId="37" fillId="0" borderId="46" xfId="1" applyNumberFormat="1" applyFont="1" applyBorder="1" applyAlignment="1">
      <alignment horizontal="center"/>
    </xf>
    <xf numFmtId="0" fontId="50" fillId="0" borderId="0" xfId="0" applyFont="1" applyAlignment="1">
      <alignment horizontal="left" indent="1"/>
    </xf>
    <xf numFmtId="0" fontId="50" fillId="0" borderId="0" xfId="0" applyFont="1"/>
    <xf numFmtId="168" fontId="50" fillId="0" borderId="0" xfId="0" applyNumberFormat="1" applyFont="1" applyAlignment="1">
      <alignment horizontal="center"/>
    </xf>
    <xf numFmtId="181" fontId="50" fillId="0" borderId="0" xfId="0" applyNumberFormat="1" applyFont="1" applyAlignment="1">
      <alignment horizontal="center"/>
    </xf>
    <xf numFmtId="181" fontId="50" fillId="0" borderId="11" xfId="0" applyNumberFormat="1" applyFont="1" applyBorder="1" applyAlignment="1">
      <alignment horizontal="center"/>
    </xf>
    <xf numFmtId="181" fontId="0" fillId="0" borderId="35" xfId="0" applyNumberFormat="1" applyBorder="1" applyAlignment="1">
      <alignment horizontal="center"/>
    </xf>
    <xf numFmtId="181" fontId="0" fillId="0" borderId="44" xfId="0" applyNumberFormat="1" applyBorder="1" applyAlignment="1">
      <alignment horizontal="center"/>
    </xf>
    <xf numFmtId="188" fontId="39" fillId="0" borderId="0" xfId="0" applyNumberFormat="1" applyFont="1" applyAlignment="1">
      <alignment horizontal="center"/>
    </xf>
    <xf numFmtId="188" fontId="39" fillId="0" borderId="39" xfId="0" applyNumberFormat="1" applyFont="1" applyBorder="1" applyAlignment="1">
      <alignment horizontal="center"/>
    </xf>
    <xf numFmtId="188" fontId="39" fillId="0" borderId="11" xfId="0" applyNumberFormat="1" applyFont="1" applyBorder="1" applyAlignment="1">
      <alignment horizontal="center"/>
    </xf>
    <xf numFmtId="37" fontId="37" fillId="0" borderId="36" xfId="0" applyNumberFormat="1" applyFont="1" applyBorder="1" applyAlignment="1">
      <alignment horizontal="center"/>
    </xf>
    <xf numFmtId="37" fontId="37" fillId="0" borderId="40" xfId="0" applyNumberFormat="1" applyFont="1" applyBorder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1" xfId="0" applyNumberFormat="1" applyBorder="1" applyAlignment="1">
      <alignment horizontal="center"/>
    </xf>
    <xf numFmtId="37" fontId="42" fillId="0" borderId="35" xfId="0" applyNumberFormat="1" applyFont="1" applyBorder="1" applyAlignment="1">
      <alignment horizontal="center"/>
    </xf>
    <xf numFmtId="37" fontId="42" fillId="0" borderId="44" xfId="0" applyNumberFormat="1" applyFont="1" applyBorder="1" applyAlignment="1">
      <alignment horizontal="center"/>
    </xf>
    <xf numFmtId="37" fontId="42" fillId="0" borderId="0" xfId="0" applyNumberFormat="1" applyFont="1" applyAlignment="1">
      <alignment horizontal="center"/>
    </xf>
    <xf numFmtId="37" fontId="42" fillId="0" borderId="11" xfId="0" applyNumberFormat="1" applyFont="1" applyBorder="1" applyAlignment="1">
      <alignment horizontal="center"/>
    </xf>
    <xf numFmtId="37" fontId="3" fillId="0" borderId="0" xfId="0" applyNumberFormat="1" applyFont="1" applyAlignment="1">
      <alignment horizontal="center"/>
    </xf>
    <xf numFmtId="37" fontId="3" fillId="0" borderId="11" xfId="0" applyNumberFormat="1" applyFont="1" applyBorder="1" applyAlignment="1">
      <alignment horizontal="center"/>
    </xf>
    <xf numFmtId="37" fontId="37" fillId="0" borderId="35" xfId="0" applyNumberFormat="1" applyFont="1" applyBorder="1" applyAlignment="1">
      <alignment horizontal="center"/>
    </xf>
    <xf numFmtId="0" fontId="40" fillId="0" borderId="0" xfId="0" applyFont="1" applyAlignment="1">
      <alignment horizontal="left" indent="2"/>
    </xf>
    <xf numFmtId="0" fontId="40" fillId="0" borderId="0" xfId="0" applyFont="1" applyAlignment="1">
      <alignment horizontal="left" indent="1"/>
    </xf>
    <xf numFmtId="168" fontId="37" fillId="0" borderId="44" xfId="0" applyNumberFormat="1" applyFont="1" applyBorder="1" applyAlignment="1">
      <alignment horizontal="center"/>
    </xf>
    <xf numFmtId="0" fontId="37" fillId="0" borderId="36" xfId="0" applyFont="1" applyBorder="1"/>
    <xf numFmtId="168" fontId="44" fillId="0" borderId="36" xfId="0" applyNumberFormat="1" applyFont="1" applyBorder="1" applyAlignment="1">
      <alignment horizontal="center"/>
    </xf>
    <xf numFmtId="168" fontId="44" fillId="0" borderId="40" xfId="0" applyNumberFormat="1" applyFont="1" applyBorder="1" applyAlignment="1">
      <alignment horizontal="center"/>
    </xf>
    <xf numFmtId="168" fontId="41" fillId="0" borderId="36" xfId="0" applyNumberFormat="1" applyFont="1" applyBorder="1" applyAlignment="1">
      <alignment horizontal="center"/>
    </xf>
    <xf numFmtId="188" fontId="40" fillId="0" borderId="39" xfId="1" applyNumberFormat="1" applyFont="1" applyBorder="1" applyAlignment="1">
      <alignment horizontal="center"/>
    </xf>
    <xf numFmtId="188" fontId="43" fillId="0" borderId="11" xfId="1" applyNumberFormat="1" applyFont="1" applyBorder="1" applyAlignment="1">
      <alignment horizontal="center"/>
    </xf>
    <xf numFmtId="168" fontId="45" fillId="0" borderId="11" xfId="0" applyNumberFormat="1" applyFont="1" applyBorder="1" applyAlignment="1">
      <alignment horizontal="center"/>
    </xf>
    <xf numFmtId="165" fontId="40" fillId="7" borderId="47" xfId="1" applyNumberFormat="1" applyFont="1" applyFill="1" applyBorder="1" applyAlignment="1">
      <alignment horizontal="center"/>
    </xf>
    <xf numFmtId="188" fontId="43" fillId="7" borderId="0" xfId="1" applyNumberFormat="1" applyFont="1" applyFill="1" applyAlignment="1">
      <alignment horizontal="center"/>
    </xf>
    <xf numFmtId="0" fontId="51" fillId="0" borderId="0" xfId="0" applyFont="1" applyAlignment="1">
      <alignment wrapText="1"/>
    </xf>
    <xf numFmtId="188" fontId="40" fillId="0" borderId="0" xfId="1" applyNumberFormat="1" applyFont="1" applyBorder="1" applyAlignment="1">
      <alignment horizontal="center"/>
    </xf>
    <xf numFmtId="188" fontId="40" fillId="0" borderId="31" xfId="1" applyNumberFormat="1" applyFont="1" applyBorder="1" applyAlignment="1">
      <alignment horizontal="center"/>
    </xf>
    <xf numFmtId="0" fontId="52" fillId="0" borderId="0" xfId="0" applyFont="1"/>
    <xf numFmtId="3" fontId="52" fillId="0" borderId="0" xfId="0" applyNumberFormat="1" applyFont="1"/>
    <xf numFmtId="168" fontId="4" fillId="0" borderId="11" xfId="0" applyNumberFormat="1" applyFont="1" applyBorder="1" applyAlignment="1">
      <alignment horizontal="center"/>
    </xf>
    <xf numFmtId="165" fontId="43" fillId="0" borderId="0" xfId="1" applyNumberFormat="1" applyFont="1" applyBorder="1" applyAlignment="1">
      <alignment horizontal="center"/>
    </xf>
    <xf numFmtId="165" fontId="43" fillId="0" borderId="11" xfId="1" applyNumberFormat="1" applyFont="1" applyBorder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4" fillId="0" borderId="25" xfId="0" applyFont="1" applyBorder="1" applyAlignment="1">
      <alignment horizontal="left"/>
    </xf>
    <xf numFmtId="0" fontId="0" fillId="0" borderId="25" xfId="0" applyBorder="1"/>
    <xf numFmtId="168" fontId="0" fillId="0" borderId="25" xfId="0" applyNumberFormat="1" applyBorder="1" applyAlignment="1">
      <alignment horizontal="center"/>
    </xf>
    <xf numFmtId="168" fontId="45" fillId="0" borderId="25" xfId="0" applyNumberFormat="1" applyFont="1" applyBorder="1" applyAlignment="1">
      <alignment horizontal="center"/>
    </xf>
    <xf numFmtId="168" fontId="45" fillId="0" borderId="4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30" xfId="0" applyFont="1" applyBorder="1" applyAlignment="1">
      <alignment horizontal="left"/>
    </xf>
    <xf numFmtId="0" fontId="0" fillId="0" borderId="30" xfId="0" applyBorder="1"/>
    <xf numFmtId="168" fontId="0" fillId="0" borderId="30" xfId="0" applyNumberFormat="1" applyBorder="1" applyAlignment="1">
      <alignment horizontal="center"/>
    </xf>
    <xf numFmtId="168" fontId="45" fillId="0" borderId="30" xfId="0" applyNumberFormat="1" applyFont="1" applyBorder="1" applyAlignment="1">
      <alignment horizontal="center"/>
    </xf>
    <xf numFmtId="168" fontId="45" fillId="0" borderId="42" xfId="0" applyNumberFormat="1" applyFont="1" applyBorder="1" applyAlignment="1">
      <alignment horizontal="center"/>
    </xf>
    <xf numFmtId="181" fontId="3" fillId="7" borderId="23" xfId="0" applyNumberFormat="1" applyFont="1" applyFill="1" applyBorder="1" applyAlignment="1">
      <alignment horizontal="center"/>
    </xf>
    <xf numFmtId="0" fontId="43" fillId="0" borderId="0" xfId="0" applyFont="1" applyAlignment="1">
      <alignment horizontal="left" indent="1"/>
    </xf>
    <xf numFmtId="0" fontId="41" fillId="0" borderId="0" xfId="0" applyFont="1" applyAlignment="1">
      <alignment horizontal="left"/>
    </xf>
    <xf numFmtId="187" fontId="2" fillId="19" borderId="0" xfId="2" applyNumberFormat="1" applyFont="1" applyFill="1" applyAlignment="1">
      <alignment horizontal="left" vertical="center"/>
    </xf>
    <xf numFmtId="0" fontId="43" fillId="0" borderId="0" xfId="0" applyFont="1" applyAlignment="1">
      <alignment horizontal="left"/>
    </xf>
    <xf numFmtId="165" fontId="39" fillId="7" borderId="23" xfId="1" applyNumberFormat="1" applyFont="1" applyFill="1" applyBorder="1" applyAlignment="1">
      <alignment horizontal="center"/>
    </xf>
    <xf numFmtId="165" fontId="40" fillId="0" borderId="0" xfId="1" applyNumberFormat="1" applyFont="1" applyFill="1" applyBorder="1" applyAlignment="1">
      <alignment horizontal="center"/>
    </xf>
    <xf numFmtId="165" fontId="40" fillId="0" borderId="0" xfId="1" applyNumberFormat="1" applyFont="1" applyAlignment="1">
      <alignment horizontal="center"/>
    </xf>
    <xf numFmtId="165" fontId="40" fillId="0" borderId="11" xfId="1" applyNumberFormat="1" applyFont="1" applyBorder="1" applyAlignment="1">
      <alignment horizontal="center"/>
    </xf>
    <xf numFmtId="165" fontId="40" fillId="0" borderId="0" xfId="1" applyNumberFormat="1" applyFont="1" applyFill="1" applyAlignment="1">
      <alignment horizontal="center"/>
    </xf>
    <xf numFmtId="168" fontId="0" fillId="7" borderId="23" xfId="0" applyNumberFormat="1" applyFill="1" applyBorder="1" applyAlignment="1">
      <alignment horizontal="center"/>
    </xf>
    <xf numFmtId="0" fontId="0" fillId="4" borderId="11" xfId="0" applyFill="1" applyBorder="1"/>
    <xf numFmtId="165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68" fontId="0" fillId="13" borderId="0" xfId="0" applyNumberFormat="1" applyFill="1" applyAlignment="1">
      <alignment horizontal="center"/>
    </xf>
    <xf numFmtId="168" fontId="44" fillId="0" borderId="11" xfId="0" applyNumberFormat="1" applyFont="1" applyBorder="1" applyAlignment="1">
      <alignment horizontal="center"/>
    </xf>
    <xf numFmtId="0" fontId="38" fillId="19" borderId="0" xfId="0" applyFont="1" applyFill="1" applyAlignment="1">
      <alignment horizontal="center"/>
    </xf>
    <xf numFmtId="0" fontId="38" fillId="19" borderId="0" xfId="0" applyFont="1" applyFill="1" applyAlignment="1">
      <alignment horizontal="left"/>
    </xf>
    <xf numFmtId="0" fontId="0" fillId="19" borderId="0" xfId="0" applyFill="1"/>
    <xf numFmtId="168" fontId="0" fillId="19" borderId="0" xfId="0" applyNumberFormat="1" applyFill="1" applyAlignment="1">
      <alignment horizontal="center"/>
    </xf>
    <xf numFmtId="170" fontId="0" fillId="0" borderId="0" xfId="0" applyNumberFormat="1"/>
    <xf numFmtId="3" fontId="0" fillId="0" borderId="0" xfId="0" applyNumberFormat="1"/>
    <xf numFmtId="189" fontId="37" fillId="12" borderId="31" xfId="0" applyNumberFormat="1" applyFont="1" applyFill="1" applyBorder="1" applyAlignment="1">
      <alignment vertical="center"/>
    </xf>
    <xf numFmtId="189" fontId="37" fillId="12" borderId="0" xfId="0" applyNumberFormat="1" applyFont="1" applyFill="1" applyAlignment="1">
      <alignment vertical="center"/>
    </xf>
    <xf numFmtId="189" fontId="0" fillId="0" borderId="0" xfId="0" applyNumberFormat="1" applyAlignment="1">
      <alignment horizontal="left" vertical="center" indent="1"/>
    </xf>
    <xf numFmtId="168" fontId="0" fillId="0" borderId="0" xfId="0" applyNumberFormat="1"/>
    <xf numFmtId="189" fontId="0" fillId="0" borderId="0" xfId="0" applyNumberFormat="1" applyAlignment="1">
      <alignment vertical="center"/>
    </xf>
    <xf numFmtId="189" fontId="37" fillId="0" borderId="35" xfId="0" applyNumberFormat="1" applyFont="1" applyBorder="1" applyAlignment="1">
      <alignment vertical="center"/>
    </xf>
    <xf numFmtId="189" fontId="37" fillId="0" borderId="0" xfId="0" applyNumberFormat="1" applyFont="1" applyAlignment="1">
      <alignment vertical="center"/>
    </xf>
    <xf numFmtId="180" fontId="0" fillId="7" borderId="0" xfId="0" applyNumberFormat="1" applyFill="1" applyAlignment="1">
      <alignment horizontal="center"/>
    </xf>
    <xf numFmtId="165" fontId="43" fillId="0" borderId="0" xfId="1" applyNumberFormat="1" applyFont="1" applyAlignment="1">
      <alignment horizontal="center"/>
    </xf>
    <xf numFmtId="180" fontId="0" fillId="0" borderId="0" xfId="0" applyNumberFormat="1" applyAlignment="1">
      <alignment horizontal="center"/>
    </xf>
    <xf numFmtId="180" fontId="0" fillId="0" borderId="11" xfId="0" applyNumberFormat="1" applyBorder="1" applyAlignment="1">
      <alignment horizontal="center"/>
    </xf>
    <xf numFmtId="168" fontId="49" fillId="0" borderId="0" xfId="0" applyNumberFormat="1" applyFont="1"/>
    <xf numFmtId="181" fontId="53" fillId="0" borderId="0" xfId="0" applyNumberFormat="1" applyFont="1" applyAlignment="1">
      <alignment horizontal="center"/>
    </xf>
    <xf numFmtId="181" fontId="53" fillId="0" borderId="11" xfId="0" applyNumberFormat="1" applyFont="1" applyBorder="1" applyAlignment="1">
      <alignment horizontal="center"/>
    </xf>
    <xf numFmtId="180" fontId="0" fillId="3" borderId="0" xfId="0" applyNumberFormat="1" applyFill="1" applyAlignment="1">
      <alignment horizontal="center"/>
    </xf>
    <xf numFmtId="181" fontId="54" fillId="0" borderId="35" xfId="0" applyNumberFormat="1" applyFont="1" applyBorder="1"/>
    <xf numFmtId="181" fontId="53" fillId="0" borderId="35" xfId="0" applyNumberFormat="1" applyFont="1" applyBorder="1" applyAlignment="1">
      <alignment horizontal="center"/>
    </xf>
    <xf numFmtId="181" fontId="53" fillId="16" borderId="45" xfId="0" applyNumberFormat="1" applyFont="1" applyFill="1" applyBorder="1" applyAlignment="1">
      <alignment horizontal="center"/>
    </xf>
    <xf numFmtId="181" fontId="49" fillId="0" borderId="0" xfId="0" applyNumberFormat="1" applyFont="1"/>
    <xf numFmtId="9" fontId="55" fillId="0" borderId="0" xfId="0" applyNumberFormat="1" applyFont="1" applyAlignment="1">
      <alignment horizontal="left" indent="1"/>
    </xf>
    <xf numFmtId="9" fontId="53" fillId="0" borderId="11" xfId="1" applyFont="1" applyBorder="1" applyAlignment="1">
      <alignment horizontal="center"/>
    </xf>
    <xf numFmtId="181" fontId="55" fillId="0" borderId="0" xfId="0" applyNumberFormat="1" applyFont="1" applyAlignment="1">
      <alignment horizontal="left" indent="1"/>
    </xf>
    <xf numFmtId="14" fontId="56" fillId="16" borderId="38" xfId="1" applyNumberFormat="1" applyFont="1" applyFill="1" applyBorder="1" applyAlignment="1">
      <alignment horizontal="center"/>
    </xf>
    <xf numFmtId="181" fontId="49" fillId="0" borderId="0" xfId="0" applyNumberFormat="1" applyFont="1" applyAlignment="1">
      <alignment horizontal="right"/>
    </xf>
    <xf numFmtId="181" fontId="49" fillId="0" borderId="0" xfId="0" applyNumberFormat="1" applyFont="1" applyAlignment="1">
      <alignment horizontal="center"/>
    </xf>
    <xf numFmtId="0" fontId="56" fillId="16" borderId="38" xfId="0" applyFont="1" applyFill="1" applyBorder="1" applyAlignment="1">
      <alignment horizontal="center"/>
    </xf>
    <xf numFmtId="168" fontId="49" fillId="0" borderId="0" xfId="0" applyNumberFormat="1" applyFont="1" applyAlignment="1">
      <alignment horizontal="right"/>
    </xf>
    <xf numFmtId="181" fontId="53" fillId="0" borderId="0" xfId="0" applyNumberFormat="1" applyFont="1"/>
    <xf numFmtId="9" fontId="53" fillId="0" borderId="0" xfId="0" applyNumberFormat="1" applyFont="1" applyAlignment="1">
      <alignment horizontal="center"/>
    </xf>
    <xf numFmtId="9" fontId="53" fillId="0" borderId="0" xfId="1" applyFont="1" applyAlignment="1">
      <alignment horizontal="center"/>
    </xf>
    <xf numFmtId="181" fontId="49" fillId="0" borderId="35" xfId="0" applyNumberFormat="1" applyFont="1" applyBorder="1" applyAlignment="1">
      <alignment horizontal="left" indent="1"/>
    </xf>
    <xf numFmtId="181" fontId="53" fillId="0" borderId="44" xfId="0" applyNumberFormat="1" applyFont="1" applyBorder="1" applyAlignment="1">
      <alignment horizontal="center"/>
    </xf>
    <xf numFmtId="0" fontId="56" fillId="16" borderId="38" xfId="1" applyNumberFormat="1" applyFont="1" applyFill="1" applyBorder="1" applyAlignment="1">
      <alignment horizontal="center"/>
    </xf>
    <xf numFmtId="181" fontId="54" fillId="0" borderId="0" xfId="0" applyNumberFormat="1" applyFont="1"/>
    <xf numFmtId="181" fontId="53" fillId="16" borderId="11" xfId="0" applyNumberFormat="1" applyFont="1" applyFill="1" applyBorder="1" applyAlignment="1">
      <alignment horizontal="center"/>
    </xf>
    <xf numFmtId="181" fontId="53" fillId="0" borderId="39" xfId="0" applyNumberFormat="1" applyFont="1" applyBorder="1" applyAlignment="1">
      <alignment horizontal="center"/>
    </xf>
    <xf numFmtId="10" fontId="56" fillId="16" borderId="38" xfId="1" applyNumberFormat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168" fontId="0" fillId="3" borderId="0" xfId="0" applyNumberFormat="1" applyFill="1" applyAlignment="1">
      <alignment horizontal="center"/>
    </xf>
    <xf numFmtId="180" fontId="0" fillId="3" borderId="11" xfId="0" applyNumberFormat="1" applyFill="1" applyBorder="1" applyAlignment="1">
      <alignment horizontal="center"/>
    </xf>
    <xf numFmtId="165" fontId="40" fillId="0" borderId="0" xfId="1" applyNumberFormat="1" applyFont="1" applyBorder="1" applyAlignment="1">
      <alignment horizontal="center"/>
    </xf>
    <xf numFmtId="188" fontId="40" fillId="0" borderId="11" xfId="1" applyNumberFormat="1" applyFont="1" applyBorder="1" applyAlignment="1">
      <alignment horizontal="center"/>
    </xf>
    <xf numFmtId="188" fontId="39" fillId="0" borderId="0" xfId="1" applyNumberFormat="1" applyFont="1" applyBorder="1" applyAlignment="1">
      <alignment horizontal="center"/>
    </xf>
    <xf numFmtId="9" fontId="40" fillId="0" borderId="0" xfId="1" applyFont="1" applyAlignment="1">
      <alignment horizontal="center"/>
    </xf>
    <xf numFmtId="9" fontId="40" fillId="0" borderId="11" xfId="1" applyFont="1" applyBorder="1" applyAlignment="1">
      <alignment horizontal="center"/>
    </xf>
    <xf numFmtId="9" fontId="39" fillId="0" borderId="0" xfId="1" applyFont="1" applyAlignment="1">
      <alignment horizontal="center"/>
    </xf>
    <xf numFmtId="9" fontId="39" fillId="0" borderId="0" xfId="1" applyFont="1" applyBorder="1" applyAlignment="1">
      <alignment horizontal="center"/>
    </xf>
    <xf numFmtId="188" fontId="57" fillId="0" borderId="0" xfId="1" applyNumberFormat="1" applyFont="1" applyAlignment="1">
      <alignment horizontal="center"/>
    </xf>
    <xf numFmtId="188" fontId="57" fillId="0" borderId="11" xfId="1" applyNumberFormat="1" applyFont="1" applyBorder="1" applyAlignment="1">
      <alignment horizontal="center"/>
    </xf>
    <xf numFmtId="188" fontId="57" fillId="7" borderId="0" xfId="1" applyNumberFormat="1" applyFont="1" applyFill="1" applyAlignment="1">
      <alignment horizontal="center"/>
    </xf>
    <xf numFmtId="188" fontId="57" fillId="0" borderId="0" xfId="1" applyNumberFormat="1" applyFont="1" applyFill="1" applyAlignment="1">
      <alignment horizontal="center"/>
    </xf>
    <xf numFmtId="168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0" fontId="0" fillId="13" borderId="0" xfId="0" applyFill="1" applyAlignment="1">
      <alignment horizontal="center"/>
    </xf>
    <xf numFmtId="182" fontId="38" fillId="13" borderId="0" xfId="0" applyNumberFormat="1" applyFont="1" applyFill="1" applyAlignment="1">
      <alignment horizontal="center"/>
    </xf>
    <xf numFmtId="182" fontId="38" fillId="13" borderId="0" xfId="0" quotePrefix="1" applyNumberFormat="1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0" fontId="0" fillId="0" borderId="0" xfId="0" quotePrefix="1"/>
    <xf numFmtId="3" fontId="4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8" fontId="37" fillId="0" borderId="36" xfId="0" applyNumberFormat="1" applyFont="1" applyBorder="1" applyAlignment="1">
      <alignment horizontal="center"/>
    </xf>
    <xf numFmtId="9" fontId="39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0" xfId="0" applyAlignment="1">
      <alignment horizontal="left" wrapText="1"/>
    </xf>
    <xf numFmtId="4" fontId="4" fillId="0" borderId="0" xfId="0" applyNumberFormat="1" applyFont="1" applyAlignment="1">
      <alignment horizontal="center"/>
    </xf>
    <xf numFmtId="9" fontId="57" fillId="0" borderId="0" xfId="0" applyNumberFormat="1" applyFont="1" applyAlignment="1">
      <alignment horizontal="center"/>
    </xf>
    <xf numFmtId="9" fontId="40" fillId="7" borderId="0" xfId="0" applyNumberFormat="1" applyFont="1" applyFill="1" applyAlignment="1">
      <alignment horizontal="center"/>
    </xf>
    <xf numFmtId="168" fontId="42" fillId="0" borderId="36" xfId="0" applyNumberFormat="1" applyFont="1" applyBorder="1" applyAlignment="1">
      <alignment horizontal="center"/>
    </xf>
    <xf numFmtId="9" fontId="4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9" fontId="40" fillId="0" borderId="0" xfId="0" applyNumberFormat="1" applyFont="1" applyAlignment="1">
      <alignment horizontal="center"/>
    </xf>
    <xf numFmtId="9" fontId="39" fillId="7" borderId="0" xfId="0" applyNumberFormat="1" applyFont="1" applyFill="1" applyAlignment="1">
      <alignment horizontal="center"/>
    </xf>
    <xf numFmtId="168" fontId="4" fillId="7" borderId="0" xfId="0" applyNumberFormat="1" applyFont="1" applyFill="1" applyAlignment="1">
      <alignment horizontal="center"/>
    </xf>
    <xf numFmtId="168" fontId="58" fillId="0" borderId="0" xfId="0" applyNumberFormat="1" applyFont="1" applyAlignment="1">
      <alignment horizontal="center"/>
    </xf>
    <xf numFmtId="0" fontId="3" fillId="0" borderId="0" xfId="0" applyFont="1"/>
    <xf numFmtId="0" fontId="38" fillId="13" borderId="0" xfId="0" applyFont="1" applyFill="1"/>
    <xf numFmtId="0" fontId="38" fillId="0" borderId="0" xfId="0" applyFont="1"/>
    <xf numFmtId="169" fontId="3" fillId="0" borderId="3" xfId="0" applyNumberFormat="1" applyFont="1" applyBorder="1" applyAlignment="1">
      <alignment horizontal="center"/>
    </xf>
    <xf numFmtId="169" fontId="52" fillId="0" borderId="0" xfId="0" applyNumberFormat="1" applyFont="1" applyAlignment="1">
      <alignment horizontal="center"/>
    </xf>
    <xf numFmtId="0" fontId="0" fillId="0" borderId="0" xfId="2" applyFont="1" applyAlignment="1">
      <alignment vertical="center"/>
    </xf>
    <xf numFmtId="170" fontId="3" fillId="6" borderId="4" xfId="2" applyNumberFormat="1" applyFont="1" applyFill="1" applyBorder="1" applyAlignment="1">
      <alignment horizontal="center" vertical="center"/>
    </xf>
    <xf numFmtId="0" fontId="38" fillId="13" borderId="0" xfId="0" applyFont="1" applyFill="1" applyAlignment="1">
      <alignment horizontal="center" vertical="center"/>
    </xf>
    <xf numFmtId="185" fontId="38" fillId="13" borderId="0" xfId="0" applyNumberFormat="1" applyFont="1" applyFill="1" applyAlignment="1">
      <alignment horizontal="center" vertical="center"/>
    </xf>
    <xf numFmtId="186" fontId="38" fillId="18" borderId="0" xfId="0" applyNumberFormat="1" applyFont="1" applyFill="1" applyAlignment="1">
      <alignment horizontal="center" vertical="center"/>
    </xf>
    <xf numFmtId="0" fontId="59" fillId="0" borderId="5" xfId="2" applyFont="1" applyBorder="1" applyAlignment="1">
      <alignment horizontal="centerContinuous" vertical="center"/>
    </xf>
    <xf numFmtId="0" fontId="59" fillId="0" borderId="6" xfId="2" applyFont="1" applyBorder="1" applyAlignment="1">
      <alignment horizontal="centerContinuous" vertical="center"/>
    </xf>
    <xf numFmtId="0" fontId="37" fillId="0" borderId="0" xfId="2" applyFont="1" applyAlignment="1">
      <alignment vertical="center"/>
    </xf>
    <xf numFmtId="0" fontId="0" fillId="4" borderId="0" xfId="2" applyFont="1" applyFill="1" applyAlignment="1">
      <alignment vertical="center"/>
    </xf>
    <xf numFmtId="172" fontId="0" fillId="0" borderId="0" xfId="2" applyNumberFormat="1" applyFont="1" applyAlignment="1">
      <alignment horizontal="center" vertical="center"/>
    </xf>
    <xf numFmtId="172" fontId="52" fillId="0" borderId="0" xfId="2" applyNumberFormat="1" applyFont="1" applyAlignment="1">
      <alignment horizontal="center" vertical="center"/>
    </xf>
    <xf numFmtId="0" fontId="37" fillId="0" borderId="7" xfId="2" applyFont="1" applyBorder="1" applyAlignment="1">
      <alignment horizontal="center" vertical="center"/>
    </xf>
    <xf numFmtId="173" fontId="37" fillId="0" borderId="8" xfId="2" applyNumberFormat="1" applyFont="1" applyBorder="1" applyAlignment="1">
      <alignment horizontal="center" vertical="center"/>
    </xf>
    <xf numFmtId="172" fontId="3" fillId="0" borderId="0" xfId="2" applyNumberFormat="1" applyFont="1" applyAlignment="1">
      <alignment horizontal="center" vertical="center"/>
    </xf>
    <xf numFmtId="174" fontId="37" fillId="0" borderId="8" xfId="2" applyNumberFormat="1" applyFont="1" applyBorder="1" applyAlignment="1">
      <alignment horizontal="center" vertical="center"/>
    </xf>
    <xf numFmtId="173" fontId="37" fillId="0" borderId="0" xfId="2" applyNumberFormat="1" applyFont="1" applyAlignment="1">
      <alignment vertical="center"/>
    </xf>
    <xf numFmtId="0" fontId="37" fillId="0" borderId="9" xfId="2" applyFont="1" applyBorder="1" applyAlignment="1">
      <alignment horizontal="center" vertical="center"/>
    </xf>
    <xf numFmtId="172" fontId="37" fillId="0" borderId="10" xfId="2" applyNumberFormat="1" applyFont="1" applyBorder="1" applyAlignment="1">
      <alignment horizontal="center" vertical="center"/>
    </xf>
    <xf numFmtId="174" fontId="37" fillId="0" borderId="0" xfId="2" applyNumberFormat="1" applyFont="1" applyAlignment="1">
      <alignment vertical="center"/>
    </xf>
    <xf numFmtId="173" fontId="0" fillId="0" borderId="0" xfId="2" applyNumberFormat="1" applyFont="1" applyAlignment="1">
      <alignment horizontal="center" vertical="center"/>
    </xf>
    <xf numFmtId="0" fontId="0" fillId="4" borderId="11" xfId="2" applyFont="1" applyFill="1" applyBorder="1" applyAlignment="1">
      <alignment vertical="center"/>
    </xf>
    <xf numFmtId="172" fontId="4" fillId="0" borderId="0" xfId="2" applyNumberFormat="1" applyFont="1" applyAlignment="1">
      <alignment horizontal="center" vertical="center"/>
    </xf>
    <xf numFmtId="170" fontId="37" fillId="0" borderId="0" xfId="2" applyNumberFormat="1" applyFont="1" applyAlignment="1">
      <alignment vertical="center"/>
    </xf>
    <xf numFmtId="173" fontId="3" fillId="6" borderId="4" xfId="2" applyNumberFormat="1" applyFont="1" applyFill="1" applyBorder="1" applyAlignment="1">
      <alignment horizontal="center" vertical="center"/>
    </xf>
    <xf numFmtId="0" fontId="37" fillId="3" borderId="13" xfId="2" applyFont="1" applyFill="1" applyBorder="1" applyAlignment="1">
      <alignment vertical="center"/>
    </xf>
    <xf numFmtId="0" fontId="37" fillId="5" borderId="13" xfId="2" applyFont="1" applyFill="1" applyBorder="1" applyAlignment="1">
      <alignment vertical="center"/>
    </xf>
    <xf numFmtId="172" fontId="37" fillId="3" borderId="13" xfId="2" applyNumberFormat="1" applyFont="1" applyFill="1" applyBorder="1" applyAlignment="1">
      <alignment horizontal="center" vertical="center"/>
    </xf>
    <xf numFmtId="172" fontId="60" fillId="3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3" fontId="0" fillId="0" borderId="0" xfId="0" applyNumberFormat="1" applyAlignment="1">
      <alignment horizontal="center" vertical="center"/>
    </xf>
    <xf numFmtId="174" fontId="0" fillId="0" borderId="3" xfId="2" applyNumberFormat="1" applyFont="1" applyBorder="1" applyAlignment="1">
      <alignment vertical="center"/>
    </xf>
    <xf numFmtId="174" fontId="0" fillId="0" borderId="0" xfId="2" applyNumberFormat="1" applyFont="1" applyAlignment="1">
      <alignment vertical="center"/>
    </xf>
    <xf numFmtId="0" fontId="59" fillId="0" borderId="0" xfId="2" applyFont="1" applyAlignment="1">
      <alignment horizontal="centerContinuous" vertical="center"/>
    </xf>
    <xf numFmtId="0" fontId="61" fillId="0" borderId="0" xfId="2" applyFont="1" applyAlignment="1">
      <alignment horizontal="centerContinuous" vertical="center"/>
    </xf>
    <xf numFmtId="0" fontId="62" fillId="0" borderId="0" xfId="2" applyFont="1" applyAlignment="1">
      <alignment horizontal="centerContinuous" vertical="center"/>
    </xf>
    <xf numFmtId="0" fontId="63" fillId="0" borderId="0" xfId="0" applyFont="1" applyAlignment="1">
      <alignment horizontal="centerContinuous"/>
    </xf>
    <xf numFmtId="0" fontId="64" fillId="0" borderId="0" xfId="2" applyFont="1" applyAlignment="1">
      <alignment vertical="center"/>
    </xf>
    <xf numFmtId="10" fontId="0" fillId="0" borderId="0" xfId="2" applyNumberFormat="1" applyFont="1" applyAlignment="1">
      <alignment vertical="center"/>
    </xf>
    <xf numFmtId="175" fontId="65" fillId="0" borderId="3" xfId="2" applyNumberFormat="1" applyFont="1" applyBorder="1" applyAlignment="1">
      <alignment horizontal="center" vertical="center"/>
    </xf>
    <xf numFmtId="171" fontId="2" fillId="0" borderId="0" xfId="2" applyNumberFormat="1" applyFont="1" applyAlignment="1">
      <alignment horizontal="center" vertical="center"/>
    </xf>
    <xf numFmtId="174" fontId="0" fillId="0" borderId="0" xfId="0" applyNumberFormat="1"/>
    <xf numFmtId="173" fontId="41" fillId="3" borderId="0" xfId="0" applyNumberFormat="1" applyFont="1" applyFill="1" applyAlignment="1">
      <alignment horizontal="center"/>
    </xf>
    <xf numFmtId="170" fontId="0" fillId="0" borderId="0" xfId="2" applyNumberFormat="1" applyFont="1" applyAlignment="1">
      <alignment vertical="center"/>
    </xf>
    <xf numFmtId="175" fontId="65" fillId="0" borderId="0" xfId="2" applyNumberFormat="1" applyFont="1" applyAlignment="1">
      <alignment horizontal="center" vertical="center"/>
    </xf>
    <xf numFmtId="174" fontId="0" fillId="0" borderId="0" xfId="2" applyNumberFormat="1" applyFont="1" applyAlignment="1">
      <alignment horizontal="center" vertical="center"/>
    </xf>
    <xf numFmtId="0" fontId="58" fillId="0" borderId="0" xfId="2" applyFont="1" applyAlignment="1">
      <alignment vertical="center"/>
    </xf>
    <xf numFmtId="174" fontId="58" fillId="0" borderId="0" xfId="2" applyNumberFormat="1" applyFont="1" applyAlignment="1">
      <alignment horizontal="right" vertical="center"/>
    </xf>
    <xf numFmtId="177" fontId="58" fillId="0" borderId="0" xfId="2" applyNumberFormat="1" applyFont="1" applyAlignment="1">
      <alignment horizontal="center" vertical="center"/>
    </xf>
    <xf numFmtId="174" fontId="0" fillId="0" borderId="0" xfId="2" applyNumberFormat="1" applyFont="1" applyAlignment="1">
      <alignment horizontal="right" vertical="center"/>
    </xf>
    <xf numFmtId="0" fontId="41" fillId="0" borderId="0" xfId="0" applyFont="1" applyAlignment="1">
      <alignment horizontal="center"/>
    </xf>
    <xf numFmtId="170" fontId="37" fillId="3" borderId="13" xfId="2" applyNumberFormat="1" applyFont="1" applyFill="1" applyBorder="1" applyAlignment="1">
      <alignment vertical="center"/>
    </xf>
    <xf numFmtId="175" fontId="37" fillId="3" borderId="13" xfId="2" applyNumberFormat="1" applyFont="1" applyFill="1" applyBorder="1" applyAlignment="1">
      <alignment horizontal="center" vertical="center"/>
    </xf>
    <xf numFmtId="174" fontId="37" fillId="3" borderId="13" xfId="2" applyNumberFormat="1" applyFont="1" applyFill="1" applyBorder="1" applyAlignment="1">
      <alignment horizontal="center" vertical="center"/>
    </xf>
    <xf numFmtId="0" fontId="37" fillId="20" borderId="0" xfId="2" applyFont="1" applyFill="1" applyAlignment="1">
      <alignment vertical="center"/>
    </xf>
    <xf numFmtId="170" fontId="37" fillId="20" borderId="0" xfId="2" applyNumberFormat="1" applyFont="1" applyFill="1" applyAlignment="1">
      <alignment vertical="center"/>
    </xf>
    <xf numFmtId="175" fontId="37" fillId="20" borderId="0" xfId="2" applyNumberFormat="1" applyFont="1" applyFill="1" applyAlignment="1">
      <alignment horizontal="center" vertical="center"/>
    </xf>
    <xf numFmtId="170" fontId="0" fillId="0" borderId="0" xfId="2" applyNumberFormat="1" applyFont="1" applyAlignment="1">
      <alignment horizontal="center" vertical="center"/>
    </xf>
    <xf numFmtId="170" fontId="4" fillId="0" borderId="0" xfId="2" applyNumberFormat="1" applyFont="1" applyAlignment="1">
      <alignment vertical="center"/>
    </xf>
    <xf numFmtId="0" fontId="38" fillId="18" borderId="0" xfId="0" applyFont="1" applyFill="1" applyAlignment="1">
      <alignment horizontal="center"/>
    </xf>
    <xf numFmtId="174" fontId="3" fillId="0" borderId="0" xfId="2" applyNumberFormat="1" applyFont="1" applyAlignment="1">
      <alignment horizontal="center" vertical="center"/>
    </xf>
    <xf numFmtId="174" fontId="3" fillId="7" borderId="0" xfId="2" applyNumberFormat="1" applyFont="1" applyFill="1" applyAlignment="1">
      <alignment horizontal="center" vertical="center"/>
    </xf>
    <xf numFmtId="174" fontId="52" fillId="0" borderId="0" xfId="2" applyNumberFormat="1" applyFont="1" applyAlignment="1">
      <alignment horizontal="center" vertical="center"/>
    </xf>
    <xf numFmtId="0" fontId="36" fillId="0" borderId="0" xfId="2" applyFont="1" applyAlignment="1">
      <alignment vertical="center"/>
    </xf>
    <xf numFmtId="175" fontId="36" fillId="0" borderId="0" xfId="2" applyNumberFormat="1" applyFont="1" applyAlignment="1">
      <alignment horizontal="center" vertical="center"/>
    </xf>
    <xf numFmtId="175" fontId="36" fillId="0" borderId="3" xfId="2" applyNumberFormat="1" applyFont="1" applyBorder="1" applyAlignment="1">
      <alignment horizontal="center" vertical="center"/>
    </xf>
    <xf numFmtId="0" fontId="0" fillId="0" borderId="3" xfId="0" applyBorder="1"/>
    <xf numFmtId="0" fontId="40" fillId="0" borderId="16" xfId="2" applyFont="1" applyBorder="1" applyAlignment="1">
      <alignment vertical="center"/>
    </xf>
    <xf numFmtId="175" fontId="66" fillId="0" borderId="16" xfId="2" applyNumberFormat="1" applyFont="1" applyBorder="1" applyAlignment="1">
      <alignment horizontal="center" vertical="center"/>
    </xf>
    <xf numFmtId="175" fontId="66" fillId="0" borderId="17" xfId="2" applyNumberFormat="1" applyFont="1" applyBorder="1" applyAlignment="1">
      <alignment horizontal="center" vertical="center"/>
    </xf>
    <xf numFmtId="173" fontId="0" fillId="0" borderId="0" xfId="2" applyNumberFormat="1" applyFont="1" applyAlignment="1">
      <alignment vertical="center"/>
    </xf>
    <xf numFmtId="0" fontId="40" fillId="0" borderId="20" xfId="2" applyFont="1" applyBorder="1" applyAlignment="1">
      <alignment vertical="center"/>
    </xf>
    <xf numFmtId="178" fontId="66" fillId="0" borderId="20" xfId="2" applyNumberFormat="1" applyFont="1" applyBorder="1" applyAlignment="1">
      <alignment horizontal="center" vertical="center"/>
    </xf>
    <xf numFmtId="178" fontId="66" fillId="0" borderId="21" xfId="2" applyNumberFormat="1" applyFont="1" applyBorder="1" applyAlignment="1">
      <alignment horizontal="center" vertical="center"/>
    </xf>
    <xf numFmtId="0" fontId="0" fillId="0" borderId="3" xfId="2" applyFont="1" applyBorder="1" applyAlignment="1">
      <alignment vertical="center"/>
    </xf>
    <xf numFmtId="170" fontId="3" fillId="6" borderId="0" xfId="2" applyNumberFormat="1" applyFont="1" applyFill="1" applyAlignment="1">
      <alignment horizontal="center" vertical="center"/>
    </xf>
    <xf numFmtId="172" fontId="3" fillId="6" borderId="0" xfId="2" applyNumberFormat="1" applyFont="1" applyFill="1" applyAlignment="1">
      <alignment horizontal="center" vertical="center"/>
    </xf>
    <xf numFmtId="170" fontId="3" fillId="8" borderId="0" xfId="2" applyNumberFormat="1" applyFont="1" applyFill="1" applyAlignment="1">
      <alignment horizontal="center" vertical="center"/>
    </xf>
    <xf numFmtId="170" fontId="37" fillId="3" borderId="13" xfId="2" applyNumberFormat="1" applyFont="1" applyFill="1" applyBorder="1" applyAlignment="1">
      <alignment horizontal="center" vertical="center"/>
    </xf>
    <xf numFmtId="0" fontId="37" fillId="3" borderId="13" xfId="2" applyFont="1" applyFill="1" applyBorder="1" applyAlignment="1">
      <alignment horizontal="left" vertical="center"/>
    </xf>
    <xf numFmtId="172" fontId="37" fillId="3" borderId="13" xfId="2" applyNumberFormat="1" applyFont="1" applyFill="1" applyBorder="1" applyAlignment="1">
      <alignment horizontal="left" vertical="center"/>
    </xf>
    <xf numFmtId="175" fontId="37" fillId="3" borderId="0" xfId="2" applyNumberFormat="1" applyFont="1" applyFill="1" applyAlignment="1">
      <alignment horizontal="center" vertical="center"/>
    </xf>
    <xf numFmtId="177" fontId="67" fillId="0" borderId="0" xfId="2" applyNumberFormat="1" applyFont="1" applyAlignment="1">
      <alignment horizontal="center" vertical="center"/>
    </xf>
    <xf numFmtId="175" fontId="37" fillId="3" borderId="22" xfId="2" applyNumberFormat="1" applyFont="1" applyFill="1" applyBorder="1" applyAlignment="1">
      <alignment horizontal="center" vertical="center"/>
    </xf>
    <xf numFmtId="172" fontId="65" fillId="0" borderId="0" xfId="2" applyNumberFormat="1" applyFont="1" applyAlignment="1">
      <alignment vertical="center"/>
    </xf>
    <xf numFmtId="1" fontId="39" fillId="7" borderId="23" xfId="1" applyNumberFormat="1" applyFont="1" applyFill="1" applyBorder="1" applyAlignment="1">
      <alignment horizontal="center"/>
    </xf>
    <xf numFmtId="165" fontId="39" fillId="7" borderId="0" xfId="1" applyNumberFormat="1" applyFont="1" applyFill="1" applyAlignment="1">
      <alignment horizontal="center"/>
    </xf>
    <xf numFmtId="175" fontId="65" fillId="0" borderId="11" xfId="2" applyNumberFormat="1" applyFont="1" applyBorder="1" applyAlignment="1">
      <alignment horizontal="center" vertical="center"/>
    </xf>
    <xf numFmtId="177" fontId="68" fillId="0" borderId="0" xfId="2" applyNumberFormat="1" applyFont="1" applyAlignment="1">
      <alignment horizontal="center" vertical="center"/>
    </xf>
    <xf numFmtId="177" fontId="68" fillId="0" borderId="12" xfId="2" applyNumberFormat="1" applyFont="1" applyBorder="1" applyAlignment="1">
      <alignment horizontal="center" vertical="center"/>
    </xf>
    <xf numFmtId="175" fontId="37" fillId="3" borderId="14" xfId="2" applyNumberFormat="1" applyFont="1" applyFill="1" applyBorder="1" applyAlignment="1">
      <alignment horizontal="center" vertical="center"/>
    </xf>
    <xf numFmtId="177" fontId="68" fillId="0" borderId="57" xfId="2" applyNumberFormat="1" applyFont="1" applyBorder="1" applyAlignment="1">
      <alignment horizontal="center" vertical="center"/>
    </xf>
    <xf numFmtId="177" fontId="68" fillId="0" borderId="11" xfId="2" applyNumberFormat="1" applyFont="1" applyBorder="1" applyAlignment="1">
      <alignment horizontal="center" vertical="center"/>
    </xf>
    <xf numFmtId="175" fontId="37" fillId="20" borderId="11" xfId="2" applyNumberFormat="1" applyFont="1" applyFill="1" applyBorder="1" applyAlignment="1">
      <alignment horizontal="center" vertical="center"/>
    </xf>
    <xf numFmtId="177" fontId="58" fillId="0" borderId="57" xfId="2" applyNumberFormat="1" applyFont="1" applyBorder="1" applyAlignment="1">
      <alignment horizontal="center" vertical="center"/>
    </xf>
    <xf numFmtId="175" fontId="37" fillId="3" borderId="11" xfId="2" applyNumberFormat="1" applyFont="1" applyFill="1" applyBorder="1" applyAlignment="1">
      <alignment horizontal="center" vertical="center"/>
    </xf>
    <xf numFmtId="177" fontId="67" fillId="0" borderId="11" xfId="2" applyNumberFormat="1" applyFont="1" applyBorder="1" applyAlignment="1">
      <alignment horizontal="center" vertical="center"/>
    </xf>
    <xf numFmtId="175" fontId="37" fillId="3" borderId="12" xfId="2" applyNumberFormat="1" applyFont="1" applyFill="1" applyBorder="1" applyAlignment="1">
      <alignment horizontal="center" vertical="center"/>
    </xf>
    <xf numFmtId="177" fontId="67" fillId="0" borderId="57" xfId="2" applyNumberFormat="1" applyFont="1" applyBorder="1" applyAlignment="1">
      <alignment horizontal="center" vertical="center"/>
    </xf>
    <xf numFmtId="0" fontId="0" fillId="21" borderId="0" xfId="2" applyFont="1" applyFill="1" applyAlignment="1">
      <alignment vertical="center"/>
    </xf>
    <xf numFmtId="165" fontId="39" fillId="0" borderId="0" xfId="1" applyNumberFormat="1" applyFont="1" applyFill="1" applyBorder="1" applyAlignment="1">
      <alignment horizontal="center"/>
    </xf>
    <xf numFmtId="190" fontId="43" fillId="0" borderId="0" xfId="1" applyNumberFormat="1" applyFont="1" applyAlignment="1">
      <alignment horizontal="center"/>
    </xf>
    <xf numFmtId="190" fontId="43" fillId="0" borderId="11" xfId="1" applyNumberFormat="1" applyFont="1" applyBorder="1" applyAlignment="1">
      <alignment horizontal="center"/>
    </xf>
    <xf numFmtId="178" fontId="66" fillId="0" borderId="58" xfId="2" applyNumberFormat="1" applyFont="1" applyBorder="1" applyAlignment="1">
      <alignment horizontal="center" vertical="center"/>
    </xf>
    <xf numFmtId="172" fontId="0" fillId="0" borderId="0" xfId="0" applyNumberFormat="1"/>
    <xf numFmtId="0" fontId="37" fillId="5" borderId="14" xfId="2" applyFont="1" applyFill="1" applyBorder="1" applyAlignment="1">
      <alignment vertical="center"/>
    </xf>
    <xf numFmtId="165" fontId="69" fillId="3" borderId="13" xfId="1" applyNumberFormat="1" applyFont="1" applyFill="1" applyBorder="1" applyAlignment="1">
      <alignment horizontal="center" vertical="center"/>
    </xf>
    <xf numFmtId="176" fontId="0" fillId="23" borderId="0" xfId="0" applyNumberFormat="1" applyFill="1" applyAlignment="1">
      <alignment horizontal="center"/>
    </xf>
    <xf numFmtId="176" fontId="0" fillId="23" borderId="16" xfId="0" applyNumberFormat="1" applyFill="1" applyBorder="1" applyAlignment="1">
      <alignment horizontal="center"/>
    </xf>
    <xf numFmtId="176" fontId="0" fillId="23" borderId="20" xfId="0" applyNumberFormat="1" applyFill="1" applyBorder="1" applyAlignment="1">
      <alignment horizontal="center"/>
    </xf>
    <xf numFmtId="176" fontId="0" fillId="23" borderId="18" xfId="2" applyNumberFormat="1" applyFont="1" applyFill="1" applyBorder="1" applyAlignment="1">
      <alignment horizontal="center" vertical="center"/>
    </xf>
    <xf numFmtId="176" fontId="0" fillId="23" borderId="3" xfId="0" applyNumberFormat="1" applyFill="1" applyBorder="1" applyAlignment="1">
      <alignment horizontal="center"/>
    </xf>
    <xf numFmtId="176" fontId="0" fillId="24" borderId="0" xfId="0" applyNumberFormat="1" applyFill="1" applyAlignment="1">
      <alignment horizontal="center"/>
    </xf>
    <xf numFmtId="165" fontId="2" fillId="22" borderId="0" xfId="1" applyNumberFormat="1" applyFont="1" applyFill="1" applyAlignment="1">
      <alignment horizontal="center" vertical="center"/>
    </xf>
    <xf numFmtId="190" fontId="0" fillId="23" borderId="16" xfId="0" applyNumberFormat="1" applyFill="1" applyBorder="1" applyAlignment="1">
      <alignment horizontal="center"/>
    </xf>
    <xf numFmtId="190" fontId="0" fillId="24" borderId="0" xfId="0" applyNumberFormat="1" applyFill="1" applyAlignment="1">
      <alignment horizontal="center"/>
    </xf>
    <xf numFmtId="190" fontId="0" fillId="23" borderId="0" xfId="0" applyNumberFormat="1" applyFill="1" applyAlignment="1">
      <alignment horizontal="center"/>
    </xf>
    <xf numFmtId="190" fontId="0" fillId="23" borderId="18" xfId="2" applyNumberFormat="1" applyFont="1" applyFill="1" applyBorder="1" applyAlignment="1">
      <alignment horizontal="center" vertical="center"/>
    </xf>
    <xf numFmtId="190" fontId="38" fillId="22" borderId="0" xfId="0" applyNumberFormat="1" applyFont="1" applyFill="1" applyAlignment="1">
      <alignment horizontal="center" vertical="center"/>
    </xf>
    <xf numFmtId="190" fontId="0" fillId="23" borderId="3" xfId="0" applyNumberFormat="1" applyFill="1" applyBorder="1" applyAlignment="1">
      <alignment horizontal="center"/>
    </xf>
    <xf numFmtId="190" fontId="0" fillId="23" borderId="20" xfId="0" applyNumberFormat="1" applyFill="1" applyBorder="1" applyAlignment="1">
      <alignment horizontal="center"/>
    </xf>
    <xf numFmtId="191" fontId="0" fillId="0" borderId="0" xfId="0" applyNumberFormat="1"/>
    <xf numFmtId="165" fontId="69" fillId="20" borderId="0" xfId="1" applyNumberFormat="1" applyFont="1" applyFill="1" applyAlignment="1">
      <alignment horizontal="center" vertical="center"/>
    </xf>
    <xf numFmtId="174" fontId="37" fillId="0" borderId="0" xfId="2" applyNumberFormat="1" applyFont="1" applyAlignment="1">
      <alignment horizontal="center" vertical="center"/>
    </xf>
    <xf numFmtId="0" fontId="5" fillId="0" borderId="11" xfId="0" applyFont="1" applyBorder="1"/>
    <xf numFmtId="179" fontId="27" fillId="0" borderId="11" xfId="0" applyNumberFormat="1" applyFont="1" applyBorder="1" applyAlignment="1">
      <alignment horizontal="center"/>
    </xf>
    <xf numFmtId="173" fontId="27" fillId="0" borderId="11" xfId="0" applyNumberFormat="1" applyFont="1" applyBorder="1" applyAlignment="1">
      <alignment horizontal="center"/>
    </xf>
    <xf numFmtId="179" fontId="28" fillId="3" borderId="39" xfId="0" applyNumberFormat="1" applyFont="1" applyFill="1" applyBorder="1" applyAlignment="1">
      <alignment horizontal="center"/>
    </xf>
    <xf numFmtId="179" fontId="28" fillId="9" borderId="39" xfId="0" applyNumberFormat="1" applyFont="1" applyFill="1" applyBorder="1" applyAlignment="1">
      <alignment horizontal="center"/>
    </xf>
    <xf numFmtId="176" fontId="30" fillId="10" borderId="60" xfId="0" applyNumberFormat="1" applyFont="1" applyFill="1" applyBorder="1" applyAlignment="1">
      <alignment horizontal="center"/>
    </xf>
    <xf numFmtId="176" fontId="30" fillId="10" borderId="59" xfId="0" applyNumberFormat="1" applyFont="1" applyFill="1" applyBorder="1" applyAlignment="1">
      <alignment horizontal="center"/>
    </xf>
    <xf numFmtId="0" fontId="5" fillId="0" borderId="60" xfId="0" applyFont="1" applyBorder="1"/>
    <xf numFmtId="179" fontId="27" fillId="0" borderId="60" xfId="0" applyNumberFormat="1" applyFont="1" applyBorder="1" applyAlignment="1">
      <alignment horizontal="center"/>
    </xf>
    <xf numFmtId="179" fontId="27" fillId="0" borderId="59" xfId="0" applyNumberFormat="1" applyFont="1" applyBorder="1" applyAlignment="1">
      <alignment horizontal="center"/>
    </xf>
    <xf numFmtId="179" fontId="26" fillId="0" borderId="44" xfId="0" applyNumberFormat="1" applyFont="1" applyBorder="1" applyAlignment="1">
      <alignment horizontal="center"/>
    </xf>
    <xf numFmtId="174" fontId="28" fillId="11" borderId="39" xfId="0" applyNumberFormat="1" applyFont="1" applyFill="1" applyBorder="1" applyAlignment="1">
      <alignment horizontal="center"/>
    </xf>
    <xf numFmtId="173" fontId="28" fillId="11" borderId="11" xfId="0" applyNumberFormat="1" applyFont="1" applyFill="1" applyBorder="1" applyAlignment="1">
      <alignment horizontal="center"/>
    </xf>
    <xf numFmtId="179" fontId="28" fillId="11" borderId="42" xfId="0" applyNumberFormat="1" applyFont="1" applyFill="1" applyBorder="1" applyAlignment="1">
      <alignment horizontal="center"/>
    </xf>
    <xf numFmtId="176" fontId="0" fillId="25" borderId="15" xfId="2" applyNumberFormat="1" applyFont="1" applyFill="1" applyBorder="1" applyAlignment="1">
      <alignment horizontal="center" vertical="center"/>
    </xf>
    <xf numFmtId="176" fontId="0" fillId="25" borderId="18" xfId="2" applyNumberFormat="1" applyFont="1" applyFill="1" applyBorder="1" applyAlignment="1">
      <alignment horizontal="center" vertical="center"/>
    </xf>
    <xf numFmtId="176" fontId="0" fillId="25" borderId="16" xfId="0" applyNumberFormat="1" applyFill="1" applyBorder="1" applyAlignment="1">
      <alignment horizontal="center"/>
    </xf>
    <xf numFmtId="176" fontId="0" fillId="25" borderId="19" xfId="2" applyNumberFormat="1" applyFont="1" applyFill="1" applyBorder="1" applyAlignment="1">
      <alignment horizontal="center" vertical="center"/>
    </xf>
    <xf numFmtId="176" fontId="0" fillId="25" borderId="20" xfId="0" applyNumberFormat="1" applyFill="1" applyBorder="1" applyAlignment="1">
      <alignment horizontal="center"/>
    </xf>
    <xf numFmtId="176" fontId="0" fillId="25" borderId="17" xfId="0" applyNumberFormat="1" applyFill="1" applyBorder="1" applyAlignment="1">
      <alignment horizontal="center"/>
    </xf>
    <xf numFmtId="176" fontId="0" fillId="25" borderId="3" xfId="0" applyNumberFormat="1" applyFill="1" applyBorder="1" applyAlignment="1">
      <alignment horizontal="center"/>
    </xf>
    <xf numFmtId="176" fontId="0" fillId="25" borderId="21" xfId="0" applyNumberFormat="1" applyFill="1" applyBorder="1" applyAlignment="1">
      <alignment horizontal="center"/>
    </xf>
    <xf numFmtId="190" fontId="0" fillId="25" borderId="15" xfId="2" applyNumberFormat="1" applyFont="1" applyFill="1" applyBorder="1" applyAlignment="1">
      <alignment horizontal="center" vertical="center"/>
    </xf>
    <xf numFmtId="190" fontId="0" fillId="25" borderId="16" xfId="0" applyNumberFormat="1" applyFill="1" applyBorder="1" applyAlignment="1">
      <alignment horizontal="center"/>
    </xf>
    <xf numFmtId="190" fontId="0" fillId="25" borderId="17" xfId="0" applyNumberFormat="1" applyFill="1" applyBorder="1" applyAlignment="1">
      <alignment horizontal="center"/>
    </xf>
    <xf numFmtId="190" fontId="0" fillId="25" borderId="19" xfId="2" applyNumberFormat="1" applyFont="1" applyFill="1" applyBorder="1" applyAlignment="1">
      <alignment horizontal="center" vertical="center"/>
    </xf>
    <xf numFmtId="190" fontId="0" fillId="25" borderId="20" xfId="0" applyNumberFormat="1" applyFill="1" applyBorder="1" applyAlignment="1">
      <alignment horizontal="center"/>
    </xf>
    <xf numFmtId="190" fontId="0" fillId="25" borderId="21" xfId="0" applyNumberFormat="1" applyFill="1" applyBorder="1" applyAlignment="1">
      <alignment horizontal="center"/>
    </xf>
    <xf numFmtId="190" fontId="0" fillId="25" borderId="18" xfId="2" applyNumberFormat="1" applyFont="1" applyFill="1" applyBorder="1" applyAlignment="1">
      <alignment horizontal="center" vertical="center"/>
    </xf>
    <xf numFmtId="190" fontId="0" fillId="25" borderId="3" xfId="0" applyNumberFormat="1" applyFill="1" applyBorder="1" applyAlignment="1">
      <alignment horizontal="center"/>
    </xf>
    <xf numFmtId="175" fontId="2" fillId="26" borderId="0" xfId="2" applyNumberFormat="1" applyFont="1" applyFill="1" applyAlignment="1">
      <alignment horizontal="left" vertical="center"/>
    </xf>
    <xf numFmtId="175" fontId="2" fillId="26" borderId="0" xfId="2" applyNumberFormat="1" applyFont="1" applyFill="1" applyAlignment="1">
      <alignment horizontal="center" vertical="center"/>
    </xf>
    <xf numFmtId="185" fontId="38" fillId="27" borderId="0" xfId="0" applyNumberFormat="1" applyFont="1" applyFill="1" applyAlignment="1">
      <alignment horizontal="center"/>
    </xf>
    <xf numFmtId="186" fontId="38" fillId="27" borderId="0" xfId="0" applyNumberFormat="1" applyFont="1" applyFill="1" applyAlignment="1">
      <alignment horizontal="center"/>
    </xf>
    <xf numFmtId="186" fontId="38" fillId="13" borderId="0" xfId="0" applyNumberFormat="1" applyFont="1" applyFill="1" applyAlignment="1">
      <alignment horizontal="center"/>
    </xf>
    <xf numFmtId="9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185" fontId="38" fillId="13" borderId="56" xfId="0" applyNumberFormat="1" applyFont="1" applyFill="1" applyBorder="1" applyAlignment="1">
      <alignment horizontal="center"/>
    </xf>
    <xf numFmtId="9" fontId="43" fillId="0" borderId="0" xfId="1" applyFont="1" applyBorder="1" applyAlignment="1">
      <alignment horizontal="center"/>
    </xf>
    <xf numFmtId="9" fontId="43" fillId="0" borderId="0" xfId="1" applyFont="1" applyAlignment="1">
      <alignment horizontal="center"/>
    </xf>
    <xf numFmtId="9" fontId="43" fillId="0" borderId="11" xfId="0" applyNumberFormat="1" applyFont="1" applyBorder="1" applyAlignment="1">
      <alignment horizontal="center"/>
    </xf>
    <xf numFmtId="165" fontId="40" fillId="7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left" indent="1"/>
    </xf>
    <xf numFmtId="0" fontId="43" fillId="0" borderId="0" xfId="0" applyFont="1" applyAlignment="1">
      <alignment horizontal="left" indent="2"/>
    </xf>
    <xf numFmtId="2" fontId="4" fillId="0" borderId="0" xfId="0" applyNumberFormat="1" applyFont="1" applyAlignment="1">
      <alignment horizontal="center"/>
    </xf>
    <xf numFmtId="2" fontId="4" fillId="0" borderId="11" xfId="0" applyNumberFormat="1" applyFont="1" applyBorder="1" applyAlignment="1">
      <alignment horizontal="center"/>
    </xf>
    <xf numFmtId="189" fontId="37" fillId="12" borderId="39" xfId="0" applyNumberFormat="1" applyFont="1" applyFill="1" applyBorder="1" applyAlignment="1">
      <alignment vertical="center"/>
    </xf>
    <xf numFmtId="189" fontId="37" fillId="0" borderId="44" xfId="0" applyNumberFormat="1" applyFont="1" applyBorder="1" applyAlignment="1">
      <alignment vertical="center"/>
    </xf>
    <xf numFmtId="192" fontId="4" fillId="0" borderId="0" xfId="0" applyNumberFormat="1" applyFont="1" applyAlignment="1">
      <alignment horizontal="center"/>
    </xf>
    <xf numFmtId="185" fontId="38" fillId="0" borderId="0" xfId="0" applyNumberFormat="1" applyFont="1" applyAlignment="1">
      <alignment horizontal="center"/>
    </xf>
    <xf numFmtId="186" fontId="38" fillId="0" borderId="0" xfId="0" applyNumberFormat="1" applyFont="1" applyAlignment="1">
      <alignment horizontal="center"/>
    </xf>
    <xf numFmtId="185" fontId="38" fillId="0" borderId="11" xfId="0" applyNumberFormat="1" applyFont="1" applyBorder="1" applyAlignment="1">
      <alignment horizontal="center"/>
    </xf>
    <xf numFmtId="165" fontId="43" fillId="0" borderId="0" xfId="1" applyNumberFormat="1" applyFont="1" applyFill="1" applyAlignment="1">
      <alignment horizontal="center"/>
    </xf>
    <xf numFmtId="165" fontId="43" fillId="0" borderId="11" xfId="1" applyNumberFormat="1" applyFont="1" applyFill="1" applyBorder="1" applyAlignment="1">
      <alignment horizontal="center"/>
    </xf>
    <xf numFmtId="165" fontId="40" fillId="0" borderId="11" xfId="1" applyNumberFormat="1" applyFont="1" applyFill="1" applyBorder="1" applyAlignment="1">
      <alignment horizontal="center"/>
    </xf>
    <xf numFmtId="165" fontId="39" fillId="0" borderId="0" xfId="1" applyNumberFormat="1" applyFont="1" applyFill="1" applyAlignment="1">
      <alignment horizontal="center"/>
    </xf>
    <xf numFmtId="0" fontId="14" fillId="0" borderId="0" xfId="3" applyFont="1" applyAlignment="1">
      <alignment horizontal="right" vertical="top"/>
    </xf>
    <xf numFmtId="14" fontId="14" fillId="0" borderId="0" xfId="3" applyNumberFormat="1" applyFont="1" applyAlignment="1">
      <alignment horizontal="center" vertical="top"/>
    </xf>
  </cellXfs>
  <cellStyles count="10">
    <cellStyle name="Comma 5 10" xfId="9" xr:uid="{42BB3F3D-81C8-4F83-9F04-90025306E8ED}"/>
    <cellStyle name="Comma 6" xfId="7" xr:uid="{4DD9FA1B-8DB7-409C-A016-6DD625FEB8D4}"/>
    <cellStyle name="Normal" xfId="0" builtinId="0"/>
    <cellStyle name="Normal 13" xfId="6" xr:uid="{1B219D2F-8C6C-4E93-BBAA-FCE00217C2DF}"/>
    <cellStyle name="Normal 14" xfId="4" xr:uid="{4DAB15D2-847D-494B-97D0-A5A2E86F4B54}"/>
    <cellStyle name="Normal 31" xfId="8" xr:uid="{1783F3CC-5B79-4825-A25D-D1A0AC9BBCF8}"/>
    <cellStyle name="Normal 4" xfId="2" xr:uid="{51A20E68-7FD2-4673-831A-F21D6DC930B4}"/>
    <cellStyle name="Normal 96" xfId="3" xr:uid="{1FFC68D9-9ED9-4300-943E-61DC623CCE7D}"/>
    <cellStyle name="Percent" xfId="1" builtinId="5"/>
    <cellStyle name="Percent 5 10" xfId="5" xr:uid="{8F08D00A-D5DA-49EE-92F1-72276C61EA41}"/>
  </cellStyles>
  <dxfs count="0"/>
  <tableStyles count="0" defaultTableStyle="TableStyleMedium2" defaultPivotStyle="PivotStyleLight16"/>
  <colors>
    <mruColors>
      <color rgb="FF0000FF"/>
      <color rgb="FF00CC00"/>
      <color rgb="FFFFCC00"/>
      <color rgb="FFFFF6D1"/>
      <color rgb="FFFFEC9B"/>
      <color rgb="FFFFE161"/>
      <color rgb="FFDAB000"/>
      <color rgb="FFFFFFCC"/>
      <color rgb="FFBF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23" Type="http://schemas.openxmlformats.org/officeDocument/2006/relationships/customXml" Target="../customXml/item3.xml"/><Relationship Id="rId10" Type="http://schemas.openxmlformats.org/officeDocument/2006/relationships/styles" Target="styles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458167</xdr:colOff>
      <xdr:row>2</xdr:row>
      <xdr:rowOff>90427</xdr:rowOff>
    </xdr:from>
    <xdr:to>
      <xdr:col>7</xdr:col>
      <xdr:colOff>81507</xdr:colOff>
      <xdr:row>10</xdr:row>
      <xdr:rowOff>85747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8AA7BD5-F13B-4A82-9EB2-88D4FCE9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8167" y="471427"/>
          <a:ext cx="3966740" cy="1519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60476</xdr:colOff>
      <xdr:row>0</xdr:row>
      <xdr:rowOff>0</xdr:rowOff>
    </xdr:from>
    <xdr:to>
      <xdr:col>3</xdr:col>
      <xdr:colOff>1466830</xdr:colOff>
      <xdr:row>2</xdr:row>
      <xdr:rowOff>83757</xdr:rowOff>
    </xdr:to>
    <xdr:pic>
      <xdr:nvPicPr>
        <xdr:cNvPr id="3" name="Picture 2" descr="Academia Ta Pago Sticker by Smart Fit - Find &amp; Share on GIPHY" hidden="1">
          <a:extLst>
            <a:ext uri="{FF2B5EF4-FFF2-40B4-BE49-F238E27FC236}">
              <a16:creationId xmlns:a16="http://schemas.microsoft.com/office/drawing/2014/main" id="{1EF010FD-B119-4DDD-9232-08BD3DF348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312" b="36748"/>
        <a:stretch>
          <a:fillRect/>
        </a:stretch>
      </xdr:blipFill>
      <xdr:spPr bwMode="auto">
        <a:xfrm>
          <a:off x="60476" y="0"/>
          <a:ext cx="2092153" cy="589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uário Convidado" id="{A63008DC-2D6F-465A-BDA2-C69FE6CD791D}" userId="" providerId="Windows Live"/>
  <person displayName="Andre Issa Cevasco" id="{9F6F0652-6D20-48A8-AA4A-5B7EDCD3B671}" userId="S::andreic@al.insper.edu.br::64b30d6a-31a8-44d5-a967-f6122ec67184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https://www.bing.com/financeapi/forcetrigger?t=az65xm&amp;q=BVMF%3aSMFT3&amp;form=skydnc</v>
    <v>Learn more on Bing</v>
  </rv>
  <rv s="1">
    <v>en-US</v>
    <v>az65xm</v>
    <v>268435456</v>
    <v>1</v>
    <v>Powered by Refinitiv</v>
    <v>0</v>
    <v>Smartfit Escola de Ginastica e Danca SA (BVMF:SMFT3)</v>
    <v>2</v>
    <v>3</v>
    <v>Finance</v>
    <v>4</v>
    <v>26.38</v>
    <v>17.86</v>
    <v>1.8029999999999999</v>
    <v>-0.4</v>
    <v>-2.0523E-2</v>
    <v>BRL</v>
    <v>Smartfit Escola de Ginastica e Danca SA is a Brazil-based company engaged in the fitness sector. The Company's corporate purpose is to operate in the gym market in Latin America, with the mission of democratizing access to high-class fitness. Through its own and franchised operations, the Company has a presence in fifteen countries, including Brazil, Mexico, Colombia, Chile, Peru, Argentina, Paraguay, Uruguay, Panama, Costa Rica, the Dominican Republic, Ecuador, Guatemala, El Salvador, and Honduras. It operates in the high-altitude fitness segment under the Smartfit brand, the high-grade segment under the Bio Ritmo brand, and the digital fitness segment under the Queima Diaria brand, along with other digital services.</v>
    <v>3838</v>
    <v>B3 - Brazil Stock Exchange</v>
    <v>BVMF</v>
    <v>BVMF</v>
    <v>Avenida Paulista, n.1294, 2 andar, Bela Vista,, SAO PAULO, SAO PAULO, 01.310-100 BR</v>
    <v>19.48</v>
    <v>Hotels &amp; Entertainment Services</v>
    <v>Stock</v>
    <v>46114.838846075778</v>
    <v>0</v>
    <v>18.55</v>
    <v>11761917882</v>
    <v>Smartfit Escola de Ginastica e Danca SA</v>
    <v>Smartfit Escola de Ginastica e Danca SA</v>
    <v>18.71</v>
    <v>19.489999999999998</v>
    <v>19.09</v>
    <v>616129800</v>
    <v>SMFT3</v>
    <v>Smartfit Escola de Ginastica e Danca SA (BVMF:SMFT3)</v>
    <v>6992200</v>
    <v>6493230</v>
    <v>2005</v>
  </rv>
  <rv s="2">
    <v>1</v>
  </rv>
  <rv s="3">
    <v>12</v>
    <v>Price</v>
    <v>0</v>
  </rv>
</rvData>
</file>

<file path=xl/richData/rdrichvaluestructure.xml><?xml version="1.0" encoding="utf-8"?>
<rvStructures xmlns="http://schemas.microsoft.com/office/spreadsheetml/2017/richdata" count="4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Beta"/>
    <k n="Change"/>
    <k n="Change (%)"/>
    <k n="Currency" t="s"/>
    <k n="Description" t="s"/>
    <k n="Employees"/>
    <k n="Exchange" t="s"/>
    <k n="Exchange abbreviation" t="s"/>
    <k n="ExchangeID" t="s"/>
    <k n="Headquarters" t="s"/>
    <k n="High"/>
    <k n="Industry" t="s"/>
    <k n="Instrument type" t="s"/>
    <k n="Last trade time"/>
    <k n="LearnMoreOnLink" t="r"/>
    <k n="Low"/>
    <k n="Market cap"/>
    <k n="Name" t="s"/>
    <k n="Official name" t="s"/>
    <k n="Open"/>
    <k n="Previous close"/>
    <k n="Price"/>
    <k n="Shares outstanding"/>
    <k n="Ticker symbol" t="s"/>
    <k n="UniqueName" t="s"/>
    <k n="Volume"/>
    <k n="Volume average"/>
    <k n="Year incorporated"/>
  </s>
  <s t="_linkedentity">
    <k n="%cvi" t="r"/>
  </s>
  <s t="_error">
    <k n="errorType" t="i"/>
    <k n="field" t="s"/>
    <k n="subType" t="i"/>
  </s>
</rvStructures>
</file>

<file path=xl/richData/rdsupportingpropertybag.xml><?xml version="1.0" encoding="utf-8"?>
<supportingPropertyBags xmlns="http://schemas.microsoft.com/office/spreadsheetml/2017/richdata2">
  <spbArrays count="1">
    <a count="41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Official name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Shares outstanding</v>
      <v t="s">Description</v>
      <v t="s">Employees</v>
      <v t="s">Headquarters</v>
      <v t="s">Industry</v>
      <v t="s">Instrument type</v>
      <v t="s">Year incorporated</v>
      <v t="s">_Flags</v>
      <v t="s">UniqueName</v>
      <v t="s">_DisplayString</v>
      <v t="s">LearnMoreOnLink</v>
      <v t="s">ExchangeID</v>
      <v t="s">%ProviderInfo</v>
    </a>
  </spbArrays>
  <spbData count="5">
    <spb s="0">
      <v>0</v>
      <v>Name</v>
      <v>LearnMoreOnLink</v>
    </spb>
    <spb s="1">
      <v>0</v>
      <v>0</v>
      <v>0</v>
    </spb>
    <spb s="2">
      <v>1</v>
      <v>1</v>
      <v>1</v>
      <v>1</v>
    </spb>
    <spb s="3">
      <v>1</v>
      <v>2</v>
      <v>1</v>
      <v>3</v>
      <v>1</v>
      <v>1</v>
      <v>1</v>
      <v>4</v>
      <v>4</v>
      <v>5</v>
      <v>6</v>
      <v>1</v>
      <v>1</v>
      <v>1</v>
      <v>4</v>
      <v>7</v>
      <v>8</v>
      <v>9</v>
      <v>4</v>
    </spb>
    <spb s="4">
      <v>Delayed 30 minutes</v>
      <v>from previous close</v>
      <v>from previous close</v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Low" t="i"/>
    <k n="Beta" t="i"/>
    <k n="High" t="i"/>
    <k n="Name" t="i"/>
    <k n="Open" t="i"/>
    <k n="Price" t="i"/>
    <k n="Change" t="i"/>
    <k n="Volume" t="i"/>
    <k n="Employees" t="i"/>
    <k n="Change (%)" t="i"/>
    <k n="Market cap" t="i"/>
    <k n="52 week low" t="i"/>
    <k n="52 week high" t="i"/>
    <k n="Previous close" t="i"/>
    <k n="Volume average" t="i"/>
    <k n="Last trade time" t="i"/>
    <k n="Year incorporated" t="i"/>
    <k n="`%EntityServiceId" t="i"/>
    <k n="Shares outstanding" t="i"/>
  </s>
  <s>
    <k n="Price" t="s"/>
    <k n="Change" t="s"/>
    <k n="Change (%)" t="s"/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  <x:dxf>
      <x:numFmt numFmtId="27" formatCode="dd/mm/yyyy\ hh:mm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 dxfid="4">
      <rpv i="0">#,##0.00</rpv>
    </rSty>
    <rSty>
      <rpv i="1">1</rpv>
    </rSty>
    <rSty dxfid="3">
      <rpv i="0">#,##0</rpv>
    </rSty>
    <rSty dxfid="2"/>
    <rSty dxfid="1">
      <rpv i="0">_-[$R$-pt-BR] * #,##0_-;-[$R$-pt-BR] * #,##0_-;_-[$R$-pt-BR] * "-"_-;_-@_-</rpv>
    </rSty>
    <rSty dxfid="6"/>
    <rSty dxfid="5">
      <rpv i="0">0</rpv>
    </rSty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15" dT="2025-11-13T22:02:57.23" personId="{A63008DC-2D6F-465A-BDA2-C69FE6CD791D}" id="{61EEC1F6-C40F-417F-BC1D-D76618925F13}">
    <text>Flat por receita</text>
  </threadedComment>
  <threadedComment ref="D215" dT="2025-11-13T22:08:36.55" personId="{A63008DC-2D6F-465A-BDA2-C69FE6CD791D}" id="{BAC5B921-1B2D-46BE-A978-E2ACFF432CD3}" parentId="{61EEC1F6-C40F-417F-BC1D-D76618925F13}">
    <text>Usar a aproprção de clientes que utilizam de 3/10</text>
  </threadedComment>
  <threadedComment ref="D223" dT="2025-11-13T21:49:41.03" personId="{A63008DC-2D6F-465A-BDA2-C69FE6CD791D}" id="{342E963E-5864-4CE0-A7E6-F8D119127DC7}">
    <text>Usar Capex de Manutenção de Unit Economics</text>
  </threadedComment>
  <threadedComment ref="D245" dT="2025-11-13T22:16:03.12" personId="{A63008DC-2D6F-465A-BDA2-C69FE6CD791D}" id="{697D4846-736B-4934-B824-D2310A926782}">
    <text xml:space="preserve">mANTER FLAT e economizar no pessoal e encargos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8" dT="2025-10-06T19:29:43.52" personId="{9F6F0652-6D20-48A8-AA4A-5B7EDCD3B671}" id="{15E9E7FC-EE93-440C-A93A-0E7D26BD192B}">
    <text>Fonte: IMF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D@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668E-B480-4560-A173-ED29838924E7}">
  <dimension ref="A1:W59"/>
  <sheetViews>
    <sheetView showGridLines="0" zoomScale="75" zoomScaleNormal="75" workbookViewId="0">
      <selection sqref="A1:XFD1048576"/>
    </sheetView>
  </sheetViews>
  <sheetFormatPr defaultColWidth="9.140625" defaultRowHeight="15"/>
  <cols>
    <col min="1" max="1" width="9.140625" style="121"/>
    <col min="2" max="2" width="10.28515625" style="121" bestFit="1" customWidth="1"/>
    <col min="3" max="16384" width="9.140625" style="121"/>
  </cols>
  <sheetData>
    <row r="1" spans="1:23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9"/>
    </row>
    <row r="2" spans="1:23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2"/>
    </row>
    <row r="3" spans="1:23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2"/>
    </row>
    <row r="4" spans="1:23">
      <c r="A4" s="110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2"/>
    </row>
    <row r="5" spans="1:23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2"/>
    </row>
    <row r="6" spans="1:23">
      <c r="A6" s="110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2"/>
    </row>
    <row r="7" spans="1:23">
      <c r="A7" s="110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2"/>
    </row>
    <row r="8" spans="1:23">
      <c r="A8" s="110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2"/>
    </row>
    <row r="9" spans="1:23">
      <c r="A9" s="110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2"/>
    </row>
    <row r="10" spans="1:23">
      <c r="A10" s="110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2"/>
    </row>
    <row r="11" spans="1:23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2"/>
    </row>
    <row r="12" spans="1:23">
      <c r="A12" s="110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2"/>
    </row>
    <row r="13" spans="1:23">
      <c r="A13" s="110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2"/>
    </row>
    <row r="14" spans="1:23">
      <c r="A14" s="110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2"/>
    </row>
    <row r="15" spans="1:23" ht="21">
      <c r="A15" s="110"/>
      <c r="B15" s="113" t="e" vm="1">
        <v>#VALUE!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2"/>
    </row>
    <row r="16" spans="1:23">
      <c r="A16" s="110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2"/>
    </row>
    <row r="17" spans="1:23">
      <c r="A17" s="110"/>
      <c r="B17" s="111" t="s">
        <v>0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2"/>
    </row>
    <row r="18" spans="1:2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2"/>
    </row>
    <row r="19" spans="1:23">
      <c r="A19" s="110"/>
      <c r="B19" s="111" t="s">
        <v>1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2"/>
    </row>
    <row r="20" spans="1:23">
      <c r="A20" s="110"/>
      <c r="B20" s="114" t="s">
        <v>2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2"/>
    </row>
    <row r="21" spans="1:23">
      <c r="A21" s="110"/>
      <c r="B21" s="114" t="s">
        <v>3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2"/>
    </row>
    <row r="22" spans="1:23">
      <c r="A22" s="110"/>
      <c r="B22" s="114" t="s">
        <v>4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2"/>
    </row>
    <row r="23" spans="1:23">
      <c r="A23" s="110"/>
      <c r="B23" s="114" t="s">
        <v>5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2"/>
    </row>
    <row r="24" spans="1:23">
      <c r="A24" s="110"/>
      <c r="B24" s="114" t="s">
        <v>6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2"/>
    </row>
    <row r="25" spans="1:23">
      <c r="A25" s="110"/>
      <c r="B25" s="114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2"/>
    </row>
    <row r="26" spans="1:23">
      <c r="A26" s="111"/>
      <c r="B26" s="111" t="s">
        <v>7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</row>
    <row r="27" spans="1:23" s="111" customFormat="1">
      <c r="B27" s="114" t="s">
        <v>8</v>
      </c>
    </row>
    <row r="28" spans="1:23">
      <c r="A28" s="110"/>
      <c r="B28" s="114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2"/>
    </row>
    <row r="29" spans="1:23">
      <c r="A29" s="110"/>
      <c r="B29" s="111" t="s">
        <v>9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2"/>
    </row>
    <row r="30" spans="1:23" ht="15.75" thickBot="1">
      <c r="A30" s="110"/>
      <c r="B30" s="120" t="s">
        <v>10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2"/>
    </row>
    <row r="31" spans="1:23" ht="15.75" thickBot="1">
      <c r="A31" s="110"/>
      <c r="B31" s="119" t="s">
        <v>11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</row>
    <row r="32" spans="1:23">
      <c r="A32" s="110"/>
      <c r="B32" s="118" t="s">
        <v>12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2"/>
    </row>
    <row r="33" spans="1:23">
      <c r="A33" s="110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2"/>
    </row>
    <row r="34" spans="1:23">
      <c r="A34" s="110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2"/>
    </row>
    <row r="35" spans="1:23">
      <c r="A35" s="110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2"/>
    </row>
    <row r="36" spans="1:23">
      <c r="A36" s="110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2"/>
    </row>
    <row r="37" spans="1:23">
      <c r="A37" s="110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2"/>
    </row>
    <row r="38" spans="1:23">
      <c r="A38" s="110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2"/>
    </row>
    <row r="39" spans="1:23">
      <c r="A39" s="110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2"/>
    </row>
    <row r="40" spans="1:23">
      <c r="A40" s="110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2"/>
    </row>
    <row r="41" spans="1:23" ht="15.75" thickBot="1">
      <c r="A41" s="115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7"/>
    </row>
    <row r="59" spans="3:3" ht="18.75">
      <c r="C59" s="19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9A97-6368-46D0-ABD4-3E66470D39E8}">
  <dimension ref="B1:E25"/>
  <sheetViews>
    <sheetView showGridLines="0" zoomScale="75" zoomScaleNormal="75" workbookViewId="0">
      <selection activeCell="B18" sqref="B18"/>
    </sheetView>
  </sheetViews>
  <sheetFormatPr defaultColWidth="9.140625" defaultRowHeight="14.25"/>
  <cols>
    <col min="1" max="1" width="2.85546875" style="1" customWidth="1"/>
    <col min="2" max="2" width="32.42578125" style="1" customWidth="1"/>
    <col min="3" max="3" width="14.28515625" style="1" customWidth="1"/>
    <col min="4" max="4" width="11.28515625" style="1" customWidth="1"/>
    <col min="5" max="5" width="11.7109375" style="99" customWidth="1"/>
    <col min="6" max="16384" width="9.140625" style="1"/>
  </cols>
  <sheetData>
    <row r="1" spans="2:5">
      <c r="E1" s="1"/>
    </row>
    <row r="2" spans="2:5" ht="15">
      <c r="B2" s="100" t="s">
        <v>13</v>
      </c>
      <c r="E2" s="1"/>
    </row>
    <row r="3" spans="2:5">
      <c r="E3" s="1"/>
    </row>
    <row r="4" spans="2:5" ht="15">
      <c r="B4" s="103" t="s">
        <v>14</v>
      </c>
      <c r="C4" s="103" t="s">
        <v>15</v>
      </c>
      <c r="D4" s="103" t="s">
        <v>16</v>
      </c>
      <c r="E4" s="103" t="s">
        <v>17</v>
      </c>
    </row>
    <row r="5" spans="2:5">
      <c r="B5" s="102" t="s">
        <v>18</v>
      </c>
      <c r="C5" s="104" t="s">
        <v>19</v>
      </c>
      <c r="D5" s="105">
        <v>45973</v>
      </c>
      <c r="E5" s="104" t="s">
        <v>20</v>
      </c>
    </row>
    <row r="6" spans="2:5">
      <c r="B6" s="102" t="s">
        <v>21</v>
      </c>
      <c r="C6" s="104" t="s">
        <v>19</v>
      </c>
      <c r="D6" s="105">
        <v>45973</v>
      </c>
      <c r="E6" s="104" t="s">
        <v>20</v>
      </c>
    </row>
    <row r="7" spans="2:5">
      <c r="B7" s="102" t="s">
        <v>22</v>
      </c>
      <c r="C7" s="104" t="s">
        <v>23</v>
      </c>
      <c r="D7" s="105">
        <v>45973</v>
      </c>
      <c r="E7" s="104" t="s">
        <v>20</v>
      </c>
    </row>
    <row r="8" spans="2:5">
      <c r="B8" s="102" t="s">
        <v>24</v>
      </c>
      <c r="C8" s="104" t="s">
        <v>25</v>
      </c>
      <c r="D8" s="105">
        <v>45973</v>
      </c>
      <c r="E8" s="104"/>
    </row>
    <row r="9" spans="2:5">
      <c r="B9" s="102" t="s">
        <v>26</v>
      </c>
      <c r="C9" s="104" t="s">
        <v>27</v>
      </c>
      <c r="D9" s="105">
        <v>45973</v>
      </c>
      <c r="E9" s="104" t="s">
        <v>20</v>
      </c>
    </row>
    <row r="10" spans="2:5">
      <c r="B10" s="102" t="s">
        <v>28</v>
      </c>
      <c r="C10" s="104" t="s">
        <v>23</v>
      </c>
      <c r="D10" s="105">
        <v>45973</v>
      </c>
      <c r="E10" s="104"/>
    </row>
    <row r="11" spans="2:5">
      <c r="B11" s="102" t="s">
        <v>29</v>
      </c>
      <c r="C11" s="104" t="s">
        <v>25</v>
      </c>
      <c r="D11" s="105">
        <v>45966</v>
      </c>
      <c r="E11" s="104" t="s">
        <v>20</v>
      </c>
    </row>
    <row r="12" spans="2:5">
      <c r="B12" s="102" t="s">
        <v>30</v>
      </c>
      <c r="C12" s="104" t="s">
        <v>27</v>
      </c>
      <c r="D12" s="105">
        <v>45966</v>
      </c>
      <c r="E12" s="104" t="s">
        <v>20</v>
      </c>
    </row>
    <row r="13" spans="2:5">
      <c r="B13" s="102" t="s">
        <v>31</v>
      </c>
      <c r="C13" s="104" t="s">
        <v>23</v>
      </c>
      <c r="D13" s="105">
        <v>45965</v>
      </c>
      <c r="E13" s="104" t="s">
        <v>20</v>
      </c>
    </row>
    <row r="14" spans="2:5">
      <c r="B14" s="102" t="s">
        <v>32</v>
      </c>
      <c r="C14" s="104" t="s">
        <v>33</v>
      </c>
      <c r="D14" s="105">
        <v>45965</v>
      </c>
      <c r="E14" s="104" t="s">
        <v>20</v>
      </c>
    </row>
    <row r="15" spans="2:5">
      <c r="B15" s="102" t="s">
        <v>34</v>
      </c>
      <c r="C15" s="104" t="s">
        <v>23</v>
      </c>
      <c r="D15" s="105">
        <v>45961</v>
      </c>
      <c r="E15" s="104" t="s">
        <v>20</v>
      </c>
    </row>
    <row r="18" spans="2:2" ht="15">
      <c r="B18" s="100" t="s">
        <v>35</v>
      </c>
    </row>
    <row r="19" spans="2:2">
      <c r="B19" s="1" t="s">
        <v>36</v>
      </c>
    </row>
    <row r="20" spans="2:2">
      <c r="B20" s="1" t="s">
        <v>37</v>
      </c>
    </row>
    <row r="21" spans="2:2">
      <c r="B21" s="1" t="s">
        <v>38</v>
      </c>
    </row>
    <row r="22" spans="2:2">
      <c r="B22" s="1" t="s">
        <v>39</v>
      </c>
    </row>
    <row r="23" spans="2:2">
      <c r="B23" s="1" t="s">
        <v>40</v>
      </c>
    </row>
    <row r="25" spans="2:2">
      <c r="B25" s="1" t="s">
        <v>41</v>
      </c>
    </row>
  </sheetData>
  <autoFilter ref="B4:E4" xr:uid="{75DC9A97-6368-46D0-ABD4-3E66470D39E8}">
    <sortState xmlns:xlrd2="http://schemas.microsoft.com/office/spreadsheetml/2017/richdata2" ref="B5:E16">
      <sortCondition descending="1" ref="D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D573-D911-4AF7-84E3-1127303F9B5E}">
  <dimension ref="A1:AC195"/>
  <sheetViews>
    <sheetView showGridLines="0" zoomScale="78" zoomScaleNormal="115" workbookViewId="0">
      <pane xSplit="4" ySplit="8" topLeftCell="E97" activePane="bottomRight" state="frozen"/>
      <selection pane="topRight" activeCell="B8" sqref="B8"/>
      <selection pane="bottomLeft" activeCell="B8" sqref="B8"/>
      <selection pane="bottomRight" activeCell="N114" sqref="N114"/>
    </sheetView>
  </sheetViews>
  <sheetFormatPr defaultColWidth="0" defaultRowHeight="13.7" customHeight="1" outlineLevelRow="1" outlineLevelCol="1"/>
  <cols>
    <col min="1" max="2" width="3.7109375" customWidth="1"/>
    <col min="3" max="3" width="40.7109375" customWidth="1"/>
    <col min="4" max="5" width="8.7109375" customWidth="1"/>
    <col min="6" max="6" width="3.7109375" customWidth="1"/>
    <col min="7" max="7" width="12.28515625" customWidth="1"/>
    <col min="8" max="8" width="11.7109375" customWidth="1"/>
    <col min="9" max="9" width="18.28515625" bestFit="1" customWidth="1"/>
    <col min="10" max="13" width="12.42578125" hidden="1" customWidth="1" outlineLevel="1"/>
    <col min="14" max="14" width="12.7109375" customWidth="1" collapsed="1"/>
    <col min="15" max="16" width="12.7109375" customWidth="1"/>
    <col min="17" max="17" width="12.42578125" customWidth="1"/>
    <col min="18" max="21" width="12.28515625" customWidth="1"/>
    <col min="22" max="29" width="8.7109375" customWidth="1"/>
    <col min="30" max="16384" width="8.7109375" hidden="1"/>
  </cols>
  <sheetData>
    <row r="1" spans="3:22" s="121" customFormat="1" ht="15"/>
    <row r="2" spans="3:22" s="121" customFormat="1" ht="15"/>
    <row r="3" spans="3:22" s="121" customFormat="1" ht="15"/>
    <row r="4" spans="3:22" s="122" customFormat="1" ht="6.75" customHeight="1"/>
    <row r="5" spans="3:22" ht="15"/>
    <row r="6" spans="3:22" ht="15"/>
    <row r="7" spans="3:22" ht="15"/>
    <row r="8" spans="3:22" ht="15">
      <c r="C8" s="121"/>
      <c r="D8" s="123" t="s">
        <v>42</v>
      </c>
      <c r="E8" s="123" t="s">
        <v>43</v>
      </c>
      <c r="F8" s="121"/>
      <c r="G8" s="124">
        <v>44926</v>
      </c>
      <c r="H8" s="124">
        <f>EOMONTH(G8,12)</f>
        <v>45291</v>
      </c>
      <c r="I8" s="124">
        <f>EOMONTH(H8,12)</f>
        <v>45657</v>
      </c>
      <c r="J8" s="123" t="s">
        <v>44</v>
      </c>
      <c r="K8" s="123" t="s">
        <v>45</v>
      </c>
      <c r="L8" s="123" t="s">
        <v>46</v>
      </c>
      <c r="M8" s="123" t="s">
        <v>47</v>
      </c>
      <c r="N8" s="125">
        <f>EOMONTH(I8,12)</f>
        <v>46022</v>
      </c>
      <c r="O8" s="125">
        <f>EOMONTH(N8,12)</f>
        <v>46387</v>
      </c>
      <c r="P8" s="125">
        <f t="shared" ref="P8:U10" si="0">EOMONTH(O8,12)</f>
        <v>46752</v>
      </c>
      <c r="Q8" s="125">
        <f t="shared" si="0"/>
        <v>47118</v>
      </c>
      <c r="R8" s="125">
        <f t="shared" si="0"/>
        <v>47483</v>
      </c>
      <c r="S8" s="125">
        <f t="shared" si="0"/>
        <v>47848</v>
      </c>
      <c r="T8" s="125">
        <f t="shared" si="0"/>
        <v>48213</v>
      </c>
      <c r="U8" s="125">
        <f t="shared" si="0"/>
        <v>48579</v>
      </c>
      <c r="V8" s="126" t="s">
        <v>48</v>
      </c>
    </row>
    <row r="9" spans="3:22" ht="15">
      <c r="E9" s="127"/>
      <c r="V9" s="126" t="s">
        <v>48</v>
      </c>
    </row>
    <row r="10" spans="3:22" ht="15">
      <c r="C10" s="111" t="s">
        <v>49</v>
      </c>
      <c r="D10" s="123" t="s">
        <v>42</v>
      </c>
      <c r="E10" s="123" t="s">
        <v>43</v>
      </c>
      <c r="F10" s="121"/>
      <c r="G10" s="124">
        <v>44926</v>
      </c>
      <c r="H10" s="124">
        <f>EOMONTH(G10,12)</f>
        <v>45291</v>
      </c>
      <c r="I10" s="124">
        <f>EOMONTH(H10,12)</f>
        <v>45657</v>
      </c>
      <c r="J10" s="123" t="s">
        <v>44</v>
      </c>
      <c r="K10" s="123" t="s">
        <v>45</v>
      </c>
      <c r="L10" s="123" t="s">
        <v>46</v>
      </c>
      <c r="M10" s="123" t="s">
        <v>47</v>
      </c>
      <c r="N10" s="125">
        <f>EOMONTH(I10,12)</f>
        <v>46022</v>
      </c>
      <c r="O10" s="125">
        <f>EOMONTH(N10,12)</f>
        <v>46387</v>
      </c>
      <c r="P10" s="125">
        <f t="shared" si="0"/>
        <v>46752</v>
      </c>
      <c r="Q10" s="125">
        <f t="shared" si="0"/>
        <v>47118</v>
      </c>
      <c r="R10" s="125">
        <f t="shared" si="0"/>
        <v>47483</v>
      </c>
      <c r="S10" s="125">
        <f t="shared" si="0"/>
        <v>47848</v>
      </c>
      <c r="T10" s="125">
        <f t="shared" si="0"/>
        <v>48213</v>
      </c>
      <c r="U10" s="125">
        <f t="shared" si="0"/>
        <v>48579</v>
      </c>
      <c r="V10" s="126" t="s">
        <v>48</v>
      </c>
    </row>
    <row r="11" spans="3:22" ht="15">
      <c r="V11" s="126" t="s">
        <v>48</v>
      </c>
    </row>
    <row r="12" spans="3:22" ht="15">
      <c r="C12" t="s">
        <v>50</v>
      </c>
      <c r="D12" s="128" cm="1">
        <f t="array" aca="1" ref="D12" ca="1">_FV(Capa!B15,"Price")</f>
        <v>19.09</v>
      </c>
      <c r="G12" s="129"/>
      <c r="H12" s="129"/>
      <c r="J12" s="130" t="e" cm="1" vm="2">
        <f t="array" ref="J12">_FV(Capa!C15,"Price")</f>
        <v>#VALUE!</v>
      </c>
      <c r="K12" s="130" t="e" cm="1" vm="2">
        <f t="array" ref="K12">_FV(Capa!D15,"Price")</f>
        <v>#VALUE!</v>
      </c>
      <c r="L12" s="130" t="e" cm="1" vm="2">
        <f t="array" ref="L12">_FV(Capa!E15,"Price")</f>
        <v>#VALUE!</v>
      </c>
      <c r="M12" s="130" t="e" cm="1" vm="2">
        <f t="array" ref="M12">_FV(Capa!F15,"Price")</f>
        <v>#VALUE!</v>
      </c>
      <c r="N12" s="130"/>
      <c r="O12" s="130"/>
      <c r="P12" s="130"/>
      <c r="Q12" s="130"/>
      <c r="R12" s="130"/>
      <c r="S12" s="130"/>
      <c r="T12" s="130"/>
      <c r="U12" s="130"/>
      <c r="V12" s="126" t="s">
        <v>48</v>
      </c>
    </row>
    <row r="13" spans="3:22" ht="15">
      <c r="C13" t="s">
        <v>51</v>
      </c>
      <c r="D13" s="128" cm="1">
        <f t="array" aca="1" ref="D13" ca="1">_FV(Capa!B15,"Market cap",TRUE)/1000000</f>
        <v>11761.917882</v>
      </c>
      <c r="G13" s="129"/>
      <c r="H13" s="129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26" t="s">
        <v>48</v>
      </c>
    </row>
    <row r="14" spans="3:22" ht="15">
      <c r="C14" t="s">
        <v>52</v>
      </c>
      <c r="D14" s="128" cm="1">
        <f t="array" aca="1" ref="D14" ca="1">_FV(Capa!B15,"52 week high",TRUE)</f>
        <v>26.38</v>
      </c>
      <c r="G14" s="129"/>
      <c r="H14" s="129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26" t="s">
        <v>48</v>
      </c>
    </row>
    <row r="15" spans="3:22" ht="15">
      <c r="C15" t="s">
        <v>53</v>
      </c>
      <c r="D15" s="131">
        <f ca="1">D12/D14</f>
        <v>0.72365428354814254</v>
      </c>
      <c r="G15" s="129"/>
      <c r="H15" s="129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26" t="s">
        <v>48</v>
      </c>
    </row>
    <row r="16" spans="3:22" ht="15">
      <c r="C16" t="s">
        <v>54</v>
      </c>
      <c r="D16" s="128" cm="1">
        <f t="array" aca="1" ref="D16" ca="1">_FV(Capa!B15,"52 week low",TRUE)</f>
        <v>17.86</v>
      </c>
      <c r="G16" s="129"/>
      <c r="H16" s="129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26" t="s">
        <v>48</v>
      </c>
    </row>
    <row r="17" spans="1:22" ht="15">
      <c r="C17" t="s">
        <v>55</v>
      </c>
      <c r="D17" s="128" cm="1">
        <f t="array" aca="1" ref="D17" ca="1">_FV(Capa!B15,"Shares outstanding",TRUE)/1000000</f>
        <v>616.12980000000005</v>
      </c>
      <c r="G17" s="132"/>
      <c r="H17" s="132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26" t="s">
        <v>48</v>
      </c>
    </row>
    <row r="18" spans="1:22" ht="15">
      <c r="V18" s="126" t="s">
        <v>48</v>
      </c>
    </row>
    <row r="19" spans="1:22" ht="15">
      <c r="A19" s="111" t="s">
        <v>56</v>
      </c>
      <c r="B19" s="111">
        <v>1</v>
      </c>
      <c r="C19" s="111" t="s">
        <v>57</v>
      </c>
      <c r="D19" s="123" t="s">
        <v>42</v>
      </c>
      <c r="E19" s="123" t="s">
        <v>43</v>
      </c>
      <c r="F19" s="121"/>
      <c r="G19" s="124">
        <v>44926</v>
      </c>
      <c r="H19" s="124">
        <f>EOMONTH(G19,12)</f>
        <v>45291</v>
      </c>
      <c r="I19" s="124">
        <f>EOMONTH(H19,12)</f>
        <v>45657</v>
      </c>
      <c r="J19" s="123" t="s">
        <v>44</v>
      </c>
      <c r="K19" s="123" t="s">
        <v>45</v>
      </c>
      <c r="L19" s="123" t="s">
        <v>46</v>
      </c>
      <c r="M19" s="123" t="s">
        <v>47</v>
      </c>
      <c r="N19" s="125">
        <f>EOMONTH(I19,12)</f>
        <v>46022</v>
      </c>
      <c r="O19" s="125">
        <f>EOMONTH(N19,12)</f>
        <v>46387</v>
      </c>
      <c r="P19" s="125">
        <f t="shared" ref="P19:U19" si="1">EOMONTH(O19,12)</f>
        <v>46752</v>
      </c>
      <c r="Q19" s="125">
        <f t="shared" si="1"/>
        <v>47118</v>
      </c>
      <c r="R19" s="125">
        <f t="shared" si="1"/>
        <v>47483</v>
      </c>
      <c r="S19" s="125">
        <f t="shared" si="1"/>
        <v>47848</v>
      </c>
      <c r="T19" s="125">
        <f t="shared" si="1"/>
        <v>48213</v>
      </c>
      <c r="U19" s="125">
        <f t="shared" si="1"/>
        <v>48579</v>
      </c>
      <c r="V19" s="126" t="s">
        <v>48</v>
      </c>
    </row>
    <row r="20" spans="1:22" ht="15">
      <c r="N20" s="133"/>
      <c r="V20" s="126" t="s">
        <v>48</v>
      </c>
    </row>
    <row r="21" spans="1:22" ht="15">
      <c r="C21" t="s">
        <v>58</v>
      </c>
      <c r="G21" s="134">
        <v>3151.8</v>
      </c>
      <c r="H21" s="134">
        <v>4539.3</v>
      </c>
      <c r="I21" s="134">
        <v>5946.1</v>
      </c>
      <c r="J21" s="134"/>
      <c r="K21" s="134">
        <v>3682.7</v>
      </c>
      <c r="N21" s="133">
        <f>N25-N23</f>
        <v>7380.5435636632019</v>
      </c>
      <c r="O21" s="133">
        <f t="shared" ref="O21:U21" si="2">O25-O23</f>
        <v>8798.1154730423059</v>
      </c>
      <c r="P21" s="133">
        <f t="shared" si="2"/>
        <v>10181.953278042834</v>
      </c>
      <c r="Q21" s="133">
        <f t="shared" si="2"/>
        <v>11488.511963845074</v>
      </c>
      <c r="R21" s="133">
        <f t="shared" si="2"/>
        <v>12752.092644438784</v>
      </c>
      <c r="S21" s="133">
        <f t="shared" si="2"/>
        <v>13963.81757735354</v>
      </c>
      <c r="T21" s="133">
        <f t="shared" si="2"/>
        <v>15114.090820032323</v>
      </c>
      <c r="U21" s="133">
        <f t="shared" si="2"/>
        <v>16192.553601844018</v>
      </c>
      <c r="V21" s="126" t="s">
        <v>48</v>
      </c>
    </row>
    <row r="22" spans="1:22" ht="15">
      <c r="C22" s="135" t="s">
        <v>59</v>
      </c>
      <c r="E22" s="136">
        <v>-0.08</v>
      </c>
      <c r="G22" s="137"/>
      <c r="H22" s="138">
        <f>H21/G21-1</f>
        <v>0.44022463354273755</v>
      </c>
      <c r="I22" s="138">
        <f>I21/H21-1</f>
        <v>0.30991562575727527</v>
      </c>
      <c r="J22" s="139"/>
      <c r="K22" s="139"/>
      <c r="L22" s="140"/>
      <c r="M22" s="140"/>
      <c r="N22" s="138">
        <f>N21/I21-1</f>
        <v>0.24124107627910751</v>
      </c>
      <c r="O22" s="138">
        <f>O21/N21-1</f>
        <v>0.19206876799132622</v>
      </c>
      <c r="P22" s="138">
        <f t="shared" ref="P22:U22" si="3">P21/O21-1</f>
        <v>0.15728797936792827</v>
      </c>
      <c r="Q22" s="138">
        <f t="shared" si="3"/>
        <v>0.12832102545783686</v>
      </c>
      <c r="R22" s="138">
        <f t="shared" si="3"/>
        <v>0.10998645295145804</v>
      </c>
      <c r="S22" s="138">
        <f t="shared" si="3"/>
        <v>9.5021653833670339E-2</v>
      </c>
      <c r="T22" s="138">
        <f t="shared" si="3"/>
        <v>8.2375269965162756E-2</v>
      </c>
      <c r="U22" s="138">
        <f t="shared" si="3"/>
        <v>7.1354790351153108E-2</v>
      </c>
      <c r="V22" s="126" t="s">
        <v>48</v>
      </c>
    </row>
    <row r="23" spans="1:22" ht="15">
      <c r="C23" t="s">
        <v>60</v>
      </c>
      <c r="G23" s="141">
        <f>G25-G21</f>
        <v>-221.40000000000009</v>
      </c>
      <c r="H23" s="141">
        <f>H25-H21</f>
        <v>-294.60000000000036</v>
      </c>
      <c r="I23" s="141">
        <f>I25-I21</f>
        <v>-365.80000000000018</v>
      </c>
      <c r="J23" s="141"/>
      <c r="K23" s="141">
        <f>K25-K21</f>
        <v>-213.39999999999964</v>
      </c>
      <c r="N23" s="141">
        <f>-N25*N24</f>
        <v>-454.06477135207552</v>
      </c>
      <c r="O23" s="141">
        <f t="shared" ref="O23:U23" si="4">-O25*O24</f>
        <v>-541.27643257393197</v>
      </c>
      <c r="P23" s="141">
        <f t="shared" si="4"/>
        <v>-626.41270893296632</v>
      </c>
      <c r="Q23" s="141">
        <f t="shared" si="4"/>
        <v>-706.79463010306608</v>
      </c>
      <c r="R23" s="141">
        <f t="shared" si="4"/>
        <v>-784.53246443324019</v>
      </c>
      <c r="S23" s="141">
        <f t="shared" si="4"/>
        <v>-859.08003668989193</v>
      </c>
      <c r="T23" s="141">
        <f t="shared" si="4"/>
        <v>-929.84698663390361</v>
      </c>
      <c r="U23" s="141">
        <f t="shared" si="4"/>
        <v>-996.19602342381734</v>
      </c>
      <c r="V23" s="126" t="s">
        <v>48</v>
      </c>
    </row>
    <row r="24" spans="1:22" ht="15">
      <c r="C24" s="135" t="s">
        <v>61</v>
      </c>
      <c r="G24" s="142">
        <f>-G23/G21</f>
        <v>7.0245573957738464E-2</v>
      </c>
      <c r="H24" s="142">
        <f>-H23/H21</f>
        <v>6.4899874429978271E-2</v>
      </c>
      <c r="I24" s="142">
        <f>-I23/I21</f>
        <v>6.1519315181379416E-2</v>
      </c>
      <c r="J24" s="142"/>
      <c r="K24" s="142">
        <f>-K23/K21</f>
        <v>5.794661525511164E-2</v>
      </c>
      <c r="L24" s="140"/>
      <c r="M24" s="140"/>
      <c r="N24" s="143">
        <f>AVERAGE(G24:I24)</f>
        <v>6.5554921189698731E-2</v>
      </c>
      <c r="O24" s="144">
        <f>N24</f>
        <v>6.5554921189698731E-2</v>
      </c>
      <c r="P24" s="144">
        <f t="shared" ref="P24:U24" si="5">O24</f>
        <v>6.5554921189698731E-2</v>
      </c>
      <c r="Q24" s="144">
        <f t="shared" si="5"/>
        <v>6.5554921189698731E-2</v>
      </c>
      <c r="R24" s="144">
        <f t="shared" si="5"/>
        <v>6.5554921189698731E-2</v>
      </c>
      <c r="S24" s="144">
        <f t="shared" si="5"/>
        <v>6.5554921189698731E-2</v>
      </c>
      <c r="T24" s="144">
        <f t="shared" si="5"/>
        <v>6.5554921189698731E-2</v>
      </c>
      <c r="U24" s="144">
        <f t="shared" si="5"/>
        <v>6.5554921189698731E-2</v>
      </c>
      <c r="V24" s="126" t="s">
        <v>48</v>
      </c>
    </row>
    <row r="25" spans="1:22" ht="15">
      <c r="C25" s="145" t="s">
        <v>62</v>
      </c>
      <c r="D25" s="146"/>
      <c r="E25" s="146"/>
      <c r="F25" s="146"/>
      <c r="G25" s="147">
        <v>2930.4</v>
      </c>
      <c r="H25" s="147">
        <v>4244.7</v>
      </c>
      <c r="I25" s="147">
        <v>5580.3</v>
      </c>
      <c r="J25" s="147"/>
      <c r="K25" s="147">
        <v>3469.3</v>
      </c>
      <c r="L25" s="146"/>
      <c r="M25" s="146"/>
      <c r="N25" s="148">
        <f>'Build-Up'!L21</f>
        <v>6926.4787923111262</v>
      </c>
      <c r="O25" s="148">
        <f>'Build-Up'!M21</f>
        <v>8256.8390404683742</v>
      </c>
      <c r="P25" s="148">
        <f>'Build-Up'!N21</f>
        <v>9555.5405691098676</v>
      </c>
      <c r="Q25" s="148">
        <f>'Build-Up'!O21</f>
        <v>10781.717333742008</v>
      </c>
      <c r="R25" s="148">
        <f>'Build-Up'!P21</f>
        <v>11967.560180005545</v>
      </c>
      <c r="S25" s="148">
        <f>'Build-Up'!Q21</f>
        <v>13104.737540663649</v>
      </c>
      <c r="T25" s="148">
        <f>'Build-Up'!R21</f>
        <v>14184.243833398419</v>
      </c>
      <c r="U25" s="148">
        <f>'Build-Up'!S21</f>
        <v>15196.3575784202</v>
      </c>
      <c r="V25" s="126" t="s">
        <v>48</v>
      </c>
    </row>
    <row r="26" spans="1:22" ht="15">
      <c r="C26" s="135" t="s">
        <v>59</v>
      </c>
      <c r="G26" s="137"/>
      <c r="H26" s="142">
        <f>H25/G25-1</f>
        <v>0.44850532350532335</v>
      </c>
      <c r="I26" s="142">
        <f>I25/H25-1</f>
        <v>0.31465121209979507</v>
      </c>
      <c r="J26" s="142"/>
      <c r="K26" s="142"/>
      <c r="L26" s="140"/>
      <c r="M26" s="140"/>
      <c r="N26" s="142">
        <f>N25/I25-1</f>
        <v>0.24123770985630277</v>
      </c>
      <c r="O26" s="142">
        <f t="shared" ref="O26:U26" si="6">O25/N25-1</f>
        <v>0.19206876799132644</v>
      </c>
      <c r="P26" s="142">
        <f t="shared" si="6"/>
        <v>0.15728797936792827</v>
      </c>
      <c r="Q26" s="142">
        <f t="shared" si="6"/>
        <v>0.12832102545783686</v>
      </c>
      <c r="R26" s="142">
        <f t="shared" si="6"/>
        <v>0.10998645295145826</v>
      </c>
      <c r="S26" s="142">
        <f t="shared" si="6"/>
        <v>9.5021653833670339E-2</v>
      </c>
      <c r="T26" s="142">
        <f t="shared" si="6"/>
        <v>8.2375269965162756E-2</v>
      </c>
      <c r="U26" s="142">
        <f t="shared" si="6"/>
        <v>7.1354790351153108E-2</v>
      </c>
      <c r="V26" s="126" t="s">
        <v>48</v>
      </c>
    </row>
    <row r="27" spans="1:22" ht="15" hidden="1" outlineLevel="1">
      <c r="V27" s="126" t="s">
        <v>48</v>
      </c>
    </row>
    <row r="28" spans="1:22" ht="15" hidden="1" outlineLevel="1">
      <c r="C28" s="149" t="s">
        <v>63</v>
      </c>
      <c r="G28" s="150">
        <f>'Build-Up'!I25</f>
        <v>2635.058258325887</v>
      </c>
      <c r="H28" s="150">
        <f>'Build-Up'!J25</f>
        <v>3862.887019041952</v>
      </c>
      <c r="I28" s="150">
        <f>'Build-Up'!K25</f>
        <v>5095.65460242276</v>
      </c>
      <c r="J28" s="150">
        <f>'Build-Up'!L25</f>
        <v>6318.9500764141558</v>
      </c>
      <c r="K28" s="150">
        <f>'Build-Up'!M25</f>
        <v>7519.5533017141142</v>
      </c>
      <c r="L28" s="150">
        <f>'Build-Up'!N25</f>
        <v>8687.062211575063</v>
      </c>
      <c r="M28" s="150">
        <f>'Build-Up'!O25</f>
        <v>9784.0038003216141</v>
      </c>
      <c r="N28" s="150">
        <f>'Build-Up'!L25</f>
        <v>6318.9500764141558</v>
      </c>
      <c r="O28" s="150">
        <f>'Build-Up'!M25</f>
        <v>7519.5533017141142</v>
      </c>
      <c r="P28" s="150">
        <f>'Build-Up'!N25</f>
        <v>8687.062211575063</v>
      </c>
      <c r="Q28" s="150">
        <f>'Build-Up'!O25</f>
        <v>9784.0038003216141</v>
      </c>
      <c r="R28" s="150">
        <f>'Build-Up'!P25</f>
        <v>10839.275972268973</v>
      </c>
      <c r="S28" s="150">
        <f>'Build-Up'!Q25</f>
        <v>11844.844636106902</v>
      </c>
      <c r="T28" s="150">
        <f>'Build-Up'!R25</f>
        <v>12792.032287414944</v>
      </c>
      <c r="U28" s="150">
        <f>'Build-Up'!S25</f>
        <v>13671.478188995166</v>
      </c>
      <c r="V28" s="126" t="s">
        <v>48</v>
      </c>
    </row>
    <row r="29" spans="1:22" ht="15" hidden="1" outlineLevel="1">
      <c r="C29" s="151" t="s">
        <v>64</v>
      </c>
      <c r="G29" s="152">
        <f>'Build-Up'!I26</f>
        <v>1224.3003980600004</v>
      </c>
      <c r="H29" s="152">
        <f>'Build-Up'!J26</f>
        <v>1627.3657005299997</v>
      </c>
      <c r="I29" s="152">
        <f>'Build-Up'!K26</f>
        <v>1974.5527337799997</v>
      </c>
      <c r="J29" s="152">
        <f>'Build-Up'!L26</f>
        <v>2506.521381339649</v>
      </c>
      <c r="K29" s="152">
        <f>'Build-Up'!M26</f>
        <v>3034.2753577282333</v>
      </c>
      <c r="L29" s="152">
        <f>'Build-Up'!N26</f>
        <v>3553.5493477873952</v>
      </c>
      <c r="M29" s="152">
        <f>'Build-Up'!O26</f>
        <v>4048.9779489304174</v>
      </c>
      <c r="N29" s="152">
        <f>'Build-Up'!L26</f>
        <v>2506.521381339649</v>
      </c>
      <c r="O29" s="152">
        <f>'Build-Up'!M26</f>
        <v>3034.2753577282333</v>
      </c>
      <c r="P29" s="152">
        <f>'Build-Up'!N26</f>
        <v>3553.5493477873952</v>
      </c>
      <c r="Q29" s="152">
        <f>'Build-Up'!O26</f>
        <v>4048.9779489304174</v>
      </c>
      <c r="R29" s="152">
        <f>'Build-Up'!P26</f>
        <v>4532.531116064014</v>
      </c>
      <c r="S29" s="152">
        <f>'Build-Up'!Q26</f>
        <v>5001.2935869362791</v>
      </c>
      <c r="T29" s="152">
        <f>'Build-Up'!R26</f>
        <v>5452.1088804801193</v>
      </c>
      <c r="U29" s="152">
        <f>'Build-Up'!S26</f>
        <v>5881.5641732671947</v>
      </c>
      <c r="V29" s="126" t="s">
        <v>48</v>
      </c>
    </row>
    <row r="30" spans="1:22" ht="15" hidden="1" outlineLevel="1">
      <c r="C30" s="151" t="s">
        <v>65</v>
      </c>
      <c r="G30" s="152">
        <f>'Build-Up'!I27</f>
        <v>635.1439396573179</v>
      </c>
      <c r="H30" s="152">
        <f>'Build-Up'!J27</f>
        <v>1001.8225873756119</v>
      </c>
      <c r="I30" s="152">
        <f>'Build-Up'!K27</f>
        <v>1362.2397256803197</v>
      </c>
      <c r="J30" s="152">
        <f>'Build-Up'!L27</f>
        <v>1640.6661680208051</v>
      </c>
      <c r="K30" s="152">
        <f>'Build-Up'!M27</f>
        <v>1910.7527854096959</v>
      </c>
      <c r="L30" s="152">
        <f>'Build-Up'!N27</f>
        <v>2170.1034982075662</v>
      </c>
      <c r="M30" s="152">
        <f>'Build-Up'!O27</f>
        <v>2409.5631945615055</v>
      </c>
      <c r="N30" s="152">
        <f>'Build-Up'!L27</f>
        <v>1640.6661680208051</v>
      </c>
      <c r="O30" s="152">
        <f>'Build-Up'!M27</f>
        <v>1910.7527854096959</v>
      </c>
      <c r="P30" s="152">
        <f>'Build-Up'!N27</f>
        <v>2170.1034982075662</v>
      </c>
      <c r="Q30" s="152">
        <f>'Build-Up'!O27</f>
        <v>2409.5631945615055</v>
      </c>
      <c r="R30" s="152">
        <f>'Build-Up'!P27</f>
        <v>2636.4063581637974</v>
      </c>
      <c r="S30" s="152">
        <f>'Build-Up'!Q27</f>
        <v>2848.5212818789032</v>
      </c>
      <c r="T30" s="152">
        <f>'Build-Up'!R27</f>
        <v>3043.6311619143967</v>
      </c>
      <c r="U30" s="152">
        <f>'Build-Up'!S27</f>
        <v>3219.2839822618721</v>
      </c>
      <c r="V30" s="126" t="s">
        <v>48</v>
      </c>
    </row>
    <row r="31" spans="1:22" ht="15" hidden="1" outlineLevel="1">
      <c r="C31" s="151" t="s">
        <v>66</v>
      </c>
      <c r="G31" s="152">
        <f>'Build-Up'!I28</f>
        <v>775.61392060856872</v>
      </c>
      <c r="H31" s="152">
        <f>'Build-Up'!J28</f>
        <v>1233.6987311363405</v>
      </c>
      <c r="I31" s="152">
        <f>'Build-Up'!K28</f>
        <v>1758.8621429624407</v>
      </c>
      <c r="J31" s="152">
        <f>'Build-Up'!L28</f>
        <v>2171.7625270537014</v>
      </c>
      <c r="K31" s="152">
        <f>'Build-Up'!M28</f>
        <v>2574.5251585761853</v>
      </c>
      <c r="L31" s="152">
        <f>'Build-Up'!N28</f>
        <v>2963.4093655801025</v>
      </c>
      <c r="M31" s="152">
        <f>'Build-Up'!O28</f>
        <v>3325.4626568296912</v>
      </c>
      <c r="N31" s="152">
        <f>'Build-Up'!L28</f>
        <v>2171.7625270537014</v>
      </c>
      <c r="O31" s="152">
        <f>'Build-Up'!M28</f>
        <v>2574.5251585761853</v>
      </c>
      <c r="P31" s="152">
        <f>'Build-Up'!N28</f>
        <v>2963.4093655801025</v>
      </c>
      <c r="Q31" s="152">
        <f>'Build-Up'!O28</f>
        <v>3325.4626568296912</v>
      </c>
      <c r="R31" s="152">
        <f>'Build-Up'!P28</f>
        <v>3670.3384980411629</v>
      </c>
      <c r="S31" s="152">
        <f>'Build-Up'!Q28</f>
        <v>3995.02976729172</v>
      </c>
      <c r="T31" s="152">
        <f>'Build-Up'!R28</f>
        <v>4296.2922450204278</v>
      </c>
      <c r="U31" s="152">
        <f>'Build-Up'!S28</f>
        <v>4570.6300334660982</v>
      </c>
      <c r="V31" s="126" t="s">
        <v>48</v>
      </c>
    </row>
    <row r="32" spans="1:22" ht="15" hidden="1" outlineLevel="1">
      <c r="C32" s="153" t="s">
        <v>67</v>
      </c>
      <c r="G32" s="150">
        <f>'Build-Up'!I30</f>
        <v>106.27872696630001</v>
      </c>
      <c r="H32" s="150">
        <f>'Build-Up'!J34</f>
        <v>243.1630453200012</v>
      </c>
      <c r="I32" s="150">
        <f>'Build-Up'!K34</f>
        <v>319.42629462222311</v>
      </c>
      <c r="J32" s="150">
        <f>'Build-Up'!L30</f>
        <v>216.19562260963593</v>
      </c>
      <c r="K32" s="150">
        <f>'Build-Up'!M30</f>
        <v>270.53801148408803</v>
      </c>
      <c r="L32" s="150">
        <f>'Build-Up'!N30</f>
        <v>328.25278726736042</v>
      </c>
      <c r="M32" s="150">
        <f>'Build-Up'!O30</f>
        <v>388.27615408196368</v>
      </c>
      <c r="N32" s="150">
        <f>'Build-Up'!L34</f>
        <v>391.33309328733395</v>
      </c>
      <c r="O32" s="150">
        <f>'Build-Up'!M34</f>
        <v>466.74772727017108</v>
      </c>
      <c r="P32" s="150">
        <f>'Build-Up'!N34</f>
        <v>540.22557026744551</v>
      </c>
      <c r="Q32" s="150">
        <f>'Build-Up'!O34</f>
        <v>609.43737933843113</v>
      </c>
      <c r="R32" s="150">
        <f>'Build-Up'!P34</f>
        <v>676.18516082738495</v>
      </c>
      <c r="S32" s="150">
        <f>'Build-Up'!Q34</f>
        <v>739.97900061118196</v>
      </c>
      <c r="T32" s="150">
        <f>'Build-Up'!R34</f>
        <v>800.2895663414489</v>
      </c>
      <c r="U32" s="150">
        <f>'Build-Up'!S34</f>
        <v>856.54566332012905</v>
      </c>
      <c r="V32" s="126" t="s">
        <v>48</v>
      </c>
    </row>
    <row r="33" spans="3:22" ht="15" hidden="1" outlineLevel="1">
      <c r="C33" s="153" t="s">
        <v>68</v>
      </c>
      <c r="V33" s="126" t="s">
        <v>48</v>
      </c>
    </row>
    <row r="34" spans="3:22" ht="15" hidden="1" outlineLevel="1">
      <c r="C34" s="153" t="s">
        <v>69</v>
      </c>
      <c r="V34" s="126" t="s">
        <v>48</v>
      </c>
    </row>
    <row r="35" spans="3:22" ht="15" collapsed="1">
      <c r="V35" s="126" t="s">
        <v>48</v>
      </c>
    </row>
    <row r="36" spans="3:22" ht="15">
      <c r="C36" s="154" t="s">
        <v>70</v>
      </c>
      <c r="G36" s="155">
        <v>-2018.4</v>
      </c>
      <c r="H36" s="155">
        <v>-2533.9</v>
      </c>
      <c r="I36" s="155">
        <v>-3267.4</v>
      </c>
      <c r="J36" s="155"/>
      <c r="K36" s="155">
        <v>-1977.8</v>
      </c>
      <c r="N36" s="152">
        <f>'Build-Up'!L204</f>
        <v>-3712.4390314066118</v>
      </c>
      <c r="O36" s="152">
        <f ca="1">'Build-Up'!M204</f>
        <v>-4503.0106134468597</v>
      </c>
      <c r="P36" s="152">
        <f ca="1">'Build-Up'!N204</f>
        <v>-5285.5252978761064</v>
      </c>
      <c r="Q36" s="152">
        <f ca="1">'Build-Up'!O204</f>
        <v>-6040.7217413335065</v>
      </c>
      <c r="R36" s="152">
        <f ca="1">'Build-Up'!P204</f>
        <v>-6778.574307662353</v>
      </c>
      <c r="S36" s="152">
        <f ca="1">'Build-Up'!Q204</f>
        <v>-7494.5142260545808</v>
      </c>
      <c r="T36" s="152">
        <f ca="1">'Build-Up'!R204</f>
        <v>-8183.5879718724536</v>
      </c>
      <c r="U36" s="152">
        <f ca="1">'Build-Up'!S204</f>
        <v>-8840.4328206747068</v>
      </c>
      <c r="V36" s="126" t="s">
        <v>48</v>
      </c>
    </row>
    <row r="37" spans="3:22" ht="15">
      <c r="C37" s="156" t="s">
        <v>71</v>
      </c>
      <c r="G37" s="142">
        <f>-G36/G25</f>
        <v>0.68877968877968876</v>
      </c>
      <c r="H37" s="142">
        <f>-H36/H25</f>
        <v>0.59695620420760009</v>
      </c>
      <c r="I37" s="142">
        <f>-I36/I25</f>
        <v>0.58552407576653587</v>
      </c>
      <c r="J37" s="142"/>
      <c r="K37" s="142">
        <f>-K36/K25</f>
        <v>0.57008618453290283</v>
      </c>
      <c r="L37" s="140"/>
      <c r="M37" s="140"/>
      <c r="N37" s="142">
        <f t="shared" ref="N37:U37" si="7">-N36/N25</f>
        <v>0.5359778240464228</v>
      </c>
      <c r="O37" s="142">
        <f t="shared" ca="1" si="7"/>
        <v>0.5453673725958238</v>
      </c>
      <c r="P37" s="142">
        <f t="shared" ca="1" si="7"/>
        <v>0.55313723589459596</v>
      </c>
      <c r="Q37" s="142">
        <f t="shared" ca="1" si="7"/>
        <v>0.56027454201834048</v>
      </c>
      <c r="R37" s="142">
        <f t="shared" ca="1" si="7"/>
        <v>0.56641238529031679</v>
      </c>
      <c r="S37" s="142">
        <f t="shared" ca="1" si="7"/>
        <v>0.57189350056033583</v>
      </c>
      <c r="T37" s="142">
        <f t="shared" ca="1" si="7"/>
        <v>0.5769491886908531</v>
      </c>
      <c r="U37" s="142">
        <f t="shared" ca="1" si="7"/>
        <v>0.58174682814970657</v>
      </c>
      <c r="V37" s="126" t="s">
        <v>48</v>
      </c>
    </row>
    <row r="38" spans="3:22" ht="15">
      <c r="G38" s="157"/>
      <c r="V38" s="126" t="s">
        <v>48</v>
      </c>
    </row>
    <row r="39" spans="3:22" ht="15">
      <c r="C39" s="158" t="s">
        <v>72</v>
      </c>
      <c r="D39" s="158"/>
      <c r="E39" s="158"/>
      <c r="F39" s="158"/>
      <c r="G39" s="159">
        <v>912</v>
      </c>
      <c r="H39" s="159">
        <v>1710.9</v>
      </c>
      <c r="I39" s="159">
        <v>2312.9</v>
      </c>
      <c r="J39" s="159"/>
      <c r="K39" s="159">
        <v>1491.5</v>
      </c>
      <c r="L39" s="158"/>
      <c r="M39" s="158"/>
      <c r="N39" s="159">
        <f>N25+N36</f>
        <v>3214.0397609045144</v>
      </c>
      <c r="O39" s="159">
        <f ca="1">O25+O36</f>
        <v>3753.8284270215145</v>
      </c>
      <c r="P39" s="159">
        <f t="shared" ref="P39:U39" ca="1" si="8">P25+P36</f>
        <v>4270.0152712337613</v>
      </c>
      <c r="Q39" s="159">
        <f t="shared" ca="1" si="8"/>
        <v>4740.9955924085016</v>
      </c>
      <c r="R39" s="159">
        <f t="shared" ca="1" si="8"/>
        <v>5188.9858723431917</v>
      </c>
      <c r="S39" s="159">
        <f t="shared" ca="1" si="8"/>
        <v>5610.2233146090684</v>
      </c>
      <c r="T39" s="159">
        <f t="shared" ca="1" si="8"/>
        <v>6000.6558615259655</v>
      </c>
      <c r="U39" s="159">
        <f t="shared" ca="1" si="8"/>
        <v>6355.9247577454935</v>
      </c>
      <c r="V39" s="126" t="s">
        <v>48</v>
      </c>
    </row>
    <row r="40" spans="3:22" ht="15">
      <c r="C40" s="156" t="s">
        <v>73</v>
      </c>
      <c r="G40" s="142">
        <f>G39/G25</f>
        <v>0.31122031122031119</v>
      </c>
      <c r="H40" s="142">
        <f>H39/H25</f>
        <v>0.40306735458336285</v>
      </c>
      <c r="I40" s="142">
        <f>I39/I25</f>
        <v>0.41447592423346413</v>
      </c>
      <c r="J40" s="140"/>
      <c r="K40" s="142">
        <f>K39/K25</f>
        <v>0.42991381546709706</v>
      </c>
      <c r="L40" s="140"/>
      <c r="M40" s="140"/>
      <c r="N40" s="142">
        <f t="shared" ref="N40:U40" si="9">N39/N25</f>
        <v>0.4640221759535772</v>
      </c>
      <c r="O40" s="142">
        <f t="shared" ca="1" si="9"/>
        <v>0.45463262740417626</v>
      </c>
      <c r="P40" s="142">
        <f t="shared" ca="1" si="9"/>
        <v>0.44686276410540404</v>
      </c>
      <c r="Q40" s="142">
        <f t="shared" ca="1" si="9"/>
        <v>0.43972545798165952</v>
      </c>
      <c r="R40" s="142">
        <f t="shared" ca="1" si="9"/>
        <v>0.43358761470968327</v>
      </c>
      <c r="S40" s="142">
        <f t="shared" ca="1" si="9"/>
        <v>0.42810649943966417</v>
      </c>
      <c r="T40" s="142">
        <f t="shared" ca="1" si="9"/>
        <v>0.4230508113091469</v>
      </c>
      <c r="U40" s="142">
        <f t="shared" ca="1" si="9"/>
        <v>0.41825317185029348</v>
      </c>
      <c r="V40" s="126" t="s">
        <v>48</v>
      </c>
    </row>
    <row r="41" spans="3:22" ht="15">
      <c r="V41" s="126" t="s">
        <v>48</v>
      </c>
    </row>
    <row r="42" spans="3:22" ht="15">
      <c r="C42" t="s">
        <v>74</v>
      </c>
      <c r="G42" s="155">
        <v>-653.20000000000005</v>
      </c>
      <c r="H42" s="155">
        <v>-664.9</v>
      </c>
      <c r="I42" s="155">
        <v>-1050.0999999999999</v>
      </c>
      <c r="J42" s="155"/>
      <c r="K42" s="155">
        <v>-683</v>
      </c>
      <c r="N42" s="152">
        <f>'Build-Up'!L242</f>
        <v>-1322.165346019563</v>
      </c>
      <c r="O42" s="152">
        <f>'Build-Up'!M242</f>
        <v>-1561.4204186418513</v>
      </c>
      <c r="P42" s="152">
        <f>'Build-Up'!N242</f>
        <v>-1794.9940033483156</v>
      </c>
      <c r="Q42" s="152">
        <f>'Build-Up'!O242</f>
        <v>-2015.460998785705</v>
      </c>
      <c r="R42" s="152">
        <f>'Build-Up'!P242</f>
        <v>-2228.8211781698046</v>
      </c>
      <c r="S42" s="152">
        <f>'Build-Up'!Q242</f>
        <v>-2433.5909574986863</v>
      </c>
      <c r="T42" s="152">
        <f>'Build-Up'!R242</f>
        <v>-2628.1665465216406</v>
      </c>
      <c r="U42" s="152">
        <f>'Build-Up'!S242</f>
        <v>-2810.8164745495314</v>
      </c>
      <c r="V42" s="126" t="s">
        <v>48</v>
      </c>
    </row>
    <row r="43" spans="3:22" ht="15">
      <c r="C43" s="135" t="s">
        <v>71</v>
      </c>
      <c r="G43" s="160">
        <f>-G42/G25</f>
        <v>0.22290472290472291</v>
      </c>
      <c r="H43" s="160">
        <f>-H42/H25</f>
        <v>0.15664240111197494</v>
      </c>
      <c r="I43" s="160">
        <f>-I42/I25</f>
        <v>0.18817984696163287</v>
      </c>
      <c r="J43" s="160"/>
      <c r="K43" s="160">
        <f>-K42/K25</f>
        <v>0.1968696855273398</v>
      </c>
      <c r="L43" s="140"/>
      <c r="M43" s="140"/>
      <c r="N43" s="160">
        <f t="shared" ref="N43:U43" si="10">-N42/N25</f>
        <v>0.19088564127089491</v>
      </c>
      <c r="O43" s="160">
        <f t="shared" si="10"/>
        <v>0.18910631671382064</v>
      </c>
      <c r="P43" s="160">
        <f t="shared" si="10"/>
        <v>0.18784850426473837</v>
      </c>
      <c r="Q43" s="160">
        <f t="shared" si="10"/>
        <v>0.18693320705767374</v>
      </c>
      <c r="R43" s="160">
        <f t="shared" si="10"/>
        <v>0.18623856029515048</v>
      </c>
      <c r="S43" s="160">
        <f t="shared" si="10"/>
        <v>0.1857031436110276</v>
      </c>
      <c r="T43" s="160">
        <f t="shared" si="10"/>
        <v>0.18528774444312096</v>
      </c>
      <c r="U43" s="160">
        <f t="shared" si="10"/>
        <v>0.18496646055111723</v>
      </c>
      <c r="V43" s="126" t="s">
        <v>48</v>
      </c>
    </row>
    <row r="44" spans="3:22" ht="15">
      <c r="C44" s="151" t="s">
        <v>75</v>
      </c>
      <c r="G44" s="155">
        <v>-292.3</v>
      </c>
      <c r="H44" s="155">
        <v>-344.8</v>
      </c>
      <c r="I44" s="155">
        <v>-451</v>
      </c>
      <c r="J44" s="155"/>
      <c r="K44" s="155">
        <v>-295</v>
      </c>
      <c r="N44" s="137"/>
      <c r="O44" s="137"/>
      <c r="P44" s="137"/>
      <c r="Q44" s="137"/>
      <c r="R44" s="137"/>
      <c r="S44" s="137"/>
      <c r="T44" s="137"/>
      <c r="U44" s="137"/>
      <c r="V44" s="126" t="s">
        <v>48</v>
      </c>
    </row>
    <row r="45" spans="3:22" ht="15">
      <c r="C45" s="151" t="s">
        <v>76</v>
      </c>
      <c r="G45" s="155">
        <v>-348</v>
      </c>
      <c r="H45" s="155">
        <v>-468.4</v>
      </c>
      <c r="I45" s="155">
        <v>-575.29999999999995</v>
      </c>
      <c r="J45" s="155"/>
      <c r="K45" s="155">
        <v>-367.4</v>
      </c>
      <c r="N45" s="137"/>
      <c r="O45" s="137"/>
      <c r="P45" s="137"/>
      <c r="Q45" s="137"/>
      <c r="R45" s="137"/>
      <c r="S45" s="137"/>
      <c r="T45" s="137"/>
      <c r="U45" s="137"/>
      <c r="V45" s="126" t="s">
        <v>48</v>
      </c>
    </row>
    <row r="46" spans="3:22" ht="15">
      <c r="C46" s="161" t="s">
        <v>77</v>
      </c>
      <c r="G46" s="155">
        <v>-5.0999999999999996</v>
      </c>
      <c r="H46" s="155">
        <v>-5.2</v>
      </c>
      <c r="I46" s="155">
        <v>-7.7</v>
      </c>
      <c r="J46" s="155"/>
      <c r="K46" s="155">
        <v>-5.6</v>
      </c>
      <c r="N46" s="137"/>
      <c r="O46" s="137"/>
      <c r="P46" s="137"/>
      <c r="Q46" s="137"/>
      <c r="R46" s="137"/>
      <c r="S46" s="137"/>
      <c r="T46" s="137"/>
      <c r="U46" s="137"/>
      <c r="V46" s="126" t="s">
        <v>48</v>
      </c>
    </row>
    <row r="47" spans="3:22" ht="15">
      <c r="C47" s="151"/>
      <c r="V47" s="126" t="s">
        <v>48</v>
      </c>
    </row>
    <row r="48" spans="3:22" ht="15">
      <c r="C48" s="154" t="s">
        <v>78</v>
      </c>
      <c r="G48" s="155">
        <v>-12.8</v>
      </c>
      <c r="H48" s="155">
        <v>148.19999999999999</v>
      </c>
      <c r="I48" s="155">
        <v>-23.9</v>
      </c>
      <c r="J48" s="155"/>
      <c r="K48" s="155">
        <v>-20.7</v>
      </c>
      <c r="N48" s="137"/>
      <c r="O48" s="137"/>
      <c r="P48" s="137"/>
      <c r="Q48" s="137"/>
      <c r="R48" s="137"/>
      <c r="S48" s="137"/>
      <c r="T48" s="137"/>
      <c r="U48" s="137"/>
      <c r="V48" s="126" t="s">
        <v>48</v>
      </c>
    </row>
    <row r="49" spans="3:23" ht="15">
      <c r="C49" s="151"/>
      <c r="V49" s="126" t="s">
        <v>48</v>
      </c>
    </row>
    <row r="50" spans="3:23" ht="15">
      <c r="C50" s="154" t="s">
        <v>79</v>
      </c>
      <c r="G50" s="155">
        <v>6.6</v>
      </c>
      <c r="H50" s="155">
        <v>-1.1000000000000001</v>
      </c>
      <c r="I50" s="155">
        <v>0.8</v>
      </c>
      <c r="J50" s="155"/>
      <c r="K50" s="155">
        <v>1.6</v>
      </c>
      <c r="N50" s="137"/>
      <c r="O50" s="137"/>
      <c r="P50" s="137"/>
      <c r="Q50" s="137"/>
      <c r="R50" s="137"/>
      <c r="S50" s="137"/>
      <c r="T50" s="137"/>
      <c r="U50" s="137"/>
      <c r="V50" s="126" t="s">
        <v>48</v>
      </c>
    </row>
    <row r="51" spans="3:23" ht="15">
      <c r="V51" s="126" t="s">
        <v>48</v>
      </c>
    </row>
    <row r="52" spans="3:23" ht="15">
      <c r="C52" s="158" t="s">
        <v>80</v>
      </c>
      <c r="D52" s="158"/>
      <c r="E52" s="158"/>
      <c r="F52" s="158"/>
      <c r="G52" s="159">
        <v>265.39999999999998</v>
      </c>
      <c r="H52" s="159">
        <v>1044.9000000000001</v>
      </c>
      <c r="I52" s="159">
        <v>1263.5999999999999</v>
      </c>
      <c r="J52" s="159"/>
      <c r="K52" s="159">
        <v>810</v>
      </c>
      <c r="L52" s="158"/>
      <c r="M52" s="158"/>
      <c r="N52" s="162">
        <f>N39+N42</f>
        <v>1891.8744148849514</v>
      </c>
      <c r="O52" s="162">
        <f t="shared" ref="O52:U52" ca="1" si="11">O39+O42</f>
        <v>2192.4080083796634</v>
      </c>
      <c r="P52" s="162">
        <f t="shared" ca="1" si="11"/>
        <v>2475.0212678854459</v>
      </c>
      <c r="Q52" s="162">
        <f t="shared" ca="1" si="11"/>
        <v>2725.5345936227968</v>
      </c>
      <c r="R52" s="162">
        <f t="shared" ca="1" si="11"/>
        <v>2960.164694173387</v>
      </c>
      <c r="S52" s="162">
        <f t="shared" ca="1" si="11"/>
        <v>3176.6323571103821</v>
      </c>
      <c r="T52" s="162">
        <f t="shared" ca="1" si="11"/>
        <v>3372.4893150043249</v>
      </c>
      <c r="U52" s="162">
        <f t="shared" ca="1" si="11"/>
        <v>3545.108283195962</v>
      </c>
      <c r="V52" s="126" t="s">
        <v>48</v>
      </c>
    </row>
    <row r="53" spans="3:23" ht="15">
      <c r="C53" s="135" t="s">
        <v>73</v>
      </c>
      <c r="G53" s="142">
        <f>G52/G25</f>
        <v>9.0567840567840563E-2</v>
      </c>
      <c r="H53" s="142">
        <f>H52/H25</f>
        <v>0.24616580677079655</v>
      </c>
      <c r="I53" s="142">
        <f>I52/I25</f>
        <v>0.22643943873985267</v>
      </c>
      <c r="J53" s="140"/>
      <c r="K53" s="142">
        <f>K52/K25</f>
        <v>0.23347649381719654</v>
      </c>
      <c r="L53" s="140"/>
      <c r="M53" s="140"/>
      <c r="N53" s="142">
        <f t="shared" ref="N53:U53" si="12">N52/N25</f>
        <v>0.27313653468268229</v>
      </c>
      <c r="O53" s="142">
        <f t="shared" ca="1" si="12"/>
        <v>0.26552631069035565</v>
      </c>
      <c r="P53" s="142">
        <f t="shared" ca="1" si="12"/>
        <v>0.25901425984066573</v>
      </c>
      <c r="Q53" s="142">
        <f t="shared" ca="1" si="12"/>
        <v>0.25279225092398577</v>
      </c>
      <c r="R53" s="142">
        <f t="shared" ca="1" si="12"/>
        <v>0.24734905441453275</v>
      </c>
      <c r="S53" s="142">
        <f t="shared" ca="1" si="12"/>
        <v>0.24240335582863656</v>
      </c>
      <c r="T53" s="142">
        <f t="shared" ca="1" si="12"/>
        <v>0.23776306686602597</v>
      </c>
      <c r="U53" s="142">
        <f t="shared" ca="1" si="12"/>
        <v>0.23328671129917622</v>
      </c>
      <c r="V53" s="126" t="s">
        <v>48</v>
      </c>
    </row>
    <row r="54" spans="3:23" ht="15">
      <c r="V54" s="126" t="s">
        <v>48</v>
      </c>
    </row>
    <row r="55" spans="3:23" ht="15">
      <c r="C55" t="s">
        <v>81</v>
      </c>
      <c r="G55" s="155">
        <v>-347.7</v>
      </c>
      <c r="H55" s="155">
        <v>-473.3</v>
      </c>
      <c r="I55" s="155">
        <v>-767.3</v>
      </c>
      <c r="J55" s="155"/>
      <c r="K55" s="155">
        <v>-449.6</v>
      </c>
      <c r="N55" s="163">
        <f>SUM(N56:N57)</f>
        <v>-1491.348843897571</v>
      </c>
      <c r="O55" s="163">
        <f t="shared" ref="O55:U55" ca="1" si="13">SUM(O56:O57)</f>
        <v>-1471.2006840501874</v>
      </c>
      <c r="P55" s="163">
        <f t="shared" ca="1" si="13"/>
        <v>-1517.0209621398126</v>
      </c>
      <c r="Q55" s="163">
        <f t="shared" ca="1" si="13"/>
        <v>-1606.6694577211165</v>
      </c>
      <c r="R55" s="163">
        <f t="shared" ca="1" si="13"/>
        <v>-1716.884424044064</v>
      </c>
      <c r="S55" s="163">
        <f t="shared" ca="1" si="13"/>
        <v>-1784.0727300422841</v>
      </c>
      <c r="T55" s="163">
        <f t="shared" ca="1" si="13"/>
        <v>-1876.3328298584333</v>
      </c>
      <c r="U55" s="163">
        <f t="shared" ca="1" si="13"/>
        <v>-1980.848196266729</v>
      </c>
      <c r="V55" s="126" t="s">
        <v>48</v>
      </c>
    </row>
    <row r="56" spans="3:23" ht="15">
      <c r="C56" s="151" t="s">
        <v>82</v>
      </c>
      <c r="V56" s="126" t="s">
        <v>48</v>
      </c>
    </row>
    <row r="57" spans="3:23" ht="15">
      <c r="C57" s="151" t="s">
        <v>83</v>
      </c>
      <c r="G57" s="163">
        <v>-346.8989020479471</v>
      </c>
      <c r="H57" s="163">
        <v>-472.57503576348148</v>
      </c>
      <c r="I57" s="163">
        <v>-766.64159043111761</v>
      </c>
      <c r="J57" s="163"/>
      <c r="K57" s="163">
        <f>SUM(K58:K59)</f>
        <v>-449.6</v>
      </c>
      <c r="N57" s="163">
        <f>SUM(N58:N59)</f>
        <v>-1491.348843897571</v>
      </c>
      <c r="O57" s="163">
        <f t="shared" ref="O57:U57" ca="1" si="14">SUM(O58:O59)</f>
        <v>-1471.2006840501874</v>
      </c>
      <c r="P57" s="163">
        <f t="shared" ca="1" si="14"/>
        <v>-1517.0209621398126</v>
      </c>
      <c r="Q57" s="163">
        <f t="shared" ca="1" si="14"/>
        <v>-1606.6694577211165</v>
      </c>
      <c r="R57" s="163">
        <f t="shared" ca="1" si="14"/>
        <v>-1716.884424044064</v>
      </c>
      <c r="S57" s="163">
        <f t="shared" ca="1" si="14"/>
        <v>-1784.0727300422841</v>
      </c>
      <c r="T57" s="163">
        <f t="shared" ca="1" si="14"/>
        <v>-1876.3328298584333</v>
      </c>
      <c r="U57" s="163">
        <f t="shared" ca="1" si="14"/>
        <v>-1980.848196266729</v>
      </c>
      <c r="V57" s="126" t="s">
        <v>48</v>
      </c>
    </row>
    <row r="58" spans="3:23" ht="15">
      <c r="C58" s="164" t="s">
        <v>84</v>
      </c>
      <c r="G58" s="155">
        <v>-277.89999999999998</v>
      </c>
      <c r="H58" s="155">
        <v>-342.6</v>
      </c>
      <c r="I58" s="155">
        <v>-428.1</v>
      </c>
      <c r="J58" s="155"/>
      <c r="K58" s="155">
        <v>-256.2</v>
      </c>
      <c r="N58" s="152">
        <f>'Build-Up'!L1047</f>
        <v>-772.56601700067984</v>
      </c>
      <c r="O58" s="152">
        <f>'Build-Up'!M1047</f>
        <v>-652.99662623905772</v>
      </c>
      <c r="P58" s="152">
        <f>'Build-Up'!N1047</f>
        <v>-560.06690902840705</v>
      </c>
      <c r="Q58" s="152">
        <f>'Build-Up'!O1047</f>
        <v>-518.39054588964996</v>
      </c>
      <c r="R58" s="152">
        <f>'Build-Up'!P1047</f>
        <v>-501.63676969899404</v>
      </c>
      <c r="S58" s="152">
        <f>'Build-Up'!Q1047</f>
        <v>-447.10969829333118</v>
      </c>
      <c r="T58" s="152">
        <f>'Build-Up'!R1047</f>
        <v>-423.87736674753194</v>
      </c>
      <c r="U58" s="152">
        <f>'Build-Up'!S1047</f>
        <v>-420.16964714152374</v>
      </c>
      <c r="V58" s="126" t="s">
        <v>48</v>
      </c>
    </row>
    <row r="59" spans="3:23" ht="15">
      <c r="C59" s="164" t="s">
        <v>85</v>
      </c>
      <c r="G59" s="155">
        <v>-69.8</v>
      </c>
      <c r="H59" s="155">
        <v>-130.69999999999999</v>
      </c>
      <c r="I59" s="155">
        <v>-339.1</v>
      </c>
      <c r="K59" s="155">
        <v>-193.4</v>
      </c>
      <c r="N59" s="152">
        <f>'Build-Up'!L413</f>
        <v>-718.78282689689104</v>
      </c>
      <c r="O59" s="152">
        <f ca="1">'Build-Up'!M413</f>
        <v>-818.2040578111297</v>
      </c>
      <c r="P59" s="152">
        <f ca="1">'Build-Up'!N413</f>
        <v>-956.95405311140564</v>
      </c>
      <c r="Q59" s="152">
        <f ca="1">'Build-Up'!O413</f>
        <v>-1088.2789118314665</v>
      </c>
      <c r="R59" s="152">
        <f ca="1">'Build-Up'!P413</f>
        <v>-1215.24765434507</v>
      </c>
      <c r="S59" s="152">
        <f ca="1">'Build-Up'!Q413</f>
        <v>-1336.963031748953</v>
      </c>
      <c r="T59" s="152">
        <f ca="1">'Build-Up'!R413</f>
        <v>-1452.4554631109013</v>
      </c>
      <c r="U59" s="152">
        <f ca="1">'Build-Up'!S413</f>
        <v>-1560.6785491252053</v>
      </c>
      <c r="V59" s="126" t="s">
        <v>48</v>
      </c>
      <c r="W59" s="149"/>
    </row>
    <row r="60" spans="3:23" ht="15">
      <c r="V60" s="126" t="s">
        <v>48</v>
      </c>
    </row>
    <row r="61" spans="3:23" ht="15">
      <c r="C61" s="158" t="s">
        <v>86</v>
      </c>
      <c r="D61" s="158"/>
      <c r="E61" s="158"/>
      <c r="F61" s="158"/>
      <c r="G61" s="162">
        <f>G52+G55</f>
        <v>-82.300000000000011</v>
      </c>
      <c r="H61" s="162">
        <f>H52+H55</f>
        <v>571.60000000000014</v>
      </c>
      <c r="I61" s="162">
        <f>I52+I55</f>
        <v>496.29999999999995</v>
      </c>
      <c r="J61" s="162"/>
      <c r="K61" s="162">
        <f>K52+K55</f>
        <v>360.4</v>
      </c>
      <c r="L61" s="158"/>
      <c r="M61" s="158"/>
      <c r="N61" s="162">
        <f t="shared" ref="N61:U61" si="15">N52+N55</f>
        <v>400.52557098738043</v>
      </c>
      <c r="O61" s="162">
        <f t="shared" ca="1" si="15"/>
        <v>721.20732432947602</v>
      </c>
      <c r="P61" s="162">
        <f t="shared" ca="1" si="15"/>
        <v>958.00030574563334</v>
      </c>
      <c r="Q61" s="162">
        <f t="shared" ca="1" si="15"/>
        <v>1118.8651359016803</v>
      </c>
      <c r="R61" s="162">
        <f t="shared" ca="1" si="15"/>
        <v>1243.2802701293231</v>
      </c>
      <c r="S61" s="162">
        <f t="shared" ca="1" si="15"/>
        <v>1392.5596270680981</v>
      </c>
      <c r="T61" s="162">
        <f t="shared" ca="1" si="15"/>
        <v>1496.1564851458916</v>
      </c>
      <c r="U61" s="162">
        <f t="shared" ca="1" si="15"/>
        <v>1564.260086929233</v>
      </c>
      <c r="V61" s="126" t="s">
        <v>48</v>
      </c>
    </row>
    <row r="62" spans="3:23" ht="15">
      <c r="C62" s="135" t="s">
        <v>87</v>
      </c>
      <c r="G62" s="142">
        <f>G61/G25</f>
        <v>-2.8084903084903089E-2</v>
      </c>
      <c r="H62" s="142">
        <f>H61/H25</f>
        <v>0.134662049143638</v>
      </c>
      <c r="I62" s="142">
        <f>I61/I25</f>
        <v>8.8937870723796206E-2</v>
      </c>
      <c r="J62" s="142"/>
      <c r="K62" s="142">
        <f>K61/K25</f>
        <v>0.10388262761940448</v>
      </c>
      <c r="L62" s="140"/>
      <c r="M62" s="140"/>
      <c r="N62" s="165">
        <f t="shared" ref="N62:U62" si="16">N61/N25</f>
        <v>5.7825279337026442E-2</v>
      </c>
      <c r="O62" s="165">
        <f t="shared" ca="1" si="16"/>
        <v>8.7346661451761218E-2</v>
      </c>
      <c r="P62" s="165">
        <f t="shared" ca="1" si="16"/>
        <v>0.10025600318652349</v>
      </c>
      <c r="Q62" s="165">
        <f t="shared" ca="1" si="16"/>
        <v>0.10377429692022505</v>
      </c>
      <c r="R62" s="165">
        <f t="shared" ca="1" si="16"/>
        <v>0.10388753024250487</v>
      </c>
      <c r="S62" s="165">
        <f t="shared" ca="1" si="16"/>
        <v>0.10626383189644377</v>
      </c>
      <c r="T62" s="165">
        <f t="shared" ca="1" si="16"/>
        <v>0.10548017241659513</v>
      </c>
      <c r="U62" s="165">
        <f t="shared" ca="1" si="16"/>
        <v>0.10293651481000832</v>
      </c>
      <c r="V62" s="126" t="s">
        <v>48</v>
      </c>
    </row>
    <row r="63" spans="3:23" ht="15">
      <c r="V63" s="126" t="s">
        <v>48</v>
      </c>
    </row>
    <row r="64" spans="3:23" ht="15">
      <c r="C64" t="s">
        <v>88</v>
      </c>
      <c r="G64" s="155">
        <v>-3.7</v>
      </c>
      <c r="H64" s="155">
        <v>472.6</v>
      </c>
      <c r="I64" s="155">
        <v>-55.8</v>
      </c>
      <c r="J64" s="155"/>
      <c r="K64" s="155">
        <v>-78.599999999999994</v>
      </c>
      <c r="N64" s="141">
        <f>N65*-N61</f>
        <v>-45.031889706016173</v>
      </c>
      <c r="O64" s="141">
        <f t="shared" ref="O64:U64" ca="1" si="17">O65*-O61</f>
        <v>-81.086779563942699</v>
      </c>
      <c r="P64" s="141">
        <f t="shared" ca="1" si="17"/>
        <v>-107.70988728713751</v>
      </c>
      <c r="Q64" s="141">
        <f t="shared" ca="1" si="17"/>
        <v>-125.79624135263704</v>
      </c>
      <c r="R64" s="141">
        <f t="shared" ca="1" si="17"/>
        <v>-139.78448332302281</v>
      </c>
      <c r="S64" s="141">
        <f t="shared" ca="1" si="17"/>
        <v>-156.56825950110795</v>
      </c>
      <c r="T64" s="141">
        <f t="shared" ca="1" si="17"/>
        <v>-168.21586111452902</v>
      </c>
      <c r="U64" s="141">
        <f t="shared" ca="1" si="17"/>
        <v>-175.87288505067741</v>
      </c>
      <c r="V64" s="126" t="s">
        <v>48</v>
      </c>
    </row>
    <row r="65" spans="3:23" ht="15">
      <c r="C65" s="135" t="s">
        <v>89</v>
      </c>
      <c r="G65" s="142">
        <f>-G64/G61</f>
        <v>-4.4957472660996353E-2</v>
      </c>
      <c r="H65" s="142">
        <f>-H64/H61</f>
        <v>-0.82680195941217616</v>
      </c>
      <c r="I65" s="142">
        <f>-I64/I61</f>
        <v>0.11243199677614346</v>
      </c>
      <c r="J65" s="142"/>
      <c r="K65" s="142">
        <f>-K64/K61</f>
        <v>0.21809100998890121</v>
      </c>
      <c r="L65" s="140"/>
      <c r="M65" s="140"/>
      <c r="N65" s="166">
        <f>I65</f>
        <v>0.11243199677614346</v>
      </c>
      <c r="O65" s="167">
        <f>N65</f>
        <v>0.11243199677614346</v>
      </c>
      <c r="P65" s="167">
        <f t="shared" ref="P65:U65" si="18">O65</f>
        <v>0.11243199677614346</v>
      </c>
      <c r="Q65" s="167">
        <f t="shared" si="18"/>
        <v>0.11243199677614346</v>
      </c>
      <c r="R65" s="167">
        <f t="shared" si="18"/>
        <v>0.11243199677614346</v>
      </c>
      <c r="S65" s="167">
        <f t="shared" si="18"/>
        <v>0.11243199677614346</v>
      </c>
      <c r="T65" s="167">
        <f t="shared" si="18"/>
        <v>0.11243199677614346</v>
      </c>
      <c r="U65" s="167">
        <f t="shared" si="18"/>
        <v>0.11243199677614346</v>
      </c>
      <c r="V65" s="126" t="s">
        <v>48</v>
      </c>
      <c r="W65" s="149"/>
    </row>
    <row r="66" spans="3:23" ht="15">
      <c r="V66" s="126" t="s">
        <v>48</v>
      </c>
    </row>
    <row r="67" spans="3:23" ht="15">
      <c r="C67" s="145" t="s">
        <v>90</v>
      </c>
      <c r="D67" s="146"/>
      <c r="E67" s="146"/>
      <c r="F67" s="146"/>
      <c r="G67" s="147">
        <v>-86.1</v>
      </c>
      <c r="H67" s="147">
        <v>1044.2</v>
      </c>
      <c r="I67" s="147">
        <v>440.6</v>
      </c>
      <c r="J67" s="147"/>
      <c r="K67" s="147">
        <v>281.8</v>
      </c>
      <c r="L67" s="146"/>
      <c r="M67" s="146"/>
      <c r="N67" s="148">
        <f>N61+N64</f>
        <v>355.49368128136427</v>
      </c>
      <c r="O67" s="148">
        <f t="shared" ref="O67:U67" ca="1" si="19">O61+O64</f>
        <v>640.12054476553328</v>
      </c>
      <c r="P67" s="148">
        <f t="shared" ca="1" si="19"/>
        <v>850.29041845849588</v>
      </c>
      <c r="Q67" s="148">
        <f t="shared" ca="1" si="19"/>
        <v>993.06889454904331</v>
      </c>
      <c r="R67" s="148">
        <f t="shared" ca="1" si="19"/>
        <v>1103.4957868063002</v>
      </c>
      <c r="S67" s="148">
        <f t="shared" ca="1" si="19"/>
        <v>1235.99136756699</v>
      </c>
      <c r="T67" s="148">
        <f t="shared" ca="1" si="19"/>
        <v>1327.9406240313626</v>
      </c>
      <c r="U67" s="148">
        <f t="shared" ca="1" si="19"/>
        <v>1388.3872018785555</v>
      </c>
      <c r="V67" s="126" t="s">
        <v>48</v>
      </c>
    </row>
    <row r="68" spans="3:23" ht="15">
      <c r="C68" s="135" t="s">
        <v>73</v>
      </c>
      <c r="G68" s="142">
        <f>G67/G25</f>
        <v>-2.9381654381654378E-2</v>
      </c>
      <c r="H68" s="142">
        <f>H67/H25</f>
        <v>0.2460008952340566</v>
      </c>
      <c r="I68" s="142">
        <f>I67/I25</f>
        <v>7.8956328512803972E-2</v>
      </c>
      <c r="J68" s="142"/>
      <c r="K68" s="142">
        <f>K67/K25</f>
        <v>8.1226760441587637E-2</v>
      </c>
      <c r="L68" s="140"/>
      <c r="M68" s="140"/>
      <c r="N68" s="165">
        <f t="shared" ref="N68:U68" si="20">N67/N25</f>
        <v>5.1323867717026295E-2</v>
      </c>
      <c r="O68" s="165">
        <f t="shared" ca="1" si="20"/>
        <v>7.7526101893009902E-2</v>
      </c>
      <c r="P68" s="165">
        <f t="shared" ca="1" si="20"/>
        <v>8.8984020559467247E-2</v>
      </c>
      <c r="Q68" s="165">
        <f t="shared" ca="1" si="20"/>
        <v>9.2106745503443763E-2</v>
      </c>
      <c r="R68" s="165">
        <f t="shared" ca="1" si="20"/>
        <v>9.2207247777198048E-2</v>
      </c>
      <c r="S68" s="165">
        <f t="shared" ca="1" si="20"/>
        <v>9.4316377091242146E-2</v>
      </c>
      <c r="T68" s="165">
        <f t="shared" ca="1" si="20"/>
        <v>9.3620826011505454E-2</v>
      </c>
      <c r="U68" s="165">
        <f t="shared" ca="1" si="20"/>
        <v>9.1363156908742013E-2</v>
      </c>
      <c r="V68" s="126" t="s">
        <v>48</v>
      </c>
    </row>
    <row r="69" spans="3:23" ht="15">
      <c r="C69" s="135" t="s">
        <v>91</v>
      </c>
      <c r="G69" s="142"/>
      <c r="H69" s="142">
        <f>H67/G67-1</f>
        <v>-13.127758420441349</v>
      </c>
      <c r="I69" s="142">
        <f t="shared" ref="I69:M69" si="21">I67/H67-1</f>
        <v>-0.57805018195747948</v>
      </c>
      <c r="J69" s="142">
        <f t="shared" si="21"/>
        <v>-1</v>
      </c>
      <c r="K69" s="142" t="e">
        <f t="shared" si="21"/>
        <v>#DIV/0!</v>
      </c>
      <c r="L69" s="142">
        <f t="shared" si="21"/>
        <v>-1</v>
      </c>
      <c r="M69" s="142" t="e">
        <f t="shared" si="21"/>
        <v>#DIV/0!</v>
      </c>
      <c r="N69" s="142">
        <f>N67/I67-1</f>
        <v>-0.19316005156294991</v>
      </c>
      <c r="O69" s="142">
        <f ca="1">O67/I67-1</f>
        <v>0.45283827681691613</v>
      </c>
      <c r="P69" s="142">
        <f t="shared" ref="P69:U69" ca="1" si="22">P67/O67-1</f>
        <v>0.32832858656324593</v>
      </c>
      <c r="Q69" s="142">
        <f t="shared" ca="1" si="22"/>
        <v>0.16791730565351148</v>
      </c>
      <c r="R69" s="142">
        <f t="shared" ca="1" si="22"/>
        <v>0.11119761465029288</v>
      </c>
      <c r="S69" s="142">
        <f t="shared" ca="1" si="22"/>
        <v>0.12006895028041198</v>
      </c>
      <c r="T69" s="142">
        <f t="shared" ca="1" si="22"/>
        <v>7.4393121891596969E-2</v>
      </c>
      <c r="U69" s="142">
        <f t="shared" ca="1" si="22"/>
        <v>4.5519036584398709E-2</v>
      </c>
      <c r="V69" s="126" t="s">
        <v>48</v>
      </c>
    </row>
    <row r="70" spans="3:23" ht="15">
      <c r="C70" s="135"/>
      <c r="G70" s="142"/>
      <c r="H70" s="142"/>
      <c r="I70" s="142"/>
      <c r="J70" s="142"/>
      <c r="K70" s="142"/>
      <c r="L70" s="140"/>
      <c r="M70" s="140"/>
      <c r="N70" s="165"/>
      <c r="O70" s="165"/>
      <c r="P70" s="165"/>
      <c r="Q70" s="165"/>
      <c r="R70" s="165"/>
      <c r="S70" s="165"/>
      <c r="T70" s="165"/>
      <c r="U70" s="165"/>
      <c r="V70" s="126" t="s">
        <v>48</v>
      </c>
    </row>
    <row r="71" spans="3:23" ht="15">
      <c r="C71" s="135"/>
      <c r="I71" s="157"/>
      <c r="V71" s="126" t="s">
        <v>48</v>
      </c>
    </row>
    <row r="72" spans="3:23" ht="15">
      <c r="C72" t="s">
        <v>92</v>
      </c>
      <c r="G72" s="155">
        <v>902.3</v>
      </c>
      <c r="H72" s="155">
        <v>1157.4000000000001</v>
      </c>
      <c r="I72" s="155">
        <v>1412.3</v>
      </c>
      <c r="J72" s="155"/>
      <c r="K72" s="155">
        <v>835.5</v>
      </c>
      <c r="N72" s="163">
        <f>SUM(N73:N78)</f>
        <v>-2105.6356527881162</v>
      </c>
      <c r="O72" s="163">
        <f t="shared" ref="O72:U72" si="23">SUM(O73:O78)</f>
        <v>-2647.1121629155814</v>
      </c>
      <c r="P72" s="163">
        <f t="shared" si="23"/>
        <v>-3185.1785304690534</v>
      </c>
      <c r="Q72" s="163">
        <f t="shared" si="23"/>
        <v>-3711.426572144695</v>
      </c>
      <c r="R72" s="163">
        <f t="shared" si="23"/>
        <v>-4227.7922466119026</v>
      </c>
      <c r="S72" s="163">
        <f t="shared" si="23"/>
        <v>-4731.2477110164209</v>
      </c>
      <c r="T72" s="163">
        <f t="shared" si="23"/>
        <v>-5218.5063474197386</v>
      </c>
      <c r="U72" s="163">
        <f t="shared" si="23"/>
        <v>-5686.0061891582091</v>
      </c>
      <c r="V72" s="126" t="s">
        <v>48</v>
      </c>
    </row>
    <row r="73" spans="3:23" ht="15">
      <c r="C73" s="168" t="s">
        <v>93</v>
      </c>
      <c r="D73" s="169"/>
      <c r="G73" s="155">
        <v>454.5</v>
      </c>
      <c r="H73" s="155">
        <v>559.70000000000005</v>
      </c>
      <c r="I73" s="155">
        <v>660.3</v>
      </c>
      <c r="J73" s="155"/>
      <c r="K73" s="155">
        <v>374.8</v>
      </c>
      <c r="N73" s="152">
        <f>'Build-Up'!L374</f>
        <v>-819.5892598181166</v>
      </c>
      <c r="O73" s="152">
        <f>'Build-Up'!M374</f>
        <v>-977.00675921030529</v>
      </c>
      <c r="P73" s="152">
        <f>'Build-Up'!N374</f>
        <v>-1130.6781781953023</v>
      </c>
      <c r="Q73" s="152">
        <f>'Build-Up'!O374</f>
        <v>-1275.7679614841222</v>
      </c>
      <c r="R73" s="152">
        <f>'Build-Up'!P374</f>
        <v>-1416.0851543568733</v>
      </c>
      <c r="S73" s="152">
        <f>'Build-Up'!Q374</f>
        <v>-1550.6439076931717</v>
      </c>
      <c r="T73" s="152">
        <f>'Build-Up'!R374</f>
        <v>-1678.3786182092315</v>
      </c>
      <c r="U73" s="152">
        <f>'Build-Up'!S374</f>
        <v>-1798.1389726414095</v>
      </c>
      <c r="V73" s="126" t="s">
        <v>48</v>
      </c>
      <c r="W73" s="149"/>
    </row>
    <row r="74" spans="3:23" ht="15">
      <c r="C74" s="168"/>
      <c r="D74" s="169"/>
      <c r="G74" s="592">
        <f>G73/G25</f>
        <v>0.15509828009828008</v>
      </c>
      <c r="H74" s="592">
        <f t="shared" ref="H74:M74" si="24">H73/H25</f>
        <v>0.13185855301905908</v>
      </c>
      <c r="I74" s="592">
        <f t="shared" si="24"/>
        <v>0.11832697166818987</v>
      </c>
      <c r="J74" s="592" t="e">
        <f t="shared" si="24"/>
        <v>#DIV/0!</v>
      </c>
      <c r="K74" s="592">
        <f t="shared" si="24"/>
        <v>0.10803332084282131</v>
      </c>
      <c r="L74" s="592" t="e">
        <f t="shared" si="24"/>
        <v>#DIV/0!</v>
      </c>
      <c r="M74" s="592" t="e">
        <f t="shared" si="24"/>
        <v>#DIV/0!</v>
      </c>
      <c r="N74" s="592">
        <f>-N73/N25</f>
        <v>0.11832697166818987</v>
      </c>
      <c r="O74" s="592">
        <f t="shared" ref="O74:U74" si="25">-O73/O25</f>
        <v>0.11832697166818987</v>
      </c>
      <c r="P74" s="592">
        <f t="shared" si="25"/>
        <v>0.11832697166818988</v>
      </c>
      <c r="Q74" s="592">
        <f t="shared" si="25"/>
        <v>0.11832697166818987</v>
      </c>
      <c r="R74" s="592">
        <f t="shared" si="25"/>
        <v>0.11832697166818987</v>
      </c>
      <c r="S74" s="592">
        <f t="shared" si="25"/>
        <v>0.11832697166818987</v>
      </c>
      <c r="T74" s="592">
        <f t="shared" si="25"/>
        <v>0.11832697166818987</v>
      </c>
      <c r="U74" s="592">
        <f t="shared" si="25"/>
        <v>0.11832697166818987</v>
      </c>
      <c r="V74" s="126" t="s">
        <v>48</v>
      </c>
      <c r="W74" s="149"/>
    </row>
    <row r="75" spans="3:23" ht="15">
      <c r="C75" s="168" t="s">
        <v>94</v>
      </c>
      <c r="D75" s="169"/>
      <c r="G75" s="155">
        <v>420.8</v>
      </c>
      <c r="H75" s="155">
        <v>549.4</v>
      </c>
      <c r="I75" s="155">
        <v>703.1</v>
      </c>
      <c r="J75" s="155"/>
      <c r="K75" s="155">
        <v>429.5</v>
      </c>
      <c r="N75" s="152">
        <f>'Build-Up'!L341</f>
        <v>-1286.3504348587894</v>
      </c>
      <c r="O75" s="152">
        <f>'Build-Up'!M341</f>
        <v>-1670.4260388521025</v>
      </c>
      <c r="P75" s="152">
        <f>'Build-Up'!N341</f>
        <v>-2054.8337203208521</v>
      </c>
      <c r="Q75" s="152">
        <f>'Build-Up'!O341</f>
        <v>-2436.0028759313568</v>
      </c>
      <c r="R75" s="152">
        <f>'Build-Up'!P341</f>
        <v>-2812.060392801136</v>
      </c>
      <c r="S75" s="152">
        <f>'Build-Up'!Q341</f>
        <v>-3180.9648642569214</v>
      </c>
      <c r="T75" s="152">
        <f>'Build-Up'!R341</f>
        <v>-3540.4956638246699</v>
      </c>
      <c r="U75" s="152">
        <f>'Build-Up'!S341</f>
        <v>-3888.2414101584964</v>
      </c>
      <c r="V75" s="126" t="s">
        <v>48</v>
      </c>
      <c r="W75" t="s">
        <v>95</v>
      </c>
    </row>
    <row r="76" spans="3:23" ht="15">
      <c r="C76" s="168"/>
      <c r="D76" s="169"/>
      <c r="G76" s="591">
        <f>G75/G25</f>
        <v>0.1435981435981436</v>
      </c>
      <c r="H76" s="591">
        <f t="shared" ref="H76:M76" si="26">H75/H25</f>
        <v>0.12943199754988574</v>
      </c>
      <c r="I76" s="591">
        <f t="shared" si="26"/>
        <v>0.12599681020733652</v>
      </c>
      <c r="J76" s="591" t="e">
        <f t="shared" si="26"/>
        <v>#DIV/0!</v>
      </c>
      <c r="K76" s="591">
        <f t="shared" si="26"/>
        <v>0.12380019024010606</v>
      </c>
      <c r="L76" s="591" t="e">
        <f t="shared" si="26"/>
        <v>#DIV/0!</v>
      </c>
      <c r="M76" s="591" t="e">
        <f t="shared" si="26"/>
        <v>#DIV/0!</v>
      </c>
      <c r="N76" s="591">
        <f>-N75/N25</f>
        <v>0.1857149171216301</v>
      </c>
      <c r="O76" s="591">
        <f t="shared" ref="O76:U76" si="27">-O75/O25</f>
        <v>0.20230817515819546</v>
      </c>
      <c r="P76" s="591">
        <f t="shared" si="27"/>
        <v>0.21504107543256101</v>
      </c>
      <c r="Q76" s="591">
        <f t="shared" si="27"/>
        <v>0.22593829911564689</v>
      </c>
      <c r="R76" s="591">
        <f t="shared" si="27"/>
        <v>0.23497357443828062</v>
      </c>
      <c r="S76" s="591">
        <f t="shared" si="27"/>
        <v>0.2427339620031666</v>
      </c>
      <c r="T76" s="591">
        <f t="shared" si="27"/>
        <v>0.24960764249470735</v>
      </c>
      <c r="U76" s="591">
        <f t="shared" si="27"/>
        <v>0.25586667002887903</v>
      </c>
      <c r="V76" s="126" t="s">
        <v>48</v>
      </c>
    </row>
    <row r="77" spans="3:23" ht="15">
      <c r="C77" s="168" t="s">
        <v>96</v>
      </c>
      <c r="D77" s="169"/>
      <c r="G77" s="155">
        <v>27</v>
      </c>
      <c r="H77" s="155">
        <v>48.3</v>
      </c>
      <c r="I77" s="155">
        <v>48.8</v>
      </c>
      <c r="J77" s="155"/>
      <c r="K77" s="155">
        <v>31.1</v>
      </c>
      <c r="N77" s="170">
        <v>0</v>
      </c>
      <c r="O77" s="155">
        <v>0</v>
      </c>
      <c r="P77" s="155">
        <v>0</v>
      </c>
      <c r="Q77" s="155">
        <v>0</v>
      </c>
      <c r="R77" s="155">
        <v>0</v>
      </c>
      <c r="S77" s="155">
        <v>0</v>
      </c>
      <c r="T77" s="155">
        <v>0</v>
      </c>
      <c r="U77" s="155">
        <v>0</v>
      </c>
      <c r="V77" s="126" t="s">
        <v>48</v>
      </c>
    </row>
    <row r="78" spans="3:23" ht="15">
      <c r="C78" s="168" t="s">
        <v>97</v>
      </c>
      <c r="G78" s="155">
        <v>0</v>
      </c>
      <c r="H78" s="155">
        <v>0</v>
      </c>
      <c r="I78" s="155">
        <v>0</v>
      </c>
      <c r="J78" s="155"/>
      <c r="K78" s="155">
        <v>0</v>
      </c>
      <c r="N78" s="170">
        <v>0</v>
      </c>
      <c r="O78" s="155">
        <v>0</v>
      </c>
      <c r="P78" s="155">
        <v>0</v>
      </c>
      <c r="Q78" s="155">
        <v>0</v>
      </c>
      <c r="R78" s="155">
        <v>0</v>
      </c>
      <c r="S78" s="155">
        <v>0</v>
      </c>
      <c r="T78" s="155">
        <v>0</v>
      </c>
      <c r="U78" s="155">
        <v>0</v>
      </c>
      <c r="V78" s="126" t="s">
        <v>48</v>
      </c>
    </row>
    <row r="79" spans="3:23" ht="15">
      <c r="N79" s="163"/>
      <c r="V79" s="126" t="s">
        <v>48</v>
      </c>
    </row>
    <row r="80" spans="3:23" ht="15">
      <c r="C80" s="145" t="s">
        <v>98</v>
      </c>
      <c r="D80" s="145"/>
      <c r="E80" s="145"/>
      <c r="F80" s="145"/>
      <c r="G80" s="171">
        <v>1167.7</v>
      </c>
      <c r="H80" s="171">
        <v>2202.3000000000002</v>
      </c>
      <c r="I80" s="171">
        <v>2675.9</v>
      </c>
      <c r="J80" s="171"/>
      <c r="K80" s="171">
        <v>1645.5</v>
      </c>
      <c r="L80" s="145"/>
      <c r="M80" s="145"/>
      <c r="N80" s="172">
        <f t="shared" ref="N80:U80" si="28">N52-N72</f>
        <v>3997.5100676730676</v>
      </c>
      <c r="O80" s="172">
        <f t="shared" ca="1" si="28"/>
        <v>4839.5201712952448</v>
      </c>
      <c r="P80" s="172">
        <f t="shared" ca="1" si="28"/>
        <v>5660.1997983544989</v>
      </c>
      <c r="Q80" s="172">
        <f t="shared" ca="1" si="28"/>
        <v>6436.9611657674923</v>
      </c>
      <c r="R80" s="172">
        <f t="shared" ca="1" si="28"/>
        <v>7187.9569407852896</v>
      </c>
      <c r="S80" s="172">
        <f t="shared" ca="1" si="28"/>
        <v>7907.8800681268031</v>
      </c>
      <c r="T80" s="172">
        <f t="shared" ca="1" si="28"/>
        <v>8590.995662424064</v>
      </c>
      <c r="U80" s="172">
        <f t="shared" ca="1" si="28"/>
        <v>9231.1144723541711</v>
      </c>
      <c r="V80" s="126" t="s">
        <v>48</v>
      </c>
    </row>
    <row r="81" spans="1:23" ht="15">
      <c r="C81" s="135" t="s">
        <v>73</v>
      </c>
      <c r="G81" s="142">
        <f>G80/G25</f>
        <v>0.39847802347802347</v>
      </c>
      <c r="H81" s="142">
        <f>H80/H25</f>
        <v>0.51883525337479686</v>
      </c>
      <c r="I81" s="142">
        <f>I80/I25</f>
        <v>0.47952619034818916</v>
      </c>
      <c r="J81" s="142"/>
      <c r="K81" s="142">
        <f>K80/K25</f>
        <v>0.47430317355086038</v>
      </c>
      <c r="L81" s="140"/>
      <c r="M81" s="140"/>
      <c r="N81" s="144">
        <f t="shared" ref="N81:U81" si="29">N80/N25</f>
        <v>0.5771345278802531</v>
      </c>
      <c r="O81" s="144">
        <f t="shared" ca="1" si="29"/>
        <v>0.58612262484176025</v>
      </c>
      <c r="P81" s="144">
        <f t="shared" ca="1" si="29"/>
        <v>0.59234741953293457</v>
      </c>
      <c r="Q81" s="144">
        <f t="shared" ca="1" si="29"/>
        <v>0.5970255912407062</v>
      </c>
      <c r="R81" s="144">
        <f t="shared" ca="1" si="29"/>
        <v>0.60062007900276626</v>
      </c>
      <c r="S81" s="144">
        <f t="shared" ca="1" si="29"/>
        <v>0.60343673756066185</v>
      </c>
      <c r="T81" s="144">
        <f t="shared" ca="1" si="29"/>
        <v>0.60567174135822355</v>
      </c>
      <c r="U81" s="144">
        <f t="shared" ca="1" si="29"/>
        <v>0.6074557290928021</v>
      </c>
      <c r="V81" s="126" t="s">
        <v>48</v>
      </c>
    </row>
    <row r="82" spans="1:23" ht="15">
      <c r="C82" s="135"/>
      <c r="V82" s="126" t="s">
        <v>48</v>
      </c>
    </row>
    <row r="83" spans="1:23" ht="15">
      <c r="A83" s="111" t="s">
        <v>56</v>
      </c>
      <c r="B83" s="111">
        <v>2</v>
      </c>
      <c r="C83" s="111" t="s">
        <v>99</v>
      </c>
      <c r="D83" s="123" t="s">
        <v>42</v>
      </c>
      <c r="E83" s="123" t="s">
        <v>43</v>
      </c>
      <c r="F83" s="121"/>
      <c r="G83" s="124">
        <v>44926</v>
      </c>
      <c r="H83" s="124">
        <f>EOMONTH(G83,12)</f>
        <v>45291</v>
      </c>
      <c r="I83" s="124">
        <f>EOMONTH(H83,12)</f>
        <v>45657</v>
      </c>
      <c r="J83" s="123" t="s">
        <v>44</v>
      </c>
      <c r="K83" s="123" t="s">
        <v>45</v>
      </c>
      <c r="L83" s="123" t="s">
        <v>46</v>
      </c>
      <c r="M83" s="123" t="s">
        <v>47</v>
      </c>
      <c r="N83" s="125">
        <f>EOMONTH(I83,12)</f>
        <v>46022</v>
      </c>
      <c r="O83" s="125">
        <f>EOMONTH(N83,12)</f>
        <v>46387</v>
      </c>
      <c r="P83" s="125">
        <f t="shared" ref="P83:U83" si="30">EOMONTH(O83,12)</f>
        <v>46752</v>
      </c>
      <c r="Q83" s="125">
        <f t="shared" si="30"/>
        <v>47118</v>
      </c>
      <c r="R83" s="125">
        <f t="shared" si="30"/>
        <v>47483</v>
      </c>
      <c r="S83" s="125">
        <f t="shared" si="30"/>
        <v>47848</v>
      </c>
      <c r="T83" s="125">
        <f t="shared" si="30"/>
        <v>48213</v>
      </c>
      <c r="U83" s="125">
        <f t="shared" si="30"/>
        <v>48579</v>
      </c>
      <c r="V83" s="126" t="s">
        <v>48</v>
      </c>
    </row>
    <row r="84" spans="1:23" ht="15">
      <c r="G84" s="173"/>
      <c r="H84" s="173"/>
      <c r="I84" s="173"/>
      <c r="J84" s="173"/>
      <c r="V84" s="126" t="s">
        <v>48</v>
      </c>
    </row>
    <row r="85" spans="1:23" ht="15">
      <c r="C85" s="174" t="s">
        <v>100</v>
      </c>
      <c r="D85" s="175"/>
      <c r="E85" s="175"/>
      <c r="F85" s="175"/>
      <c r="G85" s="176">
        <v>12049.6</v>
      </c>
      <c r="H85" s="176">
        <v>14230.2</v>
      </c>
      <c r="I85" s="176">
        <v>18350.3</v>
      </c>
      <c r="J85" s="177"/>
      <c r="K85" s="176">
        <v>18456</v>
      </c>
      <c r="L85" s="175"/>
      <c r="M85" s="175"/>
      <c r="N85" s="178">
        <f t="shared" ref="N85:U85" si="31">N86+N91</f>
        <v>17851.641398196589</v>
      </c>
      <c r="O85" s="178">
        <f t="shared" ca="1" si="31"/>
        <v>18883.075100081824</v>
      </c>
      <c r="P85" s="178">
        <f t="shared" ca="1" si="31"/>
        <v>20566.882363176264</v>
      </c>
      <c r="Q85" s="178">
        <f t="shared" ca="1" si="31"/>
        <v>21843.540913265104</v>
      </c>
      <c r="R85" s="178">
        <f t="shared" ca="1" si="31"/>
        <v>22739.227112043503</v>
      </c>
      <c r="S85" s="178">
        <f t="shared" ca="1" si="31"/>
        <v>23913.769016558967</v>
      </c>
      <c r="T85" s="178">
        <f t="shared" ca="1" si="31"/>
        <v>25236.877425862389</v>
      </c>
      <c r="U85" s="178">
        <f t="shared" ca="1" si="31"/>
        <v>26618.755079858878</v>
      </c>
      <c r="V85" s="126" t="s">
        <v>48</v>
      </c>
    </row>
    <row r="86" spans="1:23" ht="15.75" thickBot="1">
      <c r="C86" s="179" t="s">
        <v>101</v>
      </c>
      <c r="D86" s="180"/>
      <c r="E86" s="180"/>
      <c r="F86" s="180"/>
      <c r="G86" s="181">
        <v>3516.2</v>
      </c>
      <c r="H86" s="181">
        <v>3346.1</v>
      </c>
      <c r="I86" s="181">
        <v>4112.3</v>
      </c>
      <c r="J86" s="182"/>
      <c r="K86" s="181">
        <v>3965.9</v>
      </c>
      <c r="L86" s="180"/>
      <c r="M86" s="180"/>
      <c r="N86" s="183">
        <f t="shared" ref="N86:U86" si="32">SUM(N87:N90)</f>
        <v>1089.6168583537747</v>
      </c>
      <c r="O86" s="183">
        <f t="shared" ca="1" si="32"/>
        <v>-258.53263084066907</v>
      </c>
      <c r="P86" s="183">
        <f t="shared" ca="1" si="32"/>
        <v>-678.64528602240716</v>
      </c>
      <c r="Q86" s="183">
        <f t="shared" ca="1" si="32"/>
        <v>-656.87944826486114</v>
      </c>
      <c r="R86" s="183">
        <f t="shared" ca="1" si="32"/>
        <v>-34.115700000912739</v>
      </c>
      <c r="S86" s="183">
        <f t="shared" ca="1" si="32"/>
        <v>1320.2945175290158</v>
      </c>
      <c r="T86" s="183">
        <f t="shared" ca="1" si="32"/>
        <v>3285.1582611318936</v>
      </c>
      <c r="U86" s="183">
        <f t="shared" ca="1" si="32"/>
        <v>5778.8619389728938</v>
      </c>
      <c r="V86" s="126" t="s">
        <v>48</v>
      </c>
    </row>
    <row r="87" spans="1:23" ht="15.75" thickTop="1">
      <c r="C87" t="s">
        <v>102</v>
      </c>
      <c r="G87" s="155">
        <v>1251.4000000000001</v>
      </c>
      <c r="H87" s="155">
        <v>1103.4000000000001</v>
      </c>
      <c r="I87" s="155">
        <v>1490.6</v>
      </c>
      <c r="J87" s="155"/>
      <c r="K87" s="155">
        <v>1059.2</v>
      </c>
      <c r="L87" s="184"/>
      <c r="M87" s="184"/>
      <c r="N87" s="163">
        <f>N186</f>
        <v>-252.66528978550377</v>
      </c>
      <c r="O87" s="163">
        <f t="shared" ref="O87:U87" ca="1" si="33">O186</f>
        <v>-1858.6252574698096</v>
      </c>
      <c r="P87" s="163">
        <f t="shared" ca="1" si="33"/>
        <v>-2530.4132486955659</v>
      </c>
      <c r="Q87" s="163">
        <f t="shared" ca="1" si="33"/>
        <v>-2746.2681748182094</v>
      </c>
      <c r="R87" s="163">
        <f t="shared" ca="1" si="33"/>
        <v>-2353.3088814246275</v>
      </c>
      <c r="S87" s="163">
        <f t="shared" ca="1" si="33"/>
        <v>-1219.2722355533519</v>
      </c>
      <c r="T87" s="163">
        <f t="shared" ca="1" si="33"/>
        <v>536.39401116981412</v>
      </c>
      <c r="U87" s="163">
        <f t="shared" ca="1" si="33"/>
        <v>2833.9601922300244</v>
      </c>
      <c r="V87" s="126" t="s">
        <v>48</v>
      </c>
      <c r="W87" t="s">
        <v>103</v>
      </c>
    </row>
    <row r="88" spans="1:23" ht="15">
      <c r="C88" t="s">
        <v>104</v>
      </c>
      <c r="G88" s="155">
        <v>1671.4</v>
      </c>
      <c r="H88" s="155">
        <v>1509.9</v>
      </c>
      <c r="I88" s="155">
        <v>1456.8</v>
      </c>
      <c r="J88" s="155"/>
      <c r="K88" s="155">
        <v>1673.3</v>
      </c>
      <c r="L88" s="184"/>
      <c r="M88" s="184"/>
      <c r="N88" s="155">
        <v>0</v>
      </c>
      <c r="O88" s="155">
        <v>0</v>
      </c>
      <c r="P88" s="155">
        <v>0</v>
      </c>
      <c r="Q88" s="155">
        <v>0</v>
      </c>
      <c r="R88" s="155">
        <v>0</v>
      </c>
      <c r="S88" s="155">
        <v>0</v>
      </c>
      <c r="T88" s="155">
        <v>0</v>
      </c>
      <c r="U88" s="155">
        <v>0</v>
      </c>
      <c r="V88" s="126" t="s">
        <v>48</v>
      </c>
      <c r="W88" t="s">
        <v>103</v>
      </c>
    </row>
    <row r="89" spans="1:23" ht="15">
      <c r="C89" t="s">
        <v>105</v>
      </c>
      <c r="G89" s="155">
        <v>271.7</v>
      </c>
      <c r="H89" s="155">
        <v>349</v>
      </c>
      <c r="I89" s="155">
        <v>554.1</v>
      </c>
      <c r="J89" s="155"/>
      <c r="K89" s="155">
        <v>631.20000000000005</v>
      </c>
      <c r="L89" s="184"/>
      <c r="M89" s="184"/>
      <c r="N89" s="185">
        <f>'Build-Up'!L302</f>
        <v>630.48524785951304</v>
      </c>
      <c r="O89" s="185">
        <f>'Build-Up'!M302</f>
        <v>751.58177265259576</v>
      </c>
      <c r="P89" s="185">
        <f>'Build-Up'!N302</f>
        <v>869.79655100288812</v>
      </c>
      <c r="Q89" s="185">
        <f>'Build-Up'!O302</f>
        <v>981.40973636726847</v>
      </c>
      <c r="R89" s="185">
        <f>'Build-Up'!P302</f>
        <v>1089.35151216233</v>
      </c>
      <c r="S89" s="185">
        <f>'Build-Up'!Q302</f>
        <v>1192.8634944542041</v>
      </c>
      <c r="T89" s="185">
        <f>'Build-Up'!R302</f>
        <v>1291.1259468414567</v>
      </c>
      <c r="U89" s="185">
        <f>'Build-Up'!S302</f>
        <v>1383.253968095263</v>
      </c>
      <c r="V89" s="126" t="s">
        <v>48</v>
      </c>
      <c r="W89" t="s">
        <v>106</v>
      </c>
    </row>
    <row r="90" spans="1:23" ht="15">
      <c r="C90" t="s">
        <v>97</v>
      </c>
      <c r="G90" s="155">
        <v>321.60000000000002</v>
      </c>
      <c r="H90" s="155">
        <v>383.8</v>
      </c>
      <c r="I90" s="155">
        <v>610.9</v>
      </c>
      <c r="J90" s="155"/>
      <c r="K90" s="155">
        <v>602.1</v>
      </c>
      <c r="L90" s="184"/>
      <c r="M90" s="184"/>
      <c r="N90" s="185">
        <f>'Build-Up'!L314</f>
        <v>711.7969002797654</v>
      </c>
      <c r="O90" s="185">
        <f>'Build-Up'!M314</f>
        <v>848.51085397654492</v>
      </c>
      <c r="P90" s="185">
        <f>'Build-Up'!N314</f>
        <v>981.97141167027075</v>
      </c>
      <c r="Q90" s="185">
        <f>'Build-Up'!O314</f>
        <v>1107.9789901860797</v>
      </c>
      <c r="R90" s="185">
        <f>'Build-Up'!P314</f>
        <v>1229.8416692613848</v>
      </c>
      <c r="S90" s="185">
        <f>'Build-Up'!Q314</f>
        <v>1346.7032586281637</v>
      </c>
      <c r="T90" s="185">
        <f>'Build-Up'!R314</f>
        <v>1457.6383031206228</v>
      </c>
      <c r="U90" s="185">
        <f>'Build-Up'!S314</f>
        <v>1561.6477786476057</v>
      </c>
      <c r="V90" s="126" t="s">
        <v>48</v>
      </c>
      <c r="W90" t="s">
        <v>106</v>
      </c>
    </row>
    <row r="91" spans="1:23" ht="15.75" thickBot="1">
      <c r="C91" s="179" t="s">
        <v>107</v>
      </c>
      <c r="D91" s="180"/>
      <c r="E91" s="180"/>
      <c r="F91" s="180"/>
      <c r="G91" s="181">
        <v>8533.4</v>
      </c>
      <c r="H91" s="181">
        <v>10884</v>
      </c>
      <c r="I91" s="181">
        <v>14238</v>
      </c>
      <c r="J91" s="186"/>
      <c r="K91" s="181">
        <v>14490</v>
      </c>
      <c r="L91" s="180"/>
      <c r="M91" s="180"/>
      <c r="N91" s="183">
        <f>SUM(N92:N101)</f>
        <v>16762.024539842816</v>
      </c>
      <c r="O91" s="183">
        <f t="shared" ref="O91:U91" si="34">SUM(O92:O101)</f>
        <v>19141.607730922493</v>
      </c>
      <c r="P91" s="183">
        <f t="shared" si="34"/>
        <v>21245.527649198673</v>
      </c>
      <c r="Q91" s="183">
        <f t="shared" si="34"/>
        <v>22500.420361529967</v>
      </c>
      <c r="R91" s="183">
        <f t="shared" si="34"/>
        <v>22773.342812044415</v>
      </c>
      <c r="S91" s="183">
        <f t="shared" si="34"/>
        <v>22593.474499029951</v>
      </c>
      <c r="T91" s="183">
        <f t="shared" si="34"/>
        <v>21951.719164730494</v>
      </c>
      <c r="U91" s="183">
        <f t="shared" si="34"/>
        <v>20839.893140885983</v>
      </c>
      <c r="V91" s="126" t="s">
        <v>48</v>
      </c>
    </row>
    <row r="92" spans="1:23" ht="15.75" thickTop="1">
      <c r="C92" t="s">
        <v>108</v>
      </c>
      <c r="G92" s="155">
        <v>52.5</v>
      </c>
      <c r="H92" s="155">
        <v>33.299999999999997</v>
      </c>
      <c r="I92" s="155">
        <v>6.1</v>
      </c>
      <c r="J92" s="155"/>
      <c r="K92" s="155">
        <v>14</v>
      </c>
      <c r="N92" s="185">
        <f>'Build-Up'!L308</f>
        <v>51.325040346313969</v>
      </c>
      <c r="O92" s="185">
        <f>'Build-Up'!M308</f>
        <v>61.182977612735606</v>
      </c>
      <c r="P92" s="185">
        <f>'Build-Up'!N308</f>
        <v>70.806324533155973</v>
      </c>
      <c r="Q92" s="185">
        <f>'Build-Up'!O308</f>
        <v>79.892264706150939</v>
      </c>
      <c r="R92" s="185">
        <f>'Build-Up'!P308</f>
        <v>88.679331519439458</v>
      </c>
      <c r="S92" s="185">
        <f>'Build-Up'!Q308</f>
        <v>97.105788261280935</v>
      </c>
      <c r="T92" s="185">
        <f>'Build-Up'!R308</f>
        <v>105.10490378448387</v>
      </c>
      <c r="U92" s="185">
        <f>'Build-Up'!S308</f>
        <v>112.60464215890384</v>
      </c>
      <c r="V92" s="126" t="s">
        <v>48</v>
      </c>
      <c r="W92" t="s">
        <v>106</v>
      </c>
    </row>
    <row r="93" spans="1:23" ht="15">
      <c r="C93" t="s">
        <v>104</v>
      </c>
      <c r="G93" s="155">
        <v>47.2</v>
      </c>
      <c r="H93" s="155">
        <v>84.2</v>
      </c>
      <c r="I93" s="155">
        <v>140.69999999999999</v>
      </c>
      <c r="J93" s="155"/>
      <c r="K93" s="155">
        <v>132.6</v>
      </c>
      <c r="N93" s="155">
        <v>0</v>
      </c>
      <c r="O93" s="155">
        <v>0</v>
      </c>
      <c r="P93" s="155">
        <v>0</v>
      </c>
      <c r="Q93" s="155">
        <v>0</v>
      </c>
      <c r="R93" s="155">
        <v>0</v>
      </c>
      <c r="S93" s="155">
        <v>0</v>
      </c>
      <c r="T93" s="155">
        <v>0</v>
      </c>
      <c r="U93" s="155">
        <v>0</v>
      </c>
      <c r="V93" s="126" t="s">
        <v>48</v>
      </c>
      <c r="W93" t="s">
        <v>103</v>
      </c>
    </row>
    <row r="94" spans="1:23" ht="15">
      <c r="C94" t="s">
        <v>109</v>
      </c>
      <c r="G94" s="155">
        <v>204.6</v>
      </c>
      <c r="H94" s="155">
        <v>798.3</v>
      </c>
      <c r="I94" s="155">
        <v>913.5</v>
      </c>
      <c r="J94" s="155"/>
      <c r="K94" s="155">
        <v>925.2</v>
      </c>
      <c r="N94" s="187">
        <f>I94</f>
        <v>913.5</v>
      </c>
      <c r="O94" s="163">
        <f>N94</f>
        <v>913.5</v>
      </c>
      <c r="P94" s="163">
        <f t="shared" ref="P94:R96" si="35">O94</f>
        <v>913.5</v>
      </c>
      <c r="Q94" s="163">
        <f t="shared" si="35"/>
        <v>913.5</v>
      </c>
      <c r="R94" s="163">
        <f t="shared" si="35"/>
        <v>913.5</v>
      </c>
      <c r="S94" s="163">
        <f t="shared" ref="S94:U96" si="36">R94</f>
        <v>913.5</v>
      </c>
      <c r="T94" s="163">
        <f t="shared" si="36"/>
        <v>913.5</v>
      </c>
      <c r="U94" s="163">
        <f t="shared" si="36"/>
        <v>913.5</v>
      </c>
      <c r="V94" s="126" t="s">
        <v>48</v>
      </c>
      <c r="W94" t="s">
        <v>110</v>
      </c>
    </row>
    <row r="95" spans="1:23" ht="15">
      <c r="C95" t="s">
        <v>111</v>
      </c>
      <c r="G95" s="155">
        <v>79.8</v>
      </c>
      <c r="H95" s="155">
        <v>100.9</v>
      </c>
      <c r="I95" s="155">
        <v>81.7</v>
      </c>
      <c r="J95" s="155"/>
      <c r="K95" s="155">
        <v>83.7</v>
      </c>
      <c r="N95" s="187">
        <f>I95</f>
        <v>81.7</v>
      </c>
      <c r="O95" s="163">
        <f>N95</f>
        <v>81.7</v>
      </c>
      <c r="P95" s="163">
        <f t="shared" si="35"/>
        <v>81.7</v>
      </c>
      <c r="Q95" s="163">
        <f t="shared" si="35"/>
        <v>81.7</v>
      </c>
      <c r="R95" s="163">
        <f t="shared" si="35"/>
        <v>81.7</v>
      </c>
      <c r="S95" s="163">
        <f t="shared" si="36"/>
        <v>81.7</v>
      </c>
      <c r="T95" s="163">
        <f t="shared" si="36"/>
        <v>81.7</v>
      </c>
      <c r="U95" s="163">
        <f t="shared" si="36"/>
        <v>81.7</v>
      </c>
      <c r="V95" s="126" t="s">
        <v>48</v>
      </c>
      <c r="W95" t="s">
        <v>110</v>
      </c>
    </row>
    <row r="96" spans="1:23" ht="15">
      <c r="C96" t="s">
        <v>112</v>
      </c>
      <c r="G96" s="155">
        <v>60.5</v>
      </c>
      <c r="H96" s="155">
        <v>73.3</v>
      </c>
      <c r="I96" s="155">
        <v>128.30000000000001</v>
      </c>
      <c r="J96" s="155"/>
      <c r="K96" s="155">
        <v>84.1</v>
      </c>
      <c r="N96" s="187">
        <f>I96</f>
        <v>128.30000000000001</v>
      </c>
      <c r="O96" s="163">
        <f>N96</f>
        <v>128.30000000000001</v>
      </c>
      <c r="P96" s="163">
        <f t="shared" si="35"/>
        <v>128.30000000000001</v>
      </c>
      <c r="Q96" s="163">
        <f t="shared" si="35"/>
        <v>128.30000000000001</v>
      </c>
      <c r="R96" s="163">
        <f t="shared" si="35"/>
        <v>128.30000000000001</v>
      </c>
      <c r="S96" s="163">
        <f t="shared" si="36"/>
        <v>128.30000000000001</v>
      </c>
      <c r="T96" s="163">
        <f t="shared" si="36"/>
        <v>128.30000000000001</v>
      </c>
      <c r="U96" s="163">
        <f t="shared" si="36"/>
        <v>128.30000000000001</v>
      </c>
      <c r="V96" s="126" t="s">
        <v>48</v>
      </c>
      <c r="W96" t="s">
        <v>110</v>
      </c>
    </row>
    <row r="97" spans="3:23" ht="15">
      <c r="C97" t="s">
        <v>113</v>
      </c>
      <c r="E97" s="188"/>
      <c r="G97" s="155">
        <v>3132</v>
      </c>
      <c r="H97" s="155">
        <v>4044.6</v>
      </c>
      <c r="I97" s="155">
        <v>5537.4</v>
      </c>
      <c r="J97" s="155"/>
      <c r="K97" s="155">
        <v>5774.3</v>
      </c>
      <c r="N97" s="185">
        <f>'Build-Up'!L325</f>
        <v>9986.393000852393</v>
      </c>
      <c r="O97" s="185">
        <f>'Build-Up'!M325</f>
        <v>11681.757205782276</v>
      </c>
      <c r="P97" s="185">
        <f>'Build-Up'!N325</f>
        <v>12995.623841511366</v>
      </c>
      <c r="Q97" s="185">
        <f>'Build-Up'!O325</f>
        <v>13899.940975092484</v>
      </c>
      <c r="R97" s="185">
        <f>'Build-Up'!P325</f>
        <v>14383.405495149964</v>
      </c>
      <c r="S97" s="185">
        <f>'Build-Up'!Q325</f>
        <v>14435.280879020465</v>
      </c>
      <c r="T97" s="185">
        <f>'Build-Up'!R325</f>
        <v>14045.480664067192</v>
      </c>
      <c r="U97" s="185">
        <f>'Build-Up'!S325</f>
        <v>13204.65811664765</v>
      </c>
      <c r="V97" s="126" t="s">
        <v>48</v>
      </c>
      <c r="W97" t="s">
        <v>114</v>
      </c>
    </row>
    <row r="98" spans="3:23" ht="15">
      <c r="C98" t="s">
        <v>115</v>
      </c>
      <c r="G98" s="155">
        <v>3067.4</v>
      </c>
      <c r="H98" s="155">
        <v>3755</v>
      </c>
      <c r="I98" s="155">
        <v>4934.2</v>
      </c>
      <c r="J98" s="155"/>
      <c r="K98" s="155">
        <v>5002.6000000000004</v>
      </c>
      <c r="N98" s="185">
        <f>'Build-Up'!L365</f>
        <v>5499.906498644109</v>
      </c>
      <c r="O98" s="185">
        <f>'Build-Up'!M365</f>
        <v>6174.2675475274791</v>
      </c>
      <c r="P98" s="185">
        <f>'Build-Up'!N365</f>
        <v>6954.6974831541502</v>
      </c>
      <c r="Q98" s="185">
        <f>'Build-Up'!O365</f>
        <v>7296.1871217313301</v>
      </c>
      <c r="R98" s="185">
        <f>'Build-Up'!P365</f>
        <v>7076.8579853750116</v>
      </c>
      <c r="S98" s="185">
        <f>'Build-Up'!Q365</f>
        <v>6836.6878317482051</v>
      </c>
      <c r="T98" s="185">
        <f>'Build-Up'!R365</f>
        <v>6576.7335968788157</v>
      </c>
      <c r="U98" s="185">
        <f>'Build-Up'!S365</f>
        <v>6298.2303820794268</v>
      </c>
      <c r="V98" s="126" t="s">
        <v>48</v>
      </c>
      <c r="W98" t="s">
        <v>114</v>
      </c>
    </row>
    <row r="99" spans="3:23" ht="15">
      <c r="C99" t="s">
        <v>116</v>
      </c>
      <c r="G99" s="155">
        <v>1412.5</v>
      </c>
      <c r="H99" s="155">
        <v>1913</v>
      </c>
      <c r="I99" s="155">
        <v>2395.1</v>
      </c>
      <c r="J99" s="155"/>
      <c r="K99" s="155">
        <v>2426.9</v>
      </c>
      <c r="N99" s="155">
        <v>0</v>
      </c>
      <c r="O99" s="155">
        <v>0</v>
      </c>
      <c r="P99" s="155">
        <v>0</v>
      </c>
      <c r="Q99" s="155">
        <v>0</v>
      </c>
      <c r="R99" s="155">
        <v>0</v>
      </c>
      <c r="S99" s="155">
        <v>0</v>
      </c>
      <c r="T99" s="155">
        <v>0</v>
      </c>
      <c r="U99" s="155">
        <v>0</v>
      </c>
      <c r="V99" s="126" t="s">
        <v>48</v>
      </c>
      <c r="W99" t="s">
        <v>114</v>
      </c>
    </row>
    <row r="100" spans="3:23" ht="15">
      <c r="C100" t="s">
        <v>117</v>
      </c>
      <c r="G100" s="155">
        <v>448</v>
      </c>
      <c r="H100" s="155">
        <v>40.9</v>
      </c>
      <c r="I100" s="155">
        <v>55.4</v>
      </c>
      <c r="J100" s="155"/>
      <c r="K100" s="155">
        <v>1</v>
      </c>
      <c r="N100" s="187">
        <f>I100</f>
        <v>55.4</v>
      </c>
      <c r="O100" s="163">
        <f>N100</f>
        <v>55.4</v>
      </c>
      <c r="P100" s="163">
        <f t="shared" ref="P100:R101" si="37">O100</f>
        <v>55.4</v>
      </c>
      <c r="Q100" s="163">
        <f t="shared" si="37"/>
        <v>55.4</v>
      </c>
      <c r="R100" s="163">
        <f t="shared" si="37"/>
        <v>55.4</v>
      </c>
      <c r="S100" s="163">
        <f t="shared" ref="S100:U101" si="38">R100</f>
        <v>55.4</v>
      </c>
      <c r="T100" s="163">
        <f t="shared" si="38"/>
        <v>55.4</v>
      </c>
      <c r="U100" s="163">
        <f t="shared" si="38"/>
        <v>55.4</v>
      </c>
      <c r="V100" s="126" t="s">
        <v>48</v>
      </c>
      <c r="W100" t="s">
        <v>110</v>
      </c>
    </row>
    <row r="101" spans="3:23" ht="15">
      <c r="C101" t="s">
        <v>118</v>
      </c>
      <c r="G101" s="155">
        <v>28.9</v>
      </c>
      <c r="H101" s="155">
        <v>40.5</v>
      </c>
      <c r="I101" s="155">
        <v>45.5</v>
      </c>
      <c r="J101" s="155"/>
      <c r="K101" s="155">
        <v>45.9</v>
      </c>
      <c r="N101" s="187">
        <f>I101</f>
        <v>45.5</v>
      </c>
      <c r="O101" s="163">
        <f>N101</f>
        <v>45.5</v>
      </c>
      <c r="P101" s="163">
        <f t="shared" si="37"/>
        <v>45.5</v>
      </c>
      <c r="Q101" s="163">
        <f t="shared" si="37"/>
        <v>45.5</v>
      </c>
      <c r="R101" s="163">
        <f t="shared" si="37"/>
        <v>45.5</v>
      </c>
      <c r="S101" s="163">
        <f t="shared" si="38"/>
        <v>45.5</v>
      </c>
      <c r="T101" s="163">
        <f t="shared" si="38"/>
        <v>45.5</v>
      </c>
      <c r="U101" s="163">
        <f t="shared" si="38"/>
        <v>45.5</v>
      </c>
      <c r="V101" s="126" t="s">
        <v>48</v>
      </c>
      <c r="W101" t="s">
        <v>110</v>
      </c>
    </row>
    <row r="102" spans="3:23" ht="15">
      <c r="C102" t="s">
        <v>22</v>
      </c>
      <c r="G102" s="155"/>
      <c r="H102" s="155"/>
      <c r="I102" s="155"/>
      <c r="J102" s="155"/>
      <c r="K102" s="155"/>
      <c r="N102" s="187"/>
      <c r="O102" s="163"/>
      <c r="P102" s="163"/>
      <c r="Q102" s="163"/>
      <c r="R102" s="163"/>
      <c r="S102" s="163"/>
      <c r="T102" s="163"/>
      <c r="U102" s="163"/>
      <c r="V102" s="126"/>
    </row>
    <row r="103" spans="3:23" ht="15">
      <c r="V103" s="126" t="s">
        <v>48</v>
      </c>
    </row>
    <row r="104" spans="3:23" ht="15">
      <c r="C104" s="174" t="s">
        <v>119</v>
      </c>
      <c r="D104" s="175"/>
      <c r="E104" s="175"/>
      <c r="F104" s="175"/>
      <c r="G104" s="176">
        <v>12049.6</v>
      </c>
      <c r="H104" s="176">
        <v>14230.2</v>
      </c>
      <c r="I104" s="176">
        <v>18350.3</v>
      </c>
      <c r="J104" s="176"/>
      <c r="K104" s="176">
        <v>18456</v>
      </c>
      <c r="L104" s="175"/>
      <c r="M104" s="175"/>
      <c r="N104" s="189">
        <f t="shared" ref="N104:U104" si="39">N105+N114+N119</f>
        <v>17851.945440085379</v>
      </c>
      <c r="O104" s="189">
        <f t="shared" ca="1" si="39"/>
        <v>18883.699777117439</v>
      </c>
      <c r="P104" s="189">
        <f t="shared" ca="1" si="39"/>
        <v>20567.84040825898</v>
      </c>
      <c r="Q104" s="189">
        <f t="shared" ca="1" si="39"/>
        <v>21844.843223618605</v>
      </c>
      <c r="R104" s="189">
        <f t="shared" ca="1" si="39"/>
        <v>22740.882722943112</v>
      </c>
      <c r="S104" s="189">
        <f t="shared" ca="1" si="39"/>
        <v>23915.78568839225</v>
      </c>
      <c r="T104" s="189">
        <f t="shared" ca="1" si="39"/>
        <v>25239.262032309831</v>
      </c>
      <c r="U104" s="189">
        <f t="shared" ca="1" si="39"/>
        <v>26621.513879948012</v>
      </c>
      <c r="V104" s="126" t="s">
        <v>48</v>
      </c>
    </row>
    <row r="105" spans="3:23" ht="15.75" thickBot="1">
      <c r="C105" s="179" t="s">
        <v>101</v>
      </c>
      <c r="D105" s="180"/>
      <c r="E105" s="180"/>
      <c r="F105" s="180"/>
      <c r="G105" s="181">
        <v>1746.4</v>
      </c>
      <c r="H105" s="181">
        <v>2244.1999999999998</v>
      </c>
      <c r="I105" s="181">
        <v>2791.7</v>
      </c>
      <c r="J105" s="181"/>
      <c r="K105" s="181">
        <v>2726.1</v>
      </c>
      <c r="L105" s="180"/>
      <c r="M105" s="180"/>
      <c r="N105" s="190">
        <f t="shared" ref="N105:U105" si="40">SUM(N106:N113)</f>
        <v>2699.3370261783548</v>
      </c>
      <c r="O105" s="190">
        <f t="shared" ca="1" si="40"/>
        <v>2962.7910648580323</v>
      </c>
      <c r="P105" s="190">
        <f t="shared" ca="1" si="40"/>
        <v>3300.0901771793315</v>
      </c>
      <c r="Q105" s="190">
        <f t="shared" ca="1" si="40"/>
        <v>3578.2987045964392</v>
      </c>
      <c r="R105" s="190">
        <f t="shared" ca="1" si="40"/>
        <v>3804.0494349440296</v>
      </c>
      <c r="S105" s="190">
        <f t="shared" ca="1" si="40"/>
        <v>4055.2622274963674</v>
      </c>
      <c r="T105" s="190">
        <f t="shared" ca="1" si="40"/>
        <v>4316.2190425006847</v>
      </c>
      <c r="U105" s="190">
        <f t="shared" ca="1" si="40"/>
        <v>4575.7735016139532</v>
      </c>
      <c r="V105" s="126" t="s">
        <v>48</v>
      </c>
    </row>
    <row r="106" spans="3:23" ht="15.75" thickTop="1">
      <c r="C106" t="s">
        <v>120</v>
      </c>
      <c r="G106" s="155">
        <v>488.2</v>
      </c>
      <c r="H106" s="155">
        <v>594.4</v>
      </c>
      <c r="I106" s="155">
        <v>759.7</v>
      </c>
      <c r="J106" s="155"/>
      <c r="K106" s="155">
        <v>831.2</v>
      </c>
      <c r="N106" s="185">
        <f>'Build-Up'!L408</f>
        <v>759.7</v>
      </c>
      <c r="O106" s="185">
        <f ca="1">'Build-Up'!M408</f>
        <v>864.78084820504739</v>
      </c>
      <c r="P106" s="185">
        <f ca="1">'Build-Up'!N408</f>
        <v>1011.4292759153834</v>
      </c>
      <c r="Q106" s="185">
        <f ca="1">'Build-Up'!O408</f>
        <v>1150.22988638676</v>
      </c>
      <c r="R106" s="185">
        <f ca="1">'Build-Up'!P408</f>
        <v>1284.4264059447062</v>
      </c>
      <c r="S106" s="185">
        <f ca="1">'Build-Up'!Q408</f>
        <v>1413.0705092170765</v>
      </c>
      <c r="T106" s="185">
        <f ca="1">'Build-Up'!R408</f>
        <v>1535.1374212556668</v>
      </c>
      <c r="U106" s="185">
        <f ca="1">'Build-Up'!S408</f>
        <v>1649.5211758036323</v>
      </c>
      <c r="V106" s="126" t="s">
        <v>48</v>
      </c>
      <c r="W106" t="s">
        <v>114</v>
      </c>
    </row>
    <row r="107" spans="3:23" ht="15">
      <c r="C107" t="s">
        <v>121</v>
      </c>
      <c r="G107" s="155">
        <v>449.7</v>
      </c>
      <c r="H107" s="155">
        <v>542.20000000000005</v>
      </c>
      <c r="I107" s="155">
        <v>649.79999999999995</v>
      </c>
      <c r="J107" s="155"/>
      <c r="K107" s="155">
        <v>684.1</v>
      </c>
      <c r="N107" s="185">
        <f>'Build-Up'!L1042</f>
        <v>584.54503421265031</v>
      </c>
      <c r="O107" s="185">
        <f>'Build-Up'!M1042</f>
        <v>574.59536198464832</v>
      </c>
      <c r="P107" s="185">
        <f>'Build-Up'!N1042</f>
        <v>599.44897962242953</v>
      </c>
      <c r="Q107" s="185">
        <f>'Build-Up'!O1042</f>
        <v>580.07548965054821</v>
      </c>
      <c r="R107" s="185">
        <f>'Build-Up'!P1042</f>
        <v>517.02226158708368</v>
      </c>
      <c r="S107" s="185">
        <f>'Build-Up'!Q1042</f>
        <v>490.15719325240013</v>
      </c>
      <c r="T107" s="185">
        <f>'Build-Up'!R1042</f>
        <v>485.86971395292079</v>
      </c>
      <c r="U107" s="185">
        <f>'Build-Up'!S1042</f>
        <v>495.29031750268678</v>
      </c>
      <c r="V107" s="126" t="s">
        <v>48</v>
      </c>
      <c r="W107" t="s">
        <v>114</v>
      </c>
    </row>
    <row r="108" spans="3:23" ht="15">
      <c r="C108" t="s">
        <v>122</v>
      </c>
      <c r="G108" s="155">
        <v>241.2</v>
      </c>
      <c r="H108" s="155">
        <v>399.2</v>
      </c>
      <c r="I108" s="155">
        <v>441.9</v>
      </c>
      <c r="J108" s="155"/>
      <c r="K108" s="155">
        <v>496.6</v>
      </c>
      <c r="N108" s="185">
        <f>'Build-Up'!L305</f>
        <v>510.19981659492788</v>
      </c>
      <c r="O108" s="185">
        <f ca="1">'Build-Up'!M305</f>
        <v>618.84792441564298</v>
      </c>
      <c r="P108" s="185">
        <f ca="1">'Build-Up'!N305</f>
        <v>726.3887742723399</v>
      </c>
      <c r="Q108" s="185">
        <f ca="1">'Build-Up'!O305</f>
        <v>830.17528327235959</v>
      </c>
      <c r="R108" s="185">
        <f ca="1">'Build-Up'!P305</f>
        <v>931.57822641306893</v>
      </c>
      <c r="S108" s="185">
        <f ca="1">'Build-Up'!Q305</f>
        <v>1029.9697183585417</v>
      </c>
      <c r="T108" s="185">
        <f ca="1">'Build-Up'!R305</f>
        <v>1124.6689971244623</v>
      </c>
      <c r="U108" s="185">
        <f ca="1">'Build-Up'!S305</f>
        <v>1214.9390644724122</v>
      </c>
      <c r="V108" s="126" t="s">
        <v>48</v>
      </c>
      <c r="W108" t="s">
        <v>106</v>
      </c>
    </row>
    <row r="109" spans="3:23" ht="15">
      <c r="C109" t="s">
        <v>123</v>
      </c>
      <c r="G109" s="155">
        <v>228.4</v>
      </c>
      <c r="H109" s="155">
        <v>206.1</v>
      </c>
      <c r="I109" s="155">
        <v>216.3</v>
      </c>
      <c r="J109" s="155"/>
      <c r="K109" s="155">
        <v>215</v>
      </c>
      <c r="N109" s="187">
        <f>I109</f>
        <v>216.3</v>
      </c>
      <c r="O109" s="163">
        <f>N109</f>
        <v>216.3</v>
      </c>
      <c r="P109" s="163">
        <f t="shared" ref="P109:R112" si="41">O109</f>
        <v>216.3</v>
      </c>
      <c r="Q109" s="163">
        <f t="shared" si="41"/>
        <v>216.3</v>
      </c>
      <c r="R109" s="163">
        <f t="shared" si="41"/>
        <v>216.3</v>
      </c>
      <c r="S109" s="163">
        <f>R109</f>
        <v>216.3</v>
      </c>
      <c r="T109" s="163">
        <f>S109</f>
        <v>216.3</v>
      </c>
      <c r="U109" s="163">
        <f>T109</f>
        <v>216.3</v>
      </c>
      <c r="V109" s="126" t="s">
        <v>48</v>
      </c>
      <c r="W109" t="s">
        <v>110</v>
      </c>
    </row>
    <row r="110" spans="3:23" ht="15">
      <c r="C110" t="s">
        <v>124</v>
      </c>
      <c r="G110" s="155">
        <v>72.400000000000006</v>
      </c>
      <c r="H110" s="155">
        <v>96</v>
      </c>
      <c r="I110" s="155">
        <v>135.5</v>
      </c>
      <c r="J110" s="155"/>
      <c r="K110" s="155">
        <v>174.2</v>
      </c>
      <c r="N110" s="185">
        <f>'Build-Up'!L311</f>
        <v>169.35038158202354</v>
      </c>
      <c r="O110" s="185">
        <f>'Build-Up'!M311</f>
        <v>199.99551833893545</v>
      </c>
      <c r="P110" s="185">
        <f>'Build-Up'!N311</f>
        <v>229.91293813563885</v>
      </c>
      <c r="Q110" s="185">
        <f>'Build-Up'!O311</f>
        <v>258.15159218595585</v>
      </c>
      <c r="R110" s="185">
        <f>'Build-Up'!P311</f>
        <v>285.47996522332608</v>
      </c>
      <c r="S110" s="185">
        <f>'Build-Up'!Q311</f>
        <v>311.70803145589826</v>
      </c>
      <c r="T110" s="185">
        <f>'Build-Up'!R311</f>
        <v>336.63036839869147</v>
      </c>
      <c r="U110" s="185">
        <f>'Build-Up'!S311</f>
        <v>360.02519953730371</v>
      </c>
      <c r="V110" s="126" t="s">
        <v>48</v>
      </c>
      <c r="W110" t="s">
        <v>106</v>
      </c>
    </row>
    <row r="111" spans="3:23" ht="15">
      <c r="C111" t="s">
        <v>125</v>
      </c>
      <c r="G111" s="155">
        <v>75.8</v>
      </c>
      <c r="H111" s="155">
        <v>216.2</v>
      </c>
      <c r="I111" s="155">
        <v>289.60000000000002</v>
      </c>
      <c r="J111" s="155"/>
      <c r="K111" s="155">
        <v>233.1</v>
      </c>
      <c r="N111" s="187">
        <f>I111</f>
        <v>289.60000000000002</v>
      </c>
      <c r="O111" s="163">
        <f>N111</f>
        <v>289.60000000000002</v>
      </c>
      <c r="P111" s="163">
        <f t="shared" si="41"/>
        <v>289.60000000000002</v>
      </c>
      <c r="Q111" s="163">
        <f t="shared" si="41"/>
        <v>289.60000000000002</v>
      </c>
      <c r="R111" s="163">
        <f t="shared" si="41"/>
        <v>289.60000000000002</v>
      </c>
      <c r="S111" s="163">
        <f t="shared" ref="S111:U112" si="42">R111</f>
        <v>289.60000000000002</v>
      </c>
      <c r="T111" s="163">
        <f t="shared" si="42"/>
        <v>289.60000000000002</v>
      </c>
      <c r="U111" s="163">
        <f t="shared" si="42"/>
        <v>289.60000000000002</v>
      </c>
      <c r="V111" s="126" t="s">
        <v>48</v>
      </c>
      <c r="W111" t="s">
        <v>110</v>
      </c>
    </row>
    <row r="112" spans="3:23" ht="15">
      <c r="C112" t="s">
        <v>126</v>
      </c>
      <c r="G112" s="155">
        <v>149.1</v>
      </c>
      <c r="H112" s="155">
        <v>185.3</v>
      </c>
      <c r="I112" s="155">
        <v>18.5</v>
      </c>
      <c r="J112" s="155"/>
      <c r="K112" s="155">
        <v>22.2</v>
      </c>
      <c r="N112" s="185">
        <f>I112</f>
        <v>18.5</v>
      </c>
      <c r="O112" s="185">
        <f>N112</f>
        <v>18.5</v>
      </c>
      <c r="P112" s="185">
        <f t="shared" si="41"/>
        <v>18.5</v>
      </c>
      <c r="Q112" s="185">
        <f t="shared" si="41"/>
        <v>18.5</v>
      </c>
      <c r="R112" s="185">
        <f t="shared" si="41"/>
        <v>18.5</v>
      </c>
      <c r="S112" s="185">
        <f t="shared" si="42"/>
        <v>18.5</v>
      </c>
      <c r="T112" s="185">
        <f t="shared" si="42"/>
        <v>18.5</v>
      </c>
      <c r="U112" s="185">
        <f t="shared" si="42"/>
        <v>18.5</v>
      </c>
      <c r="V112" s="126" t="s">
        <v>48</v>
      </c>
      <c r="W112" t="s">
        <v>110</v>
      </c>
    </row>
    <row r="113" spans="3:23" ht="15">
      <c r="C113" t="s">
        <v>97</v>
      </c>
      <c r="G113" s="155">
        <v>41.6</v>
      </c>
      <c r="H113" s="155">
        <v>4.9000000000000004</v>
      </c>
      <c r="I113" s="155">
        <v>280.39999999999998</v>
      </c>
      <c r="J113" s="155"/>
      <c r="K113" s="155">
        <v>69.7</v>
      </c>
      <c r="N113" s="185">
        <f>'Build-Up'!L317</f>
        <v>151.14179378875306</v>
      </c>
      <c r="O113" s="185">
        <f>'Build-Up'!M317</f>
        <v>180.17141191375796</v>
      </c>
      <c r="P113" s="185">
        <f>'Build-Up'!N317</f>
        <v>208.51020923353963</v>
      </c>
      <c r="Q113" s="185">
        <f>'Build-Up'!O317</f>
        <v>235.26645310081554</v>
      </c>
      <c r="R113" s="185">
        <f>'Build-Up'!P317</f>
        <v>261.14257577584482</v>
      </c>
      <c r="S113" s="185">
        <f>'Build-Up'!Q317</f>
        <v>285.95677521245022</v>
      </c>
      <c r="T113" s="185">
        <f>'Build-Up'!R317</f>
        <v>309.51254176894309</v>
      </c>
      <c r="U113" s="185">
        <f>'Build-Up'!S317</f>
        <v>331.59774429791861</v>
      </c>
      <c r="V113" s="126" t="s">
        <v>48</v>
      </c>
      <c r="W113" t="s">
        <v>106</v>
      </c>
    </row>
    <row r="114" spans="3:23" ht="15.75" thickBot="1">
      <c r="C114" s="179" t="s">
        <v>127</v>
      </c>
      <c r="D114" s="180"/>
      <c r="E114" s="180"/>
      <c r="F114" s="180"/>
      <c r="G114" s="181">
        <v>6095</v>
      </c>
      <c r="H114" s="181">
        <v>6890.3</v>
      </c>
      <c r="I114" s="181">
        <v>10086.9</v>
      </c>
      <c r="J114" s="181"/>
      <c r="K114" s="181">
        <v>10074.4</v>
      </c>
      <c r="L114" s="180"/>
      <c r="M114" s="180"/>
      <c r="N114" s="190">
        <f>SUM(N115:N118)</f>
        <v>9609.7096776507533</v>
      </c>
      <c r="O114" s="190">
        <f t="shared" ref="O114:U114" ca="1" si="43">SUM(O115:O118)</f>
        <v>10249.985867050027</v>
      </c>
      <c r="P114" s="190">
        <f t="shared" ca="1" si="43"/>
        <v>11426.769302178573</v>
      </c>
      <c r="Q114" s="190">
        <f t="shared" ca="1" si="43"/>
        <v>12226.94981121128</v>
      </c>
      <c r="R114" s="190">
        <f t="shared" ca="1" si="43"/>
        <v>12676.539422826934</v>
      </c>
      <c r="S114" s="190">
        <f t="shared" ca="1" si="43"/>
        <v>13353.031322210338</v>
      </c>
      <c r="T114" s="190">
        <f t="shared" ca="1" si="43"/>
        <v>14149.962726317328</v>
      </c>
      <c r="U114" s="190">
        <f t="shared" ca="1" si="43"/>
        <v>14994.982674466533</v>
      </c>
      <c r="V114" s="126" t="s">
        <v>48</v>
      </c>
    </row>
    <row r="115" spans="3:23" ht="15.75" thickTop="1">
      <c r="C115" t="s">
        <v>120</v>
      </c>
      <c r="G115" s="155">
        <v>2931.7</v>
      </c>
      <c r="H115" s="155">
        <v>3225.5</v>
      </c>
      <c r="I115" s="155">
        <v>5154.8999999999996</v>
      </c>
      <c r="J115" s="155"/>
      <c r="K115" s="155">
        <v>5121.2</v>
      </c>
      <c r="N115" s="185">
        <f>'Build-Up'!L410</f>
        <v>5154.8999999999996</v>
      </c>
      <c r="O115" s="185">
        <f ca="1">'Build-Up'!M410</f>
        <v>5867.9199610533087</v>
      </c>
      <c r="P115" s="185">
        <f ca="1">'Build-Up'!N410</f>
        <v>6862.9943061948261</v>
      </c>
      <c r="Q115" s="185">
        <f ca="1">'Build-Up'!O410</f>
        <v>7804.8177456036701</v>
      </c>
      <c r="R115" s="185">
        <f ca="1">'Build-Up'!P410</f>
        <v>8715.4003948984682</v>
      </c>
      <c r="S115" s="185">
        <f ca="1">'Build-Up'!Q410</f>
        <v>9588.3074476281527</v>
      </c>
      <c r="T115" s="185">
        <f ca="1">'Build-Up'!R410</f>
        <v>10416.585353206314</v>
      </c>
      <c r="U115" s="185">
        <f ca="1">'Build-Up'!S410</f>
        <v>11192.72964216157</v>
      </c>
      <c r="V115" s="126" t="s">
        <v>48</v>
      </c>
      <c r="W115" t="s">
        <v>114</v>
      </c>
    </row>
    <row r="116" spans="3:23" ht="15">
      <c r="C116" t="s">
        <v>121</v>
      </c>
      <c r="G116" s="155">
        <v>2879.8</v>
      </c>
      <c r="H116" s="155">
        <v>3565.2</v>
      </c>
      <c r="I116" s="155">
        <v>4750.8</v>
      </c>
      <c r="J116" s="155"/>
      <c r="K116" s="155">
        <v>4813.3999999999996</v>
      </c>
      <c r="N116" s="185">
        <f>'Build-Up'!L1044</f>
        <v>4273.7096776507533</v>
      </c>
      <c r="O116" s="185">
        <f>'Build-Up'!M1044</f>
        <v>4200.965905996718</v>
      </c>
      <c r="P116" s="185">
        <f>'Build-Up'!N1044</f>
        <v>4382.6749959837471</v>
      </c>
      <c r="Q116" s="185">
        <f>'Build-Up'!O1044</f>
        <v>4241.0320656076092</v>
      </c>
      <c r="R116" s="185">
        <f>'Build-Up'!P1044</f>
        <v>3780.0390279284661</v>
      </c>
      <c r="S116" s="185">
        <f>'Build-Up'!Q1044</f>
        <v>3583.6238745821838</v>
      </c>
      <c r="T116" s="185">
        <f>'Build-Up'!R1044</f>
        <v>3552.2773731110133</v>
      </c>
      <c r="U116" s="185">
        <f>'Build-Up'!S1044</f>
        <v>3621.1530323049624</v>
      </c>
      <c r="V116" s="126" t="s">
        <v>48</v>
      </c>
      <c r="W116" t="s">
        <v>114</v>
      </c>
    </row>
    <row r="117" spans="3:23" ht="15">
      <c r="C117" t="s">
        <v>126</v>
      </c>
      <c r="G117" s="155">
        <v>199.2</v>
      </c>
      <c r="H117" s="155">
        <v>24.3</v>
      </c>
      <c r="I117" s="155">
        <v>94.2</v>
      </c>
      <c r="J117" s="155"/>
      <c r="K117" s="155">
        <v>42.1</v>
      </c>
      <c r="N117" s="187">
        <f>I117</f>
        <v>94.2</v>
      </c>
      <c r="O117" s="163">
        <f>N117</f>
        <v>94.2</v>
      </c>
      <c r="P117" s="163">
        <f t="shared" ref="P117:R118" si="44">O117</f>
        <v>94.2</v>
      </c>
      <c r="Q117" s="163">
        <f t="shared" si="44"/>
        <v>94.2</v>
      </c>
      <c r="R117" s="163">
        <f t="shared" si="44"/>
        <v>94.2</v>
      </c>
      <c r="S117" s="163">
        <f t="shared" ref="S117:U118" si="45">R117</f>
        <v>94.2</v>
      </c>
      <c r="T117" s="163">
        <f t="shared" si="45"/>
        <v>94.2</v>
      </c>
      <c r="U117" s="163">
        <f t="shared" si="45"/>
        <v>94.2</v>
      </c>
      <c r="V117" s="126" t="s">
        <v>48</v>
      </c>
      <c r="W117" t="s">
        <v>110</v>
      </c>
    </row>
    <row r="118" spans="3:23" ht="15">
      <c r="C118" t="s">
        <v>97</v>
      </c>
      <c r="G118" s="155">
        <v>84.4</v>
      </c>
      <c r="H118" s="155">
        <v>75.3</v>
      </c>
      <c r="I118" s="155">
        <v>86.9</v>
      </c>
      <c r="J118" s="155"/>
      <c r="K118" s="155">
        <v>97.7</v>
      </c>
      <c r="N118" s="187">
        <f>I118</f>
        <v>86.9</v>
      </c>
      <c r="O118" s="163">
        <f>N118</f>
        <v>86.9</v>
      </c>
      <c r="P118" s="163">
        <f t="shared" si="44"/>
        <v>86.9</v>
      </c>
      <c r="Q118" s="163">
        <f t="shared" si="44"/>
        <v>86.9</v>
      </c>
      <c r="R118" s="163">
        <f t="shared" si="44"/>
        <v>86.9</v>
      </c>
      <c r="S118" s="163">
        <f t="shared" si="45"/>
        <v>86.9</v>
      </c>
      <c r="T118" s="163">
        <f t="shared" si="45"/>
        <v>86.9</v>
      </c>
      <c r="U118" s="163">
        <f t="shared" si="45"/>
        <v>86.9</v>
      </c>
      <c r="V118" s="126" t="s">
        <v>48</v>
      </c>
      <c r="W118" t="s">
        <v>110</v>
      </c>
    </row>
    <row r="119" spans="3:23" ht="15.75" thickBot="1">
      <c r="C119" s="179" t="s">
        <v>128</v>
      </c>
      <c r="D119" s="180"/>
      <c r="E119" s="180"/>
      <c r="F119" s="180"/>
      <c r="G119" s="181">
        <v>4208.1000000000004</v>
      </c>
      <c r="H119" s="181">
        <v>5095.6000000000004</v>
      </c>
      <c r="I119" s="181">
        <v>5471.8</v>
      </c>
      <c r="J119" s="181"/>
      <c r="K119" s="181">
        <v>5655.5</v>
      </c>
      <c r="L119" s="180"/>
      <c r="M119" s="180"/>
      <c r="N119" s="190">
        <f t="shared" ref="N119:U119" si="46">SUM(N120:N125)</f>
        <v>5542.8987362562721</v>
      </c>
      <c r="O119" s="190">
        <f t="shared" ca="1" si="46"/>
        <v>5670.9228452093794</v>
      </c>
      <c r="P119" s="190">
        <f t="shared" ca="1" si="46"/>
        <v>5840.9809289010782</v>
      </c>
      <c r="Q119" s="190">
        <f t="shared" ca="1" si="46"/>
        <v>6039.5947078108866</v>
      </c>
      <c r="R119" s="190">
        <f t="shared" ca="1" si="46"/>
        <v>6260.293865172147</v>
      </c>
      <c r="S119" s="190">
        <f t="shared" ca="1" si="46"/>
        <v>6507.492138685544</v>
      </c>
      <c r="T119" s="190">
        <f t="shared" ca="1" si="46"/>
        <v>6773.0802634918164</v>
      </c>
      <c r="U119" s="190">
        <f t="shared" ca="1" si="46"/>
        <v>7050.7577038675272</v>
      </c>
      <c r="V119" s="126" t="s">
        <v>48</v>
      </c>
    </row>
    <row r="120" spans="3:23" ht="15.75" thickTop="1">
      <c r="C120" t="s">
        <v>129</v>
      </c>
      <c r="G120" s="155">
        <v>2970.4</v>
      </c>
      <c r="H120" s="155">
        <v>2970.4</v>
      </c>
      <c r="I120" s="155">
        <v>2970.4</v>
      </c>
      <c r="J120" s="155"/>
      <c r="K120" s="155">
        <v>3147.7</v>
      </c>
      <c r="N120" s="187">
        <f>I120</f>
        <v>2970.4</v>
      </c>
      <c r="O120" s="163">
        <f t="shared" ref="O120:O125" si="47">N120</f>
        <v>2970.4</v>
      </c>
      <c r="P120" s="163">
        <f t="shared" ref="P120:U121" si="48">O120</f>
        <v>2970.4</v>
      </c>
      <c r="Q120" s="163">
        <f t="shared" si="48"/>
        <v>2970.4</v>
      </c>
      <c r="R120" s="163">
        <f t="shared" si="48"/>
        <v>2970.4</v>
      </c>
      <c r="S120" s="163">
        <f t="shared" si="48"/>
        <v>2970.4</v>
      </c>
      <c r="T120" s="163">
        <f t="shared" si="48"/>
        <v>2970.4</v>
      </c>
      <c r="U120" s="163">
        <f t="shared" si="48"/>
        <v>2970.4</v>
      </c>
      <c r="V120" s="126" t="s">
        <v>48</v>
      </c>
      <c r="W120" t="s">
        <v>110</v>
      </c>
    </row>
    <row r="121" spans="3:23" ht="15">
      <c r="C121" t="s">
        <v>130</v>
      </c>
      <c r="G121" s="155">
        <v>2297.6</v>
      </c>
      <c r="H121" s="155">
        <v>953.4</v>
      </c>
      <c r="I121" s="155">
        <v>847.6</v>
      </c>
      <c r="J121" s="155"/>
      <c r="K121" s="155">
        <v>850.8</v>
      </c>
      <c r="N121" s="187">
        <f>I121</f>
        <v>847.6</v>
      </c>
      <c r="O121" s="163">
        <f t="shared" si="47"/>
        <v>847.6</v>
      </c>
      <c r="P121" s="163">
        <f t="shared" si="48"/>
        <v>847.6</v>
      </c>
      <c r="Q121" s="163">
        <f t="shared" si="48"/>
        <v>847.6</v>
      </c>
      <c r="R121" s="163">
        <f t="shared" si="48"/>
        <v>847.6</v>
      </c>
      <c r="S121" s="163">
        <f t="shared" si="48"/>
        <v>847.6</v>
      </c>
      <c r="T121" s="163">
        <f t="shared" si="48"/>
        <v>847.6</v>
      </c>
      <c r="U121" s="163">
        <f t="shared" si="48"/>
        <v>847.6</v>
      </c>
      <c r="V121" s="126" t="s">
        <v>48</v>
      </c>
      <c r="W121" t="s">
        <v>110</v>
      </c>
    </row>
    <row r="122" spans="3:23" ht="15">
      <c r="C122" t="s">
        <v>131</v>
      </c>
      <c r="G122" s="155">
        <v>-1375.8</v>
      </c>
      <c r="H122" s="155">
        <v>770.6</v>
      </c>
      <c r="I122" s="155">
        <v>898.5</v>
      </c>
      <c r="J122" s="155"/>
      <c r="K122" s="155">
        <v>1098.8</v>
      </c>
      <c r="N122" s="185">
        <f>I122+N67+'Build-Up'!L1084</f>
        <v>969.59873625627301</v>
      </c>
      <c r="O122" s="185">
        <f ca="1">N122+O67+'Build-Up'!M1084</f>
        <v>1097.6228452093796</v>
      </c>
      <c r="P122" s="185">
        <f ca="1">O122+P67+'Build-Up'!N1084</f>
        <v>1267.6809289010789</v>
      </c>
      <c r="Q122" s="185">
        <f ca="1">P122+Q67+'Build-Up'!O1084</f>
        <v>1466.2947078108875</v>
      </c>
      <c r="R122" s="185">
        <f ca="1">Q122+R67+'Build-Up'!P1084</f>
        <v>1686.9938651721473</v>
      </c>
      <c r="S122" s="185">
        <f ca="1">R122+S67+'Build-Up'!Q1084</f>
        <v>1934.1921386855452</v>
      </c>
      <c r="T122" s="185">
        <f ca="1">S122+T67+'Build-Up'!R1084</f>
        <v>2199.7802634918171</v>
      </c>
      <c r="U122" s="185">
        <f ca="1">T122+U67+'Build-Up'!S1084</f>
        <v>2477.4577038675279</v>
      </c>
      <c r="V122" s="126" t="s">
        <v>48</v>
      </c>
      <c r="W122" t="s">
        <v>132</v>
      </c>
    </row>
    <row r="123" spans="3:23" ht="15">
      <c r="C123" t="s">
        <v>133</v>
      </c>
      <c r="G123" s="155">
        <v>294.2</v>
      </c>
      <c r="H123" s="155">
        <v>373.8</v>
      </c>
      <c r="I123" s="155">
        <v>739.4</v>
      </c>
      <c r="J123" s="155"/>
      <c r="K123" s="155">
        <v>542</v>
      </c>
      <c r="N123" s="187">
        <f>I123</f>
        <v>739.4</v>
      </c>
      <c r="O123" s="163">
        <f t="shared" si="47"/>
        <v>739.4</v>
      </c>
      <c r="P123" s="163">
        <f t="shared" ref="P123:U125" si="49">O123</f>
        <v>739.4</v>
      </c>
      <c r="Q123" s="163">
        <f t="shared" si="49"/>
        <v>739.4</v>
      </c>
      <c r="R123" s="163">
        <f t="shared" si="49"/>
        <v>739.4</v>
      </c>
      <c r="S123" s="163">
        <f t="shared" si="49"/>
        <v>739.4</v>
      </c>
      <c r="T123" s="163">
        <f t="shared" si="49"/>
        <v>739.4</v>
      </c>
      <c r="U123" s="163">
        <f t="shared" si="49"/>
        <v>739.4</v>
      </c>
      <c r="V123" s="126" t="s">
        <v>48</v>
      </c>
      <c r="W123" t="s">
        <v>110</v>
      </c>
    </row>
    <row r="124" spans="3:23" ht="15">
      <c r="C124" t="s">
        <v>134</v>
      </c>
      <c r="G124" s="155">
        <v>21.7</v>
      </c>
      <c r="H124" s="155">
        <v>27.4</v>
      </c>
      <c r="I124" s="155">
        <v>15.9</v>
      </c>
      <c r="J124" s="155"/>
      <c r="K124" s="155">
        <v>16.2</v>
      </c>
      <c r="N124" s="187">
        <f>I124</f>
        <v>15.9</v>
      </c>
      <c r="O124" s="163">
        <f t="shared" si="47"/>
        <v>15.9</v>
      </c>
      <c r="P124" s="163">
        <f t="shared" si="49"/>
        <v>15.9</v>
      </c>
      <c r="Q124" s="163">
        <f t="shared" si="49"/>
        <v>15.9</v>
      </c>
      <c r="R124" s="163">
        <f t="shared" si="49"/>
        <v>15.9</v>
      </c>
      <c r="S124" s="163">
        <f t="shared" si="49"/>
        <v>15.9</v>
      </c>
      <c r="T124" s="163">
        <f t="shared" si="49"/>
        <v>15.9</v>
      </c>
      <c r="U124" s="163">
        <f t="shared" si="49"/>
        <v>15.9</v>
      </c>
      <c r="V124" s="126" t="s">
        <v>48</v>
      </c>
      <c r="W124" t="s">
        <v>110</v>
      </c>
    </row>
    <row r="125" spans="3:23" ht="15">
      <c r="C125" t="s">
        <v>97</v>
      </c>
      <c r="G125" s="155">
        <v>0</v>
      </c>
      <c r="H125" s="155">
        <v>0</v>
      </c>
      <c r="I125" s="155">
        <v>0</v>
      </c>
      <c r="J125" s="155"/>
      <c r="K125" s="155">
        <v>0</v>
      </c>
      <c r="N125" s="187">
        <f>I125</f>
        <v>0</v>
      </c>
      <c r="O125" s="163">
        <f t="shared" si="47"/>
        <v>0</v>
      </c>
      <c r="P125" s="163">
        <f t="shared" si="49"/>
        <v>0</v>
      </c>
      <c r="Q125" s="163">
        <f t="shared" si="49"/>
        <v>0</v>
      </c>
      <c r="R125" s="163">
        <f t="shared" si="49"/>
        <v>0</v>
      </c>
      <c r="S125" s="163">
        <f t="shared" si="49"/>
        <v>0</v>
      </c>
      <c r="T125" s="163">
        <f t="shared" si="49"/>
        <v>0</v>
      </c>
      <c r="U125" s="163">
        <f t="shared" si="49"/>
        <v>0</v>
      </c>
      <c r="V125" s="126" t="s">
        <v>48</v>
      </c>
      <c r="W125" t="s">
        <v>110</v>
      </c>
    </row>
    <row r="126" spans="3:23" ht="15">
      <c r="G126" s="155"/>
      <c r="H126" s="155"/>
      <c r="I126" s="155"/>
      <c r="J126" s="155"/>
      <c r="K126" s="155"/>
      <c r="V126" s="126" t="s">
        <v>48</v>
      </c>
    </row>
    <row r="127" spans="3:23" ht="15">
      <c r="C127" t="s">
        <v>17</v>
      </c>
      <c r="G127" s="141" t="str">
        <f>IF(G85=G104,"Ok",G85-G104)</f>
        <v>Ok</v>
      </c>
      <c r="H127" s="141" t="str">
        <f>IF(H85=H104,"Ok",H85-H104)</f>
        <v>Ok</v>
      </c>
      <c r="I127" s="141" t="str">
        <f>IF(I85=I104,"Ok",I85-I104)</f>
        <v>Ok</v>
      </c>
      <c r="J127" s="141"/>
      <c r="K127" s="141" t="str">
        <f>IF(K85=K104,"Ok",K85-K104)</f>
        <v>Ok</v>
      </c>
      <c r="N127" s="604">
        <f t="shared" ref="N127:U127" si="50">IF(N85=N104,"Ok",N85-N104)</f>
        <v>-0.30404188879037974</v>
      </c>
      <c r="O127" s="604">
        <f t="shared" ca="1" si="50"/>
        <v>-0.62467703561560484</v>
      </c>
      <c r="P127" s="604">
        <f t="shared" ca="1" si="50"/>
        <v>-0.95804508271612576</v>
      </c>
      <c r="Q127" s="604">
        <f t="shared" ca="1" si="50"/>
        <v>-1.3023103535015252</v>
      </c>
      <c r="R127" s="604">
        <f t="shared" ca="1" si="50"/>
        <v>-1.6556108996082912</v>
      </c>
      <c r="S127" s="604">
        <f t="shared" ca="1" si="50"/>
        <v>-2.0166718332839082</v>
      </c>
      <c r="T127" s="604">
        <f t="shared" ca="1" si="50"/>
        <v>-2.3846064474419109</v>
      </c>
      <c r="U127" s="604">
        <f t="shared" ca="1" si="50"/>
        <v>-2.7588000891337288</v>
      </c>
      <c r="V127" s="126" t="s">
        <v>48</v>
      </c>
    </row>
    <row r="128" spans="3:23" ht="15">
      <c r="O128" s="604"/>
      <c r="P128" s="604"/>
      <c r="Q128" s="604"/>
      <c r="R128" s="604"/>
      <c r="S128" s="604"/>
      <c r="T128" s="604"/>
      <c r="U128" s="604"/>
      <c r="V128" s="126" t="s">
        <v>48</v>
      </c>
    </row>
    <row r="129" spans="1:22" ht="15">
      <c r="A129" s="111" t="s">
        <v>56</v>
      </c>
      <c r="B129" s="111">
        <v>3</v>
      </c>
      <c r="C129" s="111" t="s">
        <v>135</v>
      </c>
      <c r="D129" s="123" t="s">
        <v>42</v>
      </c>
      <c r="E129" s="123" t="s">
        <v>43</v>
      </c>
      <c r="F129" s="121"/>
      <c r="G129" s="124">
        <v>44926</v>
      </c>
      <c r="H129" s="124">
        <f>EOMONTH(G129,12)</f>
        <v>45291</v>
      </c>
      <c r="I129" s="124">
        <f>EOMONTH(H129,12)</f>
        <v>45657</v>
      </c>
      <c r="J129" s="123" t="s">
        <v>44</v>
      </c>
      <c r="K129" s="123" t="s">
        <v>45</v>
      </c>
      <c r="L129" s="123" t="s">
        <v>46</v>
      </c>
      <c r="M129" s="123" t="s">
        <v>47</v>
      </c>
      <c r="N129" s="125">
        <f>EOMONTH(I129,12)</f>
        <v>46022</v>
      </c>
      <c r="O129" s="125">
        <f>EOMONTH(N129,12)</f>
        <v>46387</v>
      </c>
      <c r="P129" s="125">
        <f t="shared" ref="P129:U129" si="51">EOMONTH(O129,12)</f>
        <v>46752</v>
      </c>
      <c r="Q129" s="125">
        <f t="shared" si="51"/>
        <v>47118</v>
      </c>
      <c r="R129" s="125">
        <f t="shared" si="51"/>
        <v>47483</v>
      </c>
      <c r="S129" s="125">
        <f t="shared" si="51"/>
        <v>47848</v>
      </c>
      <c r="T129" s="125">
        <f t="shared" si="51"/>
        <v>48213</v>
      </c>
      <c r="U129" s="125">
        <f t="shared" si="51"/>
        <v>48579</v>
      </c>
      <c r="V129" s="126" t="s">
        <v>48</v>
      </c>
    </row>
    <row r="130" spans="1:22" ht="15">
      <c r="V130" s="126" t="s">
        <v>48</v>
      </c>
    </row>
    <row r="131" spans="1:22" ht="15">
      <c r="C131" s="174" t="s">
        <v>136</v>
      </c>
      <c r="D131" s="174"/>
      <c r="E131" s="174"/>
      <c r="F131" s="174"/>
      <c r="G131" s="191"/>
      <c r="H131" s="178">
        <f>H80</f>
        <v>2202.3000000000002</v>
      </c>
      <c r="I131" s="178">
        <f>I80</f>
        <v>2675.9</v>
      </c>
      <c r="J131" s="178"/>
      <c r="K131" s="178">
        <f>K80</f>
        <v>1645.5</v>
      </c>
      <c r="L131" s="174"/>
      <c r="M131" s="174"/>
      <c r="N131" s="178">
        <f>N80</f>
        <v>3997.5100676730676</v>
      </c>
      <c r="O131" s="178">
        <f ca="1">O80</f>
        <v>4839.5201712952448</v>
      </c>
      <c r="P131" s="178">
        <f t="shared" ref="P131:U131" ca="1" si="52">P80</f>
        <v>5660.1997983544989</v>
      </c>
      <c r="Q131" s="178">
        <f t="shared" ca="1" si="52"/>
        <v>6436.9611657674923</v>
      </c>
      <c r="R131" s="178">
        <f t="shared" ca="1" si="52"/>
        <v>7187.9569407852896</v>
      </c>
      <c r="S131" s="178">
        <f t="shared" ca="1" si="52"/>
        <v>7907.8800681268031</v>
      </c>
      <c r="T131" s="178">
        <f t="shared" ca="1" si="52"/>
        <v>8590.995662424064</v>
      </c>
      <c r="U131" s="178">
        <f t="shared" ca="1" si="52"/>
        <v>9231.1144723541711</v>
      </c>
      <c r="V131" s="126" t="s">
        <v>48</v>
      </c>
    </row>
    <row r="132" spans="1:22" ht="15">
      <c r="C132" s="149" t="s">
        <v>137</v>
      </c>
      <c r="D132" s="149"/>
      <c r="E132" s="149"/>
      <c r="F132" s="149"/>
      <c r="G132" s="137"/>
      <c r="H132" s="192">
        <f>SUM(H133:H136)</f>
        <v>-812.00000000000034</v>
      </c>
      <c r="I132" s="192">
        <f>SUM(I133:I136)</f>
        <v>-974.4</v>
      </c>
      <c r="J132" s="192"/>
      <c r="K132" s="192">
        <f>SUM(K133:K136)</f>
        <v>-136.10000000000036</v>
      </c>
      <c r="L132" s="149"/>
      <c r="M132" s="149"/>
      <c r="N132" s="192">
        <f>SUM(N133:N136)</f>
        <v>-2700.2070635995024</v>
      </c>
      <c r="O132" s="192">
        <f>SUM(O133:O136)</f>
        <v>-2387.0578782147704</v>
      </c>
      <c r="P132" s="192">
        <f t="shared" ref="P132:U132" si="53">SUM(P133:P136)</f>
        <v>-2264.6123152255705</v>
      </c>
      <c r="Q132" s="192">
        <f t="shared" si="53"/>
        <v>-2296.6645662989713</v>
      </c>
      <c r="R132" s="192">
        <f t="shared" si="53"/>
        <v>-2222.4390534421568</v>
      </c>
      <c r="S132" s="192">
        <f t="shared" si="53"/>
        <v>-1980.8636740406623</v>
      </c>
      <c r="T132" s="192">
        <f t="shared" si="53"/>
        <v>-1877.9357308580238</v>
      </c>
      <c r="U132" s="192">
        <f t="shared" si="53"/>
        <v>-1861.5091422398293</v>
      </c>
      <c r="V132" s="126" t="s">
        <v>48</v>
      </c>
    </row>
    <row r="133" spans="1:22" ht="15">
      <c r="C133" s="151" t="s">
        <v>138</v>
      </c>
      <c r="G133" s="137"/>
      <c r="H133" s="163">
        <f>-(H98-G98)</f>
        <v>-687.59999999999991</v>
      </c>
      <c r="I133" s="163">
        <f>-(I98-H98)</f>
        <v>-1179.1999999999998</v>
      </c>
      <c r="J133" s="163"/>
      <c r="K133" s="163">
        <f>-(K98-J98)</f>
        <v>-5002.6000000000004</v>
      </c>
      <c r="N133" s="163">
        <f>-(N98-I98)</f>
        <v>-565.70649864410916</v>
      </c>
      <c r="O133" s="163">
        <f>-(O98-N98)</f>
        <v>-674.36104888337013</v>
      </c>
      <c r="P133" s="163">
        <f t="shared" ref="P133:U133" si="54">-(P98-O98)</f>
        <v>-780.42993562667107</v>
      </c>
      <c r="Q133" s="163">
        <f t="shared" si="54"/>
        <v>-341.4896385771799</v>
      </c>
      <c r="R133" s="163">
        <f t="shared" si="54"/>
        <v>219.32913635631849</v>
      </c>
      <c r="S133" s="163">
        <f t="shared" si="54"/>
        <v>240.1701536268065</v>
      </c>
      <c r="T133" s="163">
        <f t="shared" si="54"/>
        <v>259.95423486938944</v>
      </c>
      <c r="U133" s="163">
        <f t="shared" si="54"/>
        <v>278.50321479938884</v>
      </c>
      <c r="V133" s="126" t="s">
        <v>48</v>
      </c>
    </row>
    <row r="134" spans="1:22" ht="15">
      <c r="C134" s="151" t="s">
        <v>139</v>
      </c>
      <c r="G134" s="137"/>
      <c r="H134" s="193">
        <f>H107-G107+H116-G116</f>
        <v>777.89999999999964</v>
      </c>
      <c r="I134" s="193">
        <f>I107-H107+I116-H116</f>
        <v>1293.1999999999998</v>
      </c>
      <c r="J134" s="193"/>
      <c r="K134" s="193">
        <f>K107-J107+K116-J116</f>
        <v>5497.5</v>
      </c>
      <c r="N134" s="163">
        <f>N107-I107+N116-I116</f>
        <v>-542.34528813659654</v>
      </c>
      <c r="O134" s="163">
        <f>O107-N107+O116-N116</f>
        <v>-82.693443882037172</v>
      </c>
      <c r="P134" s="163">
        <f t="shared" ref="P134:U134" si="55">P107-O107+P116-O116</f>
        <v>206.56270762481017</v>
      </c>
      <c r="Q134" s="163">
        <f t="shared" si="55"/>
        <v>-161.01642034801898</v>
      </c>
      <c r="R134" s="163">
        <f t="shared" si="55"/>
        <v>-524.04626574260783</v>
      </c>
      <c r="S134" s="163">
        <f t="shared" si="55"/>
        <v>-223.28022168096595</v>
      </c>
      <c r="T134" s="163">
        <f t="shared" si="55"/>
        <v>-35.633980770649941</v>
      </c>
      <c r="U134" s="163">
        <f t="shared" si="55"/>
        <v>78.296262743715033</v>
      </c>
      <c r="V134" s="126" t="s">
        <v>48</v>
      </c>
    </row>
    <row r="135" spans="1:22" ht="15">
      <c r="C135" s="151" t="s">
        <v>140</v>
      </c>
      <c r="G135" s="137"/>
      <c r="H135" s="163">
        <f>H58</f>
        <v>-342.6</v>
      </c>
      <c r="I135" s="163">
        <f>I58</f>
        <v>-428.1</v>
      </c>
      <c r="J135" s="163"/>
      <c r="K135" s="163">
        <f>K58</f>
        <v>-256.2</v>
      </c>
      <c r="N135" s="163">
        <f t="shared" ref="N135:U135" si="56">N58</f>
        <v>-772.56601700067984</v>
      </c>
      <c r="O135" s="163">
        <f t="shared" si="56"/>
        <v>-652.99662623905772</v>
      </c>
      <c r="P135" s="163">
        <f t="shared" si="56"/>
        <v>-560.06690902840705</v>
      </c>
      <c r="Q135" s="163">
        <f t="shared" si="56"/>
        <v>-518.39054588964996</v>
      </c>
      <c r="R135" s="163">
        <f t="shared" si="56"/>
        <v>-501.63676969899404</v>
      </c>
      <c r="S135" s="163">
        <f t="shared" si="56"/>
        <v>-447.10969829333118</v>
      </c>
      <c r="T135" s="163">
        <f t="shared" si="56"/>
        <v>-423.87736674753194</v>
      </c>
      <c r="U135" s="163">
        <f t="shared" si="56"/>
        <v>-420.16964714152374</v>
      </c>
      <c r="V135" s="126" t="s">
        <v>48</v>
      </c>
    </row>
    <row r="136" spans="1:22" ht="15">
      <c r="C136" s="151" t="s">
        <v>93</v>
      </c>
      <c r="G136" s="137"/>
      <c r="H136" s="163">
        <f>-H73</f>
        <v>-559.70000000000005</v>
      </c>
      <c r="I136" s="163">
        <f>-I73</f>
        <v>-660.3</v>
      </c>
      <c r="J136" s="163"/>
      <c r="K136" s="163">
        <f>-K73</f>
        <v>-374.8</v>
      </c>
      <c r="N136" s="163">
        <f>N73</f>
        <v>-819.5892598181166</v>
      </c>
      <c r="O136" s="163">
        <f>O73</f>
        <v>-977.00675921030529</v>
      </c>
      <c r="P136" s="163">
        <f t="shared" ref="P136:U136" si="57">P73</f>
        <v>-1130.6781781953023</v>
      </c>
      <c r="Q136" s="163">
        <f t="shared" si="57"/>
        <v>-1275.7679614841222</v>
      </c>
      <c r="R136" s="163">
        <f t="shared" si="57"/>
        <v>-1416.0851543568733</v>
      </c>
      <c r="S136" s="163">
        <f t="shared" si="57"/>
        <v>-1550.6439076931717</v>
      </c>
      <c r="T136" s="163">
        <f t="shared" si="57"/>
        <v>-1678.3786182092315</v>
      </c>
      <c r="U136" s="163">
        <f t="shared" si="57"/>
        <v>-1798.1389726414095</v>
      </c>
      <c r="V136" s="126" t="s">
        <v>48</v>
      </c>
    </row>
    <row r="137" spans="1:22" ht="15">
      <c r="G137" s="137"/>
      <c r="V137" s="126" t="s">
        <v>48</v>
      </c>
    </row>
    <row r="138" spans="1:22" ht="15">
      <c r="C138" s="149" t="s">
        <v>141</v>
      </c>
      <c r="D138" s="149"/>
      <c r="E138" s="149"/>
      <c r="F138" s="149"/>
      <c r="G138" s="137"/>
      <c r="H138" s="192">
        <f>SUM(H139:H140)</f>
        <v>-121.09999999999991</v>
      </c>
      <c r="I138" s="192">
        <f>SUM(I139:I140)</f>
        <v>-171.00000000000006</v>
      </c>
      <c r="J138" s="192"/>
      <c r="K138" s="192">
        <f>SUM(K139:K140)</f>
        <v>-1003.8000000000001</v>
      </c>
      <c r="L138" s="149"/>
      <c r="M138" s="149"/>
      <c r="N138" s="192">
        <f>SUM(N139:N140)</f>
        <v>-45.031889706016173</v>
      </c>
      <c r="O138" s="192">
        <f ca="1">SUM(O139:O140)</f>
        <v>-81.086779563942699</v>
      </c>
      <c r="P138" s="192">
        <f t="shared" ref="P138:U138" ca="1" si="58">SUM(P139:P140)</f>
        <v>-107.70988728713751</v>
      </c>
      <c r="Q138" s="192">
        <f t="shared" ca="1" si="58"/>
        <v>-125.79624135263704</v>
      </c>
      <c r="R138" s="192">
        <f t="shared" ca="1" si="58"/>
        <v>-139.78448332302281</v>
      </c>
      <c r="S138" s="192">
        <f t="shared" ca="1" si="58"/>
        <v>-156.56825950110795</v>
      </c>
      <c r="T138" s="192">
        <f t="shared" ca="1" si="58"/>
        <v>-168.21586111452902</v>
      </c>
      <c r="U138" s="192">
        <f t="shared" ca="1" si="58"/>
        <v>-175.87288505067741</v>
      </c>
      <c r="V138" s="126" t="s">
        <v>48</v>
      </c>
    </row>
    <row r="139" spans="1:22" ht="15">
      <c r="C139" s="151" t="s">
        <v>142</v>
      </c>
      <c r="G139" s="137"/>
      <c r="H139" s="163">
        <f>H64</f>
        <v>472.6</v>
      </c>
      <c r="I139" s="163">
        <f>I64</f>
        <v>-55.8</v>
      </c>
      <c r="J139" s="163"/>
      <c r="K139" s="163">
        <f>K64</f>
        <v>-78.599999999999994</v>
      </c>
      <c r="N139" s="163">
        <f t="shared" ref="N139:U139" si="59">N64</f>
        <v>-45.031889706016173</v>
      </c>
      <c r="O139" s="163">
        <f t="shared" ca="1" si="59"/>
        <v>-81.086779563942699</v>
      </c>
      <c r="P139" s="163">
        <f t="shared" ca="1" si="59"/>
        <v>-107.70988728713751</v>
      </c>
      <c r="Q139" s="163">
        <f t="shared" ca="1" si="59"/>
        <v>-125.79624135263704</v>
      </c>
      <c r="R139" s="163">
        <f t="shared" ca="1" si="59"/>
        <v>-139.78448332302281</v>
      </c>
      <c r="S139" s="163">
        <f t="shared" ca="1" si="59"/>
        <v>-156.56825950110795</v>
      </c>
      <c r="T139" s="163">
        <f t="shared" ca="1" si="59"/>
        <v>-168.21586111452902</v>
      </c>
      <c r="U139" s="163">
        <f t="shared" ca="1" si="59"/>
        <v>-175.87288505067741</v>
      </c>
      <c r="V139" s="126" t="s">
        <v>48</v>
      </c>
    </row>
    <row r="140" spans="1:22" ht="15">
      <c r="C140" s="151" t="s">
        <v>143</v>
      </c>
      <c r="G140" s="137"/>
      <c r="H140" s="163">
        <f>-(H94-G94)</f>
        <v>-593.69999999999993</v>
      </c>
      <c r="I140" s="163">
        <f>-(I94-H94)</f>
        <v>-115.20000000000005</v>
      </c>
      <c r="J140" s="163"/>
      <c r="K140" s="163">
        <f>-(K94-J94)</f>
        <v>-925.2</v>
      </c>
      <c r="N140" s="163">
        <f>-(N94-I94)</f>
        <v>0</v>
      </c>
      <c r="O140" s="163">
        <f>-(O94-N94)</f>
        <v>0</v>
      </c>
      <c r="P140" s="163">
        <f t="shared" ref="P140:U140" si="60">-(P94-O94)</f>
        <v>0</v>
      </c>
      <c r="Q140" s="163">
        <f t="shared" si="60"/>
        <v>0</v>
      </c>
      <c r="R140" s="163">
        <f t="shared" si="60"/>
        <v>0</v>
      </c>
      <c r="S140" s="163">
        <f t="shared" si="60"/>
        <v>0</v>
      </c>
      <c r="T140" s="163">
        <f t="shared" si="60"/>
        <v>0</v>
      </c>
      <c r="U140" s="163">
        <f t="shared" si="60"/>
        <v>0</v>
      </c>
      <c r="V140" s="126" t="s">
        <v>48</v>
      </c>
    </row>
    <row r="141" spans="1:22" ht="15">
      <c r="G141" s="137"/>
      <c r="V141" s="126" t="s">
        <v>48</v>
      </c>
    </row>
    <row r="142" spans="1:22" ht="15">
      <c r="C142" s="149" t="s">
        <v>144</v>
      </c>
      <c r="D142" s="149"/>
      <c r="E142" s="149"/>
      <c r="F142" s="149"/>
      <c r="G142" s="137"/>
      <c r="H142" s="192">
        <f>SUM(H143:H147)</f>
        <v>-15.200000000000003</v>
      </c>
      <c r="I142" s="192">
        <f>SUM(I143:I147)</f>
        <v>-192.60000000000005</v>
      </c>
      <c r="J142" s="192"/>
      <c r="K142" s="192">
        <f>SUM(K143:K147)</f>
        <v>89.899999999999963</v>
      </c>
      <c r="L142" s="149"/>
      <c r="M142" s="149"/>
      <c r="N142" s="192">
        <f>SUM(N143:N147)</f>
        <v>-19.460090028875527</v>
      </c>
      <c r="O142" s="192">
        <f ca="1">SUM(O143:O147)</f>
        <v>8.338782518122656</v>
      </c>
      <c r="P142" s="192">
        <f t="shared" ref="P142:U142" ca="1" si="61">SUM(P143:P147)</f>
        <v>9.6201443826875845</v>
      </c>
      <c r="Q142" s="192">
        <f t="shared" ca="1" si="61"/>
        <v>11.326037512961378</v>
      </c>
      <c r="R142" s="192">
        <f t="shared" ca="1" si="61"/>
        <v>12.002473569729531</v>
      </c>
      <c r="S142" s="192">
        <f t="shared" ca="1" si="61"/>
        <v>12.681119144329401</v>
      </c>
      <c r="T142" s="192">
        <f t="shared" ca="1" si="61"/>
        <v>13.360047798258279</v>
      </c>
      <c r="U142" s="192">
        <f t="shared" ca="1" si="61"/>
        <v>14.037138858335808</v>
      </c>
      <c r="V142" s="126" t="s">
        <v>48</v>
      </c>
    </row>
    <row r="143" spans="1:22" ht="15">
      <c r="C143" s="151" t="s">
        <v>105</v>
      </c>
      <c r="G143" s="137"/>
      <c r="H143" s="163">
        <f>-(H89-G89)</f>
        <v>-77.300000000000011</v>
      </c>
      <c r="I143" s="163">
        <f>-(I89-H89)</f>
        <v>-205.10000000000002</v>
      </c>
      <c r="J143" s="163"/>
      <c r="K143" s="163">
        <f>-(K89-J89)</f>
        <v>-631.20000000000005</v>
      </c>
      <c r="N143" s="163">
        <f>-(N89-I89)</f>
        <v>-76.385247859513015</v>
      </c>
      <c r="O143" s="163">
        <f t="shared" ref="O143:U143" si="62">-(O89-N89)</f>
        <v>-121.09652479308272</v>
      </c>
      <c r="P143" s="163">
        <f t="shared" si="62"/>
        <v>-118.21477835029236</v>
      </c>
      <c r="Q143" s="163">
        <f t="shared" si="62"/>
        <v>-111.61318536438034</v>
      </c>
      <c r="R143" s="163">
        <f t="shared" si="62"/>
        <v>-107.94177579506152</v>
      </c>
      <c r="S143" s="163">
        <f t="shared" si="62"/>
        <v>-103.51198229187412</v>
      </c>
      <c r="T143" s="163">
        <f t="shared" si="62"/>
        <v>-98.262452387252551</v>
      </c>
      <c r="U143" s="163">
        <f t="shared" si="62"/>
        <v>-92.12802125380631</v>
      </c>
      <c r="V143" s="126" t="s">
        <v>48</v>
      </c>
    </row>
    <row r="144" spans="1:22" ht="15">
      <c r="C144" s="151" t="s">
        <v>108</v>
      </c>
      <c r="G144" s="137"/>
      <c r="H144" s="163">
        <f>-(H92-G92)</f>
        <v>19.200000000000003</v>
      </c>
      <c r="I144" s="163">
        <f>-(I92-H92)</f>
        <v>27.199999999999996</v>
      </c>
      <c r="J144" s="163"/>
      <c r="K144" s="163">
        <f>-(K92-J92)</f>
        <v>-14</v>
      </c>
      <c r="N144" s="163">
        <f>-(N92-I92)</f>
        <v>-45.225040346313968</v>
      </c>
      <c r="O144" s="163">
        <f t="shared" ref="O144:U144" si="63">-(O92-N92)</f>
        <v>-9.8579372664216365</v>
      </c>
      <c r="P144" s="163">
        <f t="shared" si="63"/>
        <v>-9.6233469204203672</v>
      </c>
      <c r="Q144" s="163">
        <f t="shared" si="63"/>
        <v>-9.0859401729949667</v>
      </c>
      <c r="R144" s="163">
        <f t="shared" si="63"/>
        <v>-8.7870668132885186</v>
      </c>
      <c r="S144" s="163">
        <f t="shared" si="63"/>
        <v>-8.4264567418414771</v>
      </c>
      <c r="T144" s="163">
        <f t="shared" si="63"/>
        <v>-7.9991155232029314</v>
      </c>
      <c r="U144" s="163">
        <f t="shared" si="63"/>
        <v>-7.4997383744199766</v>
      </c>
      <c r="V144" s="126" t="s">
        <v>48</v>
      </c>
    </row>
    <row r="145" spans="3:22" ht="15">
      <c r="C145" s="151" t="s">
        <v>122</v>
      </c>
      <c r="G145" s="137"/>
      <c r="H145" s="193">
        <f>H108-G108</f>
        <v>158</v>
      </c>
      <c r="I145" s="193">
        <f>I108-H108</f>
        <v>42.699999999999989</v>
      </c>
      <c r="J145" s="193"/>
      <c r="K145" s="193">
        <f>K108-J108</f>
        <v>496.6</v>
      </c>
      <c r="N145" s="193">
        <f>N108-I108</f>
        <v>68.299816594927904</v>
      </c>
      <c r="O145" s="193">
        <f t="shared" ref="O145:U145" ca="1" si="64">O108-N108</f>
        <v>108.6481078207151</v>
      </c>
      <c r="P145" s="193">
        <f t="shared" ca="1" si="64"/>
        <v>107.54084985669692</v>
      </c>
      <c r="Q145" s="193">
        <f t="shared" ca="1" si="64"/>
        <v>103.78650900001969</v>
      </c>
      <c r="R145" s="193">
        <f t="shared" ca="1" si="64"/>
        <v>101.40294314070934</v>
      </c>
      <c r="S145" s="193">
        <f t="shared" ca="1" si="64"/>
        <v>98.391491945472808</v>
      </c>
      <c r="T145" s="193">
        <f t="shared" ca="1" si="64"/>
        <v>94.699278765920553</v>
      </c>
      <c r="U145" s="193">
        <f t="shared" ca="1" si="64"/>
        <v>90.270067347949862</v>
      </c>
      <c r="V145" s="126" t="s">
        <v>48</v>
      </c>
    </row>
    <row r="146" spans="3:22" ht="15">
      <c r="C146" s="151" t="s">
        <v>124</v>
      </c>
      <c r="G146" s="137"/>
      <c r="H146" s="193">
        <f>H110-G110</f>
        <v>23.599999999999994</v>
      </c>
      <c r="I146" s="193">
        <f>I110-H110</f>
        <v>39.5</v>
      </c>
      <c r="J146" s="193"/>
      <c r="K146" s="193">
        <f>K110-J110</f>
        <v>174.2</v>
      </c>
      <c r="N146" s="193">
        <f>N110-I110</f>
        <v>33.850381582023545</v>
      </c>
      <c r="O146" s="193">
        <f t="shared" ref="O146:U146" si="65">O110-N110</f>
        <v>30.64513675691191</v>
      </c>
      <c r="P146" s="193">
        <f t="shared" si="65"/>
        <v>29.917419796703399</v>
      </c>
      <c r="Q146" s="193">
        <f t="shared" si="65"/>
        <v>28.238654050316995</v>
      </c>
      <c r="R146" s="193">
        <f t="shared" si="65"/>
        <v>27.328373037370227</v>
      </c>
      <c r="S146" s="193">
        <f t="shared" si="65"/>
        <v>26.228066232572189</v>
      </c>
      <c r="T146" s="193">
        <f t="shared" si="65"/>
        <v>24.922336942793208</v>
      </c>
      <c r="U146" s="193">
        <f t="shared" si="65"/>
        <v>23.394831138612233</v>
      </c>
      <c r="V146" s="126" t="s">
        <v>48</v>
      </c>
    </row>
    <row r="147" spans="3:22" ht="15">
      <c r="C147" s="151" t="s">
        <v>126</v>
      </c>
      <c r="G147" s="137"/>
      <c r="H147" s="163">
        <f>H112-G112+H117-G117</f>
        <v>-138.69999999999999</v>
      </c>
      <c r="I147" s="163">
        <f>I112-H112+I117-H117</f>
        <v>-96.9</v>
      </c>
      <c r="J147" s="163"/>
      <c r="K147" s="163">
        <f>K112-J112+K117-J117</f>
        <v>64.3</v>
      </c>
      <c r="N147" s="163">
        <f>N112-I112+N117-I117</f>
        <v>0</v>
      </c>
      <c r="O147" s="163">
        <f t="shared" ref="O147:U147" si="66">O112-N112+O117-N117</f>
        <v>0</v>
      </c>
      <c r="P147" s="163">
        <f t="shared" si="66"/>
        <v>0</v>
      </c>
      <c r="Q147" s="163">
        <f t="shared" si="66"/>
        <v>0</v>
      </c>
      <c r="R147" s="163">
        <f t="shared" si="66"/>
        <v>0</v>
      </c>
      <c r="S147" s="163">
        <f t="shared" si="66"/>
        <v>0</v>
      </c>
      <c r="T147" s="163">
        <f t="shared" si="66"/>
        <v>0</v>
      </c>
      <c r="U147" s="163">
        <f t="shared" si="66"/>
        <v>0</v>
      </c>
      <c r="V147" s="126" t="s">
        <v>48</v>
      </c>
    </row>
    <row r="148" spans="3:22" ht="15">
      <c r="G148" s="137"/>
      <c r="V148" s="126" t="s">
        <v>48</v>
      </c>
    </row>
    <row r="149" spans="3:22" ht="15">
      <c r="C149" s="149" t="s">
        <v>145</v>
      </c>
      <c r="D149" s="149"/>
      <c r="E149" s="149"/>
      <c r="F149" s="149"/>
      <c r="G149" s="137"/>
      <c r="H149" s="192">
        <f>SUM(H150:H154)</f>
        <v>-35.400000000000034</v>
      </c>
      <c r="I149" s="192">
        <f>SUM(I150:I154)</f>
        <v>102.80000000000007</v>
      </c>
      <c r="J149" s="192"/>
      <c r="K149" s="192">
        <f>SUM(K150:K154)</f>
        <v>-200.30000000000004</v>
      </c>
      <c r="L149" s="149"/>
      <c r="M149" s="149"/>
      <c r="N149" s="192">
        <f>SUM(N150:N154)</f>
        <v>-230.15510649101233</v>
      </c>
      <c r="O149" s="192">
        <f>SUM(O150:O154)</f>
        <v>-107.68433557177462</v>
      </c>
      <c r="P149" s="192">
        <f t="shared" ref="P149:U149" si="67">SUM(P150:P154)</f>
        <v>-105.12176037394417</v>
      </c>
      <c r="Q149" s="192">
        <f t="shared" si="67"/>
        <v>-99.25133464853306</v>
      </c>
      <c r="R149" s="192">
        <f t="shared" si="67"/>
        <v>-95.986556400275816</v>
      </c>
      <c r="S149" s="192">
        <f t="shared" si="67"/>
        <v>-92.047389930173438</v>
      </c>
      <c r="T149" s="192">
        <f t="shared" si="67"/>
        <v>-87.379277935966286</v>
      </c>
      <c r="U149" s="192">
        <f t="shared" si="67"/>
        <v>-81.924272998007382</v>
      </c>
      <c r="V149" s="126" t="s">
        <v>48</v>
      </c>
    </row>
    <row r="150" spans="3:22" ht="15">
      <c r="C150" s="151" t="s">
        <v>146</v>
      </c>
      <c r="G150" s="137"/>
      <c r="H150" s="163">
        <f>-(H90-G90)-(H96-G96)-(H101-G101)</f>
        <v>-86.6</v>
      </c>
      <c r="I150" s="163">
        <f>-(I90-H90)-(I96-H96)-(I101-H101)</f>
        <v>-287.09999999999997</v>
      </c>
      <c r="J150" s="163"/>
      <c r="K150" s="163">
        <f>-(K90-J90)-(K96-J96)-(K101-J101)</f>
        <v>-732.1</v>
      </c>
      <c r="N150" s="163">
        <f>-(N90-I90)-(N96-I96)-(N101-I101)</f>
        <v>-100.89690027976542</v>
      </c>
      <c r="O150" s="163">
        <f t="shared" ref="O150:U150" si="68">-(O90-N90)-(O96-N96)-(O101-N101)</f>
        <v>-136.71395369677953</v>
      </c>
      <c r="P150" s="163">
        <f t="shared" si="68"/>
        <v>-133.46055769372583</v>
      </c>
      <c r="Q150" s="163">
        <f t="shared" si="68"/>
        <v>-126.00757851580897</v>
      </c>
      <c r="R150" s="163">
        <f t="shared" si="68"/>
        <v>-121.8626790753051</v>
      </c>
      <c r="S150" s="163">
        <f t="shared" si="68"/>
        <v>-116.86158936677884</v>
      </c>
      <c r="T150" s="163">
        <f t="shared" si="68"/>
        <v>-110.93504449245916</v>
      </c>
      <c r="U150" s="163">
        <f t="shared" si="68"/>
        <v>-104.0094755269829</v>
      </c>
      <c r="V150" s="126" t="s">
        <v>48</v>
      </c>
    </row>
    <row r="151" spans="3:22" ht="15">
      <c r="C151" s="151" t="s">
        <v>147</v>
      </c>
      <c r="G151" s="137"/>
      <c r="H151" s="163">
        <f>-(H95-G95)</f>
        <v>-21.100000000000009</v>
      </c>
      <c r="I151" s="163">
        <f>-(I95-H95)</f>
        <v>19.200000000000003</v>
      </c>
      <c r="J151" s="163"/>
      <c r="K151" s="163">
        <f>-(K95-J95)</f>
        <v>-83.7</v>
      </c>
      <c r="N151" s="163">
        <f>-(N95-I95)</f>
        <v>0</v>
      </c>
      <c r="O151" s="163">
        <f t="shared" ref="O151:U151" si="69">-(O95-N95)</f>
        <v>0</v>
      </c>
      <c r="P151" s="163">
        <f t="shared" si="69"/>
        <v>0</v>
      </c>
      <c r="Q151" s="163">
        <f t="shared" si="69"/>
        <v>0</v>
      </c>
      <c r="R151" s="163">
        <f t="shared" si="69"/>
        <v>0</v>
      </c>
      <c r="S151" s="163">
        <f t="shared" si="69"/>
        <v>0</v>
      </c>
      <c r="T151" s="163">
        <f t="shared" si="69"/>
        <v>0</v>
      </c>
      <c r="U151" s="163">
        <f t="shared" si="69"/>
        <v>0</v>
      </c>
      <c r="V151" s="126" t="s">
        <v>48</v>
      </c>
    </row>
    <row r="152" spans="3:22" ht="15">
      <c r="C152" s="151" t="s">
        <v>148</v>
      </c>
      <c r="G152" s="137"/>
      <c r="H152" s="163">
        <f>H109-G109</f>
        <v>-22.300000000000011</v>
      </c>
      <c r="I152" s="163">
        <f>I109-H109</f>
        <v>10.200000000000017</v>
      </c>
      <c r="J152" s="163"/>
      <c r="K152" s="163">
        <f>K109-J109</f>
        <v>215</v>
      </c>
      <c r="N152" s="163">
        <f>N109-I109</f>
        <v>0</v>
      </c>
      <c r="O152" s="163">
        <f t="shared" ref="O152:U152" si="70">O109-N109</f>
        <v>0</v>
      </c>
      <c r="P152" s="163">
        <f t="shared" si="70"/>
        <v>0</v>
      </c>
      <c r="Q152" s="163">
        <f t="shared" si="70"/>
        <v>0</v>
      </c>
      <c r="R152" s="163">
        <f t="shared" si="70"/>
        <v>0</v>
      </c>
      <c r="S152" s="163">
        <f t="shared" si="70"/>
        <v>0</v>
      </c>
      <c r="T152" s="163">
        <f t="shared" si="70"/>
        <v>0</v>
      </c>
      <c r="U152" s="163">
        <f t="shared" si="70"/>
        <v>0</v>
      </c>
      <c r="V152" s="126" t="s">
        <v>48</v>
      </c>
    </row>
    <row r="153" spans="3:22" ht="15">
      <c r="C153" s="151" t="s">
        <v>149</v>
      </c>
      <c r="G153" s="137"/>
      <c r="H153" s="193">
        <f>H111-G111</f>
        <v>140.39999999999998</v>
      </c>
      <c r="I153" s="193">
        <f>I111-H111</f>
        <v>73.400000000000034</v>
      </c>
      <c r="J153" s="193"/>
      <c r="K153" s="193">
        <f>K111-J111</f>
        <v>233.1</v>
      </c>
      <c r="N153" s="163">
        <f>N111-I111</f>
        <v>0</v>
      </c>
      <c r="O153" s="163">
        <f t="shared" ref="O153:U153" si="71">O111-N111</f>
        <v>0</v>
      </c>
      <c r="P153" s="163">
        <f t="shared" si="71"/>
        <v>0</v>
      </c>
      <c r="Q153" s="163">
        <f t="shared" si="71"/>
        <v>0</v>
      </c>
      <c r="R153" s="163">
        <f t="shared" si="71"/>
        <v>0</v>
      </c>
      <c r="S153" s="163">
        <f t="shared" si="71"/>
        <v>0</v>
      </c>
      <c r="T153" s="163">
        <f t="shared" si="71"/>
        <v>0</v>
      </c>
      <c r="U153" s="163">
        <f t="shared" si="71"/>
        <v>0</v>
      </c>
      <c r="V153" s="126" t="s">
        <v>48</v>
      </c>
    </row>
    <row r="154" spans="3:22" ht="15">
      <c r="C154" s="151" t="s">
        <v>150</v>
      </c>
      <c r="G154" s="137"/>
      <c r="H154" s="163">
        <f>H113-G113+H118-G118+H125-G125</f>
        <v>-45.800000000000011</v>
      </c>
      <c r="I154" s="163">
        <f>I113-H113+I118-H118+I125-H125</f>
        <v>287.09999999999997</v>
      </c>
      <c r="J154" s="163"/>
      <c r="K154" s="163">
        <f>K113-J113+K118-J118+K125-J125</f>
        <v>167.4</v>
      </c>
      <c r="N154" s="163">
        <f>N113-I113+N118-I118+N125-I125</f>
        <v>-129.25820621124691</v>
      </c>
      <c r="O154" s="163">
        <f t="shared" ref="O154:U154" si="72">O113-N113+O118-N118+O125-N125</f>
        <v>29.029618125004902</v>
      </c>
      <c r="P154" s="163">
        <f t="shared" si="72"/>
        <v>28.338797319781662</v>
      </c>
      <c r="Q154" s="163">
        <f t="shared" si="72"/>
        <v>26.756243867275913</v>
      </c>
      <c r="R154" s="163">
        <f t="shared" si="72"/>
        <v>25.876122675029279</v>
      </c>
      <c r="S154" s="163">
        <f t="shared" si="72"/>
        <v>24.814199436605406</v>
      </c>
      <c r="T154" s="163">
        <f t="shared" si="72"/>
        <v>23.55576655649287</v>
      </c>
      <c r="U154" s="163">
        <f t="shared" si="72"/>
        <v>22.085202528975515</v>
      </c>
      <c r="V154" s="126" t="s">
        <v>48</v>
      </c>
    </row>
    <row r="155" spans="3:22" ht="15">
      <c r="G155" s="137"/>
      <c r="V155" s="126" t="s">
        <v>48</v>
      </c>
    </row>
    <row r="156" spans="3:22" ht="15">
      <c r="C156" s="174" t="s">
        <v>151</v>
      </c>
      <c r="D156" s="174"/>
      <c r="E156" s="174"/>
      <c r="F156" s="174"/>
      <c r="G156" s="191"/>
      <c r="H156" s="178">
        <f>SUM(H131,H132,H138,H142,H149)</f>
        <v>1218.5999999999997</v>
      </c>
      <c r="I156" s="178">
        <f>SUM(I131,I132,I138,I142,I149)</f>
        <v>1440.6999999999998</v>
      </c>
      <c r="J156" s="178"/>
      <c r="K156" s="178">
        <f>SUM(K131,K132,K138,K142,K149)</f>
        <v>395.19999999999948</v>
      </c>
      <c r="L156" s="174"/>
      <c r="M156" s="174"/>
      <c r="N156" s="178">
        <f t="shared" ref="N156:U156" si="73">SUM(N131,N132,N138,N142,N149)</f>
        <v>1002.655917847661</v>
      </c>
      <c r="O156" s="178">
        <f t="shared" ca="1" si="73"/>
        <v>2272.0299604628794</v>
      </c>
      <c r="P156" s="178">
        <f t="shared" ca="1" si="73"/>
        <v>3192.3759798505343</v>
      </c>
      <c r="Q156" s="178">
        <f t="shared" ca="1" si="73"/>
        <v>3926.5750609803122</v>
      </c>
      <c r="R156" s="178">
        <f t="shared" ca="1" si="73"/>
        <v>4741.7493211895635</v>
      </c>
      <c r="S156" s="178">
        <f t="shared" ca="1" si="73"/>
        <v>5691.0818637991888</v>
      </c>
      <c r="T156" s="178">
        <f t="shared" ca="1" si="73"/>
        <v>6470.8248403138032</v>
      </c>
      <c r="U156" s="178">
        <f t="shared" ca="1" si="73"/>
        <v>7125.8453109239927</v>
      </c>
      <c r="V156" s="126" t="s">
        <v>48</v>
      </c>
    </row>
    <row r="157" spans="3:22" ht="15">
      <c r="C157" s="135" t="s">
        <v>152</v>
      </c>
      <c r="G157" s="137"/>
      <c r="H157" s="142">
        <f>H156/H131</f>
        <v>0.55333060890886776</v>
      </c>
      <c r="I157" s="142">
        <f>I156/I131</f>
        <v>0.53839829590044463</v>
      </c>
      <c r="J157" s="142"/>
      <c r="K157" s="142">
        <f>K156/K131</f>
        <v>0.24017016104527467</v>
      </c>
      <c r="L157" s="140"/>
      <c r="M157" s="140"/>
      <c r="N157" s="142">
        <f t="shared" ref="N157:U157" si="74">N156/N131</f>
        <v>0.25082011073740773</v>
      </c>
      <c r="O157" s="142">
        <f t="shared" ca="1" si="74"/>
        <v>0.4694742205929881</v>
      </c>
      <c r="P157" s="142">
        <f t="shared" ca="1" si="74"/>
        <v>0.56400411532797901</v>
      </c>
      <c r="Q157" s="142">
        <f t="shared" ca="1" si="74"/>
        <v>0.61000446637184869</v>
      </c>
      <c r="R157" s="142">
        <f t="shared" ca="1" si="74"/>
        <v>0.65967970596545111</v>
      </c>
      <c r="S157" s="142">
        <f t="shared" ca="1" si="74"/>
        <v>0.71967225283770353</v>
      </c>
      <c r="T157" s="142">
        <f t="shared" ca="1" si="74"/>
        <v>0.7532101161005561</v>
      </c>
      <c r="U157" s="142">
        <f t="shared" ca="1" si="74"/>
        <v>0.77193770397548966</v>
      </c>
      <c r="V157" s="126" t="s">
        <v>48</v>
      </c>
    </row>
    <row r="158" spans="3:22" ht="15">
      <c r="G158" s="137"/>
      <c r="V158" s="126" t="s">
        <v>48</v>
      </c>
    </row>
    <row r="159" spans="3:22" ht="15">
      <c r="C159" s="149" t="s">
        <v>153</v>
      </c>
      <c r="D159" s="149"/>
      <c r="E159" s="149"/>
      <c r="F159" s="149"/>
      <c r="G159" s="137"/>
      <c r="H159" s="192">
        <f>SUM(H160:H164)</f>
        <v>-1603.6999999999998</v>
      </c>
      <c r="I159" s="192">
        <f>SUM(I160:I164)</f>
        <v>-2741.2999999999997</v>
      </c>
      <c r="J159" s="192"/>
      <c r="K159" s="192">
        <f>SUM(K160:K164)</f>
        <v>-8662.8000000000011</v>
      </c>
      <c r="L159" s="149"/>
      <c r="M159" s="149"/>
      <c r="N159" s="192">
        <f t="shared" ref="N159:U159" si="75">SUM(N160:N164)</f>
        <v>-3340.2434357111829</v>
      </c>
      <c r="O159" s="192">
        <f t="shared" si="75"/>
        <v>-3365.7902437819857</v>
      </c>
      <c r="P159" s="192">
        <f t="shared" si="75"/>
        <v>-3368.7003560499415</v>
      </c>
      <c r="Q159" s="192">
        <f t="shared" si="75"/>
        <v>-3340.3200095124753</v>
      </c>
      <c r="R159" s="192">
        <f t="shared" si="75"/>
        <v>-3295.5249128586156</v>
      </c>
      <c r="S159" s="192">
        <f t="shared" si="75"/>
        <v>-3232.8402481274229</v>
      </c>
      <c r="T159" s="192">
        <f t="shared" si="75"/>
        <v>-3150.6954488713968</v>
      </c>
      <c r="U159" s="192">
        <f t="shared" si="75"/>
        <v>-3047.418862738954</v>
      </c>
      <c r="V159" s="126" t="s">
        <v>48</v>
      </c>
    </row>
    <row r="160" spans="3:22" ht="15">
      <c r="C160" s="151" t="s">
        <v>113</v>
      </c>
      <c r="G160" s="137"/>
      <c r="H160" s="163">
        <f>-(H97-G97)</f>
        <v>-912.59999999999991</v>
      </c>
      <c r="I160" s="163">
        <f>-(I97-H97)</f>
        <v>-1492.7999999999997</v>
      </c>
      <c r="J160" s="163"/>
      <c r="K160" s="163">
        <f>-(K97-J97)</f>
        <v>-5774.3</v>
      </c>
      <c r="N160" s="163">
        <f>-(N97-I97)</f>
        <v>-4448.9930008523934</v>
      </c>
      <c r="O160" s="163">
        <f t="shared" ref="O160:U160" si="76">-(O97-N97)</f>
        <v>-1695.3642049298833</v>
      </c>
      <c r="P160" s="163">
        <f t="shared" si="76"/>
        <v>-1313.8666357290895</v>
      </c>
      <c r="Q160" s="163">
        <f t="shared" si="76"/>
        <v>-904.31713358111847</v>
      </c>
      <c r="R160" s="163">
        <f t="shared" si="76"/>
        <v>-483.4645200574796</v>
      </c>
      <c r="S160" s="163">
        <f t="shared" si="76"/>
        <v>-51.875383870501537</v>
      </c>
      <c r="T160" s="163">
        <f t="shared" si="76"/>
        <v>389.8002149532731</v>
      </c>
      <c r="U160" s="163">
        <f t="shared" si="76"/>
        <v>840.82254741954239</v>
      </c>
      <c r="V160" s="126" t="s">
        <v>48</v>
      </c>
    </row>
    <row r="161" spans="3:22" ht="15">
      <c r="C161" s="151" t="s">
        <v>116</v>
      </c>
      <c r="G161" s="137"/>
      <c r="H161" s="163">
        <f>-(H99-G99)-(H100-G100)</f>
        <v>-93.399999999999977</v>
      </c>
      <c r="I161" s="163">
        <f>-(I99-H99)-(I100-H100)</f>
        <v>-496.59999999999991</v>
      </c>
      <c r="J161" s="163"/>
      <c r="K161" s="163">
        <f>-(K99-J99)-(K100-J100)</f>
        <v>-2427.9</v>
      </c>
      <c r="N161" s="163">
        <f>-(N99-I99)-(N100-I100)</f>
        <v>2395.1</v>
      </c>
      <c r="O161" s="163">
        <f t="shared" ref="O161:U161" si="77">-(O99-N99)-(O100-N100)</f>
        <v>0</v>
      </c>
      <c r="P161" s="163">
        <f t="shared" si="77"/>
        <v>0</v>
      </c>
      <c r="Q161" s="163">
        <f t="shared" si="77"/>
        <v>0</v>
      </c>
      <c r="R161" s="163">
        <f t="shared" si="77"/>
        <v>0</v>
      </c>
      <c r="S161" s="163">
        <f t="shared" si="77"/>
        <v>0</v>
      </c>
      <c r="T161" s="163">
        <f t="shared" si="77"/>
        <v>0</v>
      </c>
      <c r="U161" s="163">
        <f t="shared" si="77"/>
        <v>0</v>
      </c>
      <c r="V161" s="126" t="s">
        <v>48</v>
      </c>
    </row>
    <row r="162" spans="3:22" ht="15">
      <c r="C162" s="151" t="s">
        <v>94</v>
      </c>
      <c r="G162" s="137"/>
      <c r="H162" s="163">
        <f>-H75</f>
        <v>-549.4</v>
      </c>
      <c r="I162" s="163">
        <f>-I75</f>
        <v>-703.1</v>
      </c>
      <c r="J162" s="163"/>
      <c r="K162" s="163">
        <f>-K75</f>
        <v>-429.5</v>
      </c>
      <c r="N162" s="163">
        <f>N75</f>
        <v>-1286.3504348587894</v>
      </c>
      <c r="O162" s="163">
        <f t="shared" ref="O162:U162" si="78">O75</f>
        <v>-1670.4260388521025</v>
      </c>
      <c r="P162" s="163">
        <f t="shared" si="78"/>
        <v>-2054.8337203208521</v>
      </c>
      <c r="Q162" s="163">
        <f t="shared" si="78"/>
        <v>-2436.0028759313568</v>
      </c>
      <c r="R162" s="163">
        <f t="shared" si="78"/>
        <v>-2812.060392801136</v>
      </c>
      <c r="S162" s="163">
        <f t="shared" si="78"/>
        <v>-3180.9648642569214</v>
      </c>
      <c r="T162" s="163">
        <f t="shared" si="78"/>
        <v>-3540.4956638246699</v>
      </c>
      <c r="U162" s="163">
        <f t="shared" si="78"/>
        <v>-3888.2414101584964</v>
      </c>
      <c r="V162" s="126" t="s">
        <v>48</v>
      </c>
    </row>
    <row r="163" spans="3:22" ht="15">
      <c r="C163" s="151" t="s">
        <v>96</v>
      </c>
      <c r="G163" s="137"/>
      <c r="H163" s="163">
        <f>-H77</f>
        <v>-48.3</v>
      </c>
      <c r="I163" s="163">
        <f>-I77</f>
        <v>-48.8</v>
      </c>
      <c r="J163" s="163"/>
      <c r="K163" s="163">
        <f>-K77</f>
        <v>-31.1</v>
      </c>
      <c r="N163" s="163">
        <f>N77</f>
        <v>0</v>
      </c>
      <c r="O163" s="163">
        <f t="shared" ref="O163:U163" si="79">O77</f>
        <v>0</v>
      </c>
      <c r="P163" s="163">
        <f t="shared" si="79"/>
        <v>0</v>
      </c>
      <c r="Q163" s="163">
        <f t="shared" si="79"/>
        <v>0</v>
      </c>
      <c r="R163" s="163">
        <f t="shared" si="79"/>
        <v>0</v>
      </c>
      <c r="S163" s="163">
        <f t="shared" si="79"/>
        <v>0</v>
      </c>
      <c r="T163" s="163">
        <f t="shared" si="79"/>
        <v>0</v>
      </c>
      <c r="U163" s="163">
        <f t="shared" si="79"/>
        <v>0</v>
      </c>
      <c r="V163" s="126" t="s">
        <v>48</v>
      </c>
    </row>
    <row r="164" spans="3:22" ht="15">
      <c r="C164" s="151" t="s">
        <v>97</v>
      </c>
      <c r="G164" s="137"/>
      <c r="H164" s="163">
        <f>-H78</f>
        <v>0</v>
      </c>
      <c r="I164" s="163">
        <f>-I78</f>
        <v>0</v>
      </c>
      <c r="J164" s="163"/>
      <c r="K164" s="163">
        <f>-K78</f>
        <v>0</v>
      </c>
      <c r="N164" s="163">
        <f>N78</f>
        <v>0</v>
      </c>
      <c r="O164" s="163">
        <f t="shared" ref="O164:U164" si="80">O78</f>
        <v>0</v>
      </c>
      <c r="P164" s="163">
        <f t="shared" si="80"/>
        <v>0</v>
      </c>
      <c r="Q164" s="163">
        <f t="shared" si="80"/>
        <v>0</v>
      </c>
      <c r="R164" s="163">
        <f t="shared" si="80"/>
        <v>0</v>
      </c>
      <c r="S164" s="163">
        <f t="shared" si="80"/>
        <v>0</v>
      </c>
      <c r="T164" s="163">
        <f t="shared" si="80"/>
        <v>0</v>
      </c>
      <c r="U164" s="163">
        <f t="shared" si="80"/>
        <v>0</v>
      </c>
      <c r="V164" s="126" t="s">
        <v>48</v>
      </c>
    </row>
    <row r="165" spans="3:22" ht="15">
      <c r="G165" s="137"/>
      <c r="V165" s="126" t="s">
        <v>48</v>
      </c>
    </row>
    <row r="166" spans="3:22" ht="15">
      <c r="C166" s="174" t="s">
        <v>154</v>
      </c>
      <c r="D166" s="174"/>
      <c r="E166" s="174"/>
      <c r="F166" s="174"/>
      <c r="G166" s="191"/>
      <c r="H166" s="194">
        <f>H156+H159</f>
        <v>-385.10000000000014</v>
      </c>
      <c r="I166" s="194">
        <f>I156+I159</f>
        <v>-1300.5999999999999</v>
      </c>
      <c r="J166" s="194"/>
      <c r="K166" s="194">
        <f>K156+K159</f>
        <v>-8267.6000000000022</v>
      </c>
      <c r="L166" s="174"/>
      <c r="M166" s="174"/>
      <c r="N166" s="194">
        <f t="shared" ref="N166:U166" si="81">N156+N159</f>
        <v>-2337.587517863522</v>
      </c>
      <c r="O166" s="194">
        <f t="shared" ca="1" si="81"/>
        <v>-1093.7602833191063</v>
      </c>
      <c r="P166" s="194">
        <f t="shared" ca="1" si="81"/>
        <v>-176.3243761994072</v>
      </c>
      <c r="Q166" s="194">
        <f t="shared" ca="1" si="81"/>
        <v>586.25505146783689</v>
      </c>
      <c r="R166" s="194">
        <f t="shared" ca="1" si="81"/>
        <v>1446.2244083309479</v>
      </c>
      <c r="S166" s="194">
        <f t="shared" ca="1" si="81"/>
        <v>2458.2416156717659</v>
      </c>
      <c r="T166" s="194">
        <f t="shared" ca="1" si="81"/>
        <v>3320.1293914424064</v>
      </c>
      <c r="U166" s="194">
        <f t="shared" ca="1" si="81"/>
        <v>4078.4264481850387</v>
      </c>
      <c r="V166" s="126" t="s">
        <v>48</v>
      </c>
    </row>
    <row r="167" spans="3:22" ht="15">
      <c r="C167" s="135" t="s">
        <v>152</v>
      </c>
      <c r="G167" s="137"/>
      <c r="H167" s="195">
        <f>H166/H131</f>
        <v>-0.17486264359987291</v>
      </c>
      <c r="I167" s="195">
        <f>I166/I131</f>
        <v>-0.48604207930042226</v>
      </c>
      <c r="J167" s="195"/>
      <c r="K167" s="195">
        <f>K166/K131</f>
        <v>-5.0243694925554552</v>
      </c>
      <c r="L167" s="140"/>
      <c r="M167" s="140"/>
      <c r="N167" s="195">
        <f t="shared" ref="N167:U167" si="82">N166/N131</f>
        <v>-0.58476088322254582</v>
      </c>
      <c r="O167" s="195">
        <f t="shared" ca="1" si="82"/>
        <v>-0.22600593542445618</v>
      </c>
      <c r="P167" s="195">
        <f t="shared" ca="1" si="82"/>
        <v>-3.1151616988973996E-2</v>
      </c>
      <c r="Q167" s="195">
        <f t="shared" ca="1" si="82"/>
        <v>9.10763691702242E-2</v>
      </c>
      <c r="R167" s="195">
        <f t="shared" ca="1" si="82"/>
        <v>0.20120103949495094</v>
      </c>
      <c r="S167" s="195">
        <f t="shared" ca="1" si="82"/>
        <v>0.31085974932521548</v>
      </c>
      <c r="T167" s="195">
        <f t="shared" ca="1" si="82"/>
        <v>0.38646619343136618</v>
      </c>
      <c r="U167" s="195">
        <f t="shared" ca="1" si="82"/>
        <v>0.44181300756255654</v>
      </c>
      <c r="V167" s="126" t="s">
        <v>48</v>
      </c>
    </row>
    <row r="168" spans="3:22" ht="15">
      <c r="G168" s="137"/>
      <c r="V168" s="126" t="s">
        <v>48</v>
      </c>
    </row>
    <row r="169" spans="3:22" ht="15">
      <c r="C169" s="149" t="s">
        <v>155</v>
      </c>
      <c r="D169" s="149"/>
      <c r="E169" s="149"/>
      <c r="F169" s="149"/>
      <c r="G169" s="137"/>
      <c r="H169" s="192">
        <f>H59</f>
        <v>-130.69999999999999</v>
      </c>
      <c r="I169" s="192">
        <f>I59</f>
        <v>-339.1</v>
      </c>
      <c r="J169" s="192"/>
      <c r="K169" s="192">
        <f>K59</f>
        <v>-193.4</v>
      </c>
      <c r="L169" s="149"/>
      <c r="M169" s="149"/>
      <c r="N169" s="192">
        <f t="shared" ref="N169:U169" si="83">N59</f>
        <v>-718.78282689689104</v>
      </c>
      <c r="O169" s="192">
        <f t="shared" ca="1" si="83"/>
        <v>-818.2040578111297</v>
      </c>
      <c r="P169" s="192">
        <f t="shared" ca="1" si="83"/>
        <v>-956.95405311140564</v>
      </c>
      <c r="Q169" s="192">
        <f t="shared" ca="1" si="83"/>
        <v>-1088.2789118314665</v>
      </c>
      <c r="R169" s="192">
        <f t="shared" ca="1" si="83"/>
        <v>-1215.24765434507</v>
      </c>
      <c r="S169" s="192">
        <f t="shared" ca="1" si="83"/>
        <v>-1336.963031748953</v>
      </c>
      <c r="T169" s="192">
        <f t="shared" ca="1" si="83"/>
        <v>-1452.4554631109013</v>
      </c>
      <c r="U169" s="192">
        <f t="shared" ca="1" si="83"/>
        <v>-1560.6785491252053</v>
      </c>
      <c r="V169" s="126" t="s">
        <v>48</v>
      </c>
    </row>
    <row r="170" spans="3:22" ht="15">
      <c r="G170" s="137"/>
      <c r="V170" s="126" t="s">
        <v>48</v>
      </c>
    </row>
    <row r="171" spans="3:22" ht="15">
      <c r="C171" s="149" t="s">
        <v>156</v>
      </c>
      <c r="D171" s="149"/>
      <c r="E171" s="149"/>
      <c r="F171" s="149"/>
      <c r="G171" s="137"/>
      <c r="H171" s="196">
        <f>(H106-G106)+(H115-G115)</f>
        <v>400.00000000000017</v>
      </c>
      <c r="I171" s="196">
        <f>(I106-H106)+(I115-H115)</f>
        <v>2094.6999999999998</v>
      </c>
      <c r="J171" s="196"/>
      <c r="K171" s="196">
        <f>(K106-J106)+(K115-J115)</f>
        <v>5952.4</v>
      </c>
      <c r="L171" s="149"/>
      <c r="M171" s="149"/>
      <c r="N171" s="192">
        <f>(N106-I106)+(N115-I115)</f>
        <v>0</v>
      </c>
      <c r="O171" s="192">
        <f t="shared" ref="O171:U171" ca="1" si="84">(O106-N106)+(O115-N115)</f>
        <v>818.10080925835643</v>
      </c>
      <c r="P171" s="192">
        <f t="shared" ca="1" si="84"/>
        <v>1141.7227728518533</v>
      </c>
      <c r="Q171" s="192">
        <f t="shared" ca="1" si="84"/>
        <v>1080.6240498802206</v>
      </c>
      <c r="R171" s="192">
        <f t="shared" ca="1" si="84"/>
        <v>1044.7791688527443</v>
      </c>
      <c r="S171" s="192">
        <f t="shared" ca="1" si="84"/>
        <v>1001.5511560020548</v>
      </c>
      <c r="T171" s="192">
        <f t="shared" ca="1" si="84"/>
        <v>950.34481761675147</v>
      </c>
      <c r="U171" s="192">
        <f t="shared" ca="1" si="84"/>
        <v>890.52804350322185</v>
      </c>
      <c r="V171" s="126" t="s">
        <v>48</v>
      </c>
    </row>
    <row r="172" spans="3:22" ht="15">
      <c r="G172" s="137"/>
      <c r="V172" s="126" t="s">
        <v>48</v>
      </c>
    </row>
    <row r="173" spans="3:22" ht="15">
      <c r="C173" s="149" t="s">
        <v>157</v>
      </c>
      <c r="D173" s="149"/>
      <c r="E173" s="149"/>
      <c r="F173" s="149"/>
      <c r="G173" s="137"/>
      <c r="H173" s="192">
        <f>SUM(H174:H177)</f>
        <v>-236.29999999999956</v>
      </c>
      <c r="I173" s="192">
        <f>SUM(I174:I177)</f>
        <v>-430</v>
      </c>
      <c r="J173" s="192"/>
      <c r="K173" s="192">
        <f>SUM(K174:K177)</f>
        <v>1684</v>
      </c>
      <c r="L173" s="149"/>
      <c r="M173" s="149"/>
      <c r="N173" s="192">
        <f t="shared" ref="N173:U173" si="85">SUM(N174:N177)</f>
        <v>-284.39494502509126</v>
      </c>
      <c r="O173" s="192">
        <f t="shared" ca="1" si="85"/>
        <v>-512.09643581242665</v>
      </c>
      <c r="P173" s="192">
        <f t="shared" ca="1" si="85"/>
        <v>-680.23233476679661</v>
      </c>
      <c r="Q173" s="192">
        <f t="shared" ca="1" si="85"/>
        <v>-794.45511563923469</v>
      </c>
      <c r="R173" s="192">
        <f t="shared" ca="1" si="85"/>
        <v>-882.79662944504048</v>
      </c>
      <c r="S173" s="192">
        <f t="shared" ca="1" si="85"/>
        <v>-988.79309405359209</v>
      </c>
      <c r="T173" s="192">
        <f t="shared" ca="1" si="85"/>
        <v>-1062.3524992250907</v>
      </c>
      <c r="U173" s="192">
        <f t="shared" ca="1" si="85"/>
        <v>-1110.7097615028447</v>
      </c>
      <c r="V173" s="126" t="s">
        <v>48</v>
      </c>
    </row>
    <row r="174" spans="3:22" ht="15">
      <c r="C174" s="151" t="s">
        <v>158</v>
      </c>
      <c r="G174" s="137"/>
      <c r="H174" s="163">
        <f>-H67</f>
        <v>-1044.2</v>
      </c>
      <c r="I174" s="163">
        <f>-I67</f>
        <v>-440.6</v>
      </c>
      <c r="J174" s="163"/>
      <c r="K174" s="163">
        <f>-K67</f>
        <v>-281.8</v>
      </c>
      <c r="N174" s="163">
        <f t="shared" ref="N174:U174" si="86">-N67</f>
        <v>-355.49368128136427</v>
      </c>
      <c r="O174" s="163">
        <f t="shared" ca="1" si="86"/>
        <v>-640.12054476553328</v>
      </c>
      <c r="P174" s="163">
        <f t="shared" ca="1" si="86"/>
        <v>-850.29041845849588</v>
      </c>
      <c r="Q174" s="163">
        <f t="shared" ca="1" si="86"/>
        <v>-993.06889454904331</v>
      </c>
      <c r="R174" s="163">
        <f t="shared" ca="1" si="86"/>
        <v>-1103.4957868063002</v>
      </c>
      <c r="S174" s="163">
        <f t="shared" ca="1" si="86"/>
        <v>-1235.99136756699</v>
      </c>
      <c r="T174" s="163">
        <f t="shared" ca="1" si="86"/>
        <v>-1327.9406240313626</v>
      </c>
      <c r="U174" s="163">
        <f t="shared" ca="1" si="86"/>
        <v>-1388.3872018785555</v>
      </c>
      <c r="V174" s="126" t="s">
        <v>48</v>
      </c>
    </row>
    <row r="175" spans="3:22" ht="15">
      <c r="C175" s="151" t="s">
        <v>130</v>
      </c>
      <c r="G175" s="137"/>
      <c r="H175" s="163">
        <f>H121-G121</f>
        <v>-1344.1999999999998</v>
      </c>
      <c r="I175" s="163">
        <f>I121-H121</f>
        <v>-105.79999999999995</v>
      </c>
      <c r="J175" s="163"/>
      <c r="K175" s="163">
        <f>K121-J121</f>
        <v>850.8</v>
      </c>
      <c r="N175" s="163">
        <f>N121-I121</f>
        <v>0</v>
      </c>
      <c r="O175" s="163">
        <f t="shared" ref="O175:U176" si="87">O121-N121</f>
        <v>0</v>
      </c>
      <c r="P175" s="163">
        <f t="shared" si="87"/>
        <v>0</v>
      </c>
      <c r="Q175" s="163">
        <f t="shared" si="87"/>
        <v>0</v>
      </c>
      <c r="R175" s="163">
        <f t="shared" si="87"/>
        <v>0</v>
      </c>
      <c r="S175" s="163">
        <f t="shared" si="87"/>
        <v>0</v>
      </c>
      <c r="T175" s="163">
        <f t="shared" si="87"/>
        <v>0</v>
      </c>
      <c r="U175" s="163">
        <f t="shared" si="87"/>
        <v>0</v>
      </c>
      <c r="V175" s="126" t="s">
        <v>48</v>
      </c>
    </row>
    <row r="176" spans="3:22" ht="15">
      <c r="C176" s="151" t="s">
        <v>131</v>
      </c>
      <c r="G176" s="137"/>
      <c r="H176" s="193">
        <f>H122-G122</f>
        <v>2146.4</v>
      </c>
      <c r="I176" s="193">
        <f>I122-H122</f>
        <v>127.89999999999998</v>
      </c>
      <c r="J176" s="193"/>
      <c r="K176" s="193">
        <f>K122-J122</f>
        <v>1098.8</v>
      </c>
      <c r="N176" s="163">
        <f>N122-I122</f>
        <v>71.098736256273014</v>
      </c>
      <c r="O176" s="163">
        <f t="shared" ca="1" si="87"/>
        <v>128.02410895310663</v>
      </c>
      <c r="P176" s="163">
        <f t="shared" ca="1" si="87"/>
        <v>170.05808369169927</v>
      </c>
      <c r="Q176" s="163">
        <f t="shared" ca="1" si="87"/>
        <v>198.61377890980862</v>
      </c>
      <c r="R176" s="163">
        <f t="shared" ca="1" si="87"/>
        <v>220.69915736125972</v>
      </c>
      <c r="S176" s="163">
        <f t="shared" ca="1" si="87"/>
        <v>247.19827351339791</v>
      </c>
      <c r="T176" s="163">
        <f t="shared" ca="1" si="87"/>
        <v>265.58812480627194</v>
      </c>
      <c r="U176" s="163">
        <f t="shared" ca="1" si="87"/>
        <v>277.67744037571083</v>
      </c>
      <c r="V176" s="126" t="s">
        <v>48</v>
      </c>
    </row>
    <row r="177" spans="1:22" ht="15">
      <c r="C177" s="151" t="s">
        <v>134</v>
      </c>
      <c r="G177" s="137"/>
      <c r="H177" s="193">
        <f>H124-G124</f>
        <v>5.6999999999999993</v>
      </c>
      <c r="I177" s="163">
        <f>I124-H124</f>
        <v>-11.499999999999998</v>
      </c>
      <c r="J177" s="193"/>
      <c r="K177" s="193">
        <f>K124-J124</f>
        <v>16.2</v>
      </c>
      <c r="N177" s="163">
        <f>N124-I124</f>
        <v>0</v>
      </c>
      <c r="O177" s="193">
        <f t="shared" ref="O177:U177" si="88">O124-N124</f>
        <v>0</v>
      </c>
      <c r="P177" s="193">
        <f t="shared" si="88"/>
        <v>0</v>
      </c>
      <c r="Q177" s="193">
        <f t="shared" si="88"/>
        <v>0</v>
      </c>
      <c r="R177" s="193">
        <f t="shared" si="88"/>
        <v>0</v>
      </c>
      <c r="S177" s="193">
        <f t="shared" si="88"/>
        <v>0</v>
      </c>
      <c r="T177" s="193">
        <f t="shared" si="88"/>
        <v>0</v>
      </c>
      <c r="U177" s="193">
        <f t="shared" si="88"/>
        <v>0</v>
      </c>
      <c r="V177" s="126" t="s">
        <v>48</v>
      </c>
    </row>
    <row r="178" spans="1:22" ht="15">
      <c r="G178" s="137"/>
      <c r="V178" s="126" t="s">
        <v>48</v>
      </c>
    </row>
    <row r="179" spans="1:22" ht="15">
      <c r="C179" s="149" t="s">
        <v>159</v>
      </c>
      <c r="D179" s="149"/>
      <c r="E179" s="149"/>
      <c r="F179" s="149"/>
      <c r="G179" s="137"/>
      <c r="H179" s="196">
        <f>SUM(H180:H181)</f>
        <v>79.600000000000023</v>
      </c>
      <c r="I179" s="196">
        <f>SUM(I180:I181)</f>
        <v>365.59999999999997</v>
      </c>
      <c r="J179" s="196"/>
      <c r="K179" s="196">
        <f>SUM(K180:K181)</f>
        <v>3689.7</v>
      </c>
      <c r="L179" s="149"/>
      <c r="M179" s="149"/>
      <c r="N179" s="196">
        <f t="shared" ref="N179:U179" si="89">SUM(N180:N181)</f>
        <v>0</v>
      </c>
      <c r="O179" s="196">
        <f t="shared" si="89"/>
        <v>0</v>
      </c>
      <c r="P179" s="196">
        <f t="shared" si="89"/>
        <v>0</v>
      </c>
      <c r="Q179" s="196">
        <f t="shared" si="89"/>
        <v>0</v>
      </c>
      <c r="R179" s="196">
        <f t="shared" si="89"/>
        <v>0</v>
      </c>
      <c r="S179" s="196">
        <f t="shared" si="89"/>
        <v>0</v>
      </c>
      <c r="T179" s="196">
        <f t="shared" si="89"/>
        <v>0</v>
      </c>
      <c r="U179" s="196">
        <f t="shared" si="89"/>
        <v>0</v>
      </c>
      <c r="V179" s="126" t="s">
        <v>48</v>
      </c>
    </row>
    <row r="180" spans="1:22" ht="15">
      <c r="C180" s="151" t="s">
        <v>133</v>
      </c>
      <c r="G180" s="137"/>
      <c r="H180" s="193">
        <f>H123-G123</f>
        <v>79.600000000000023</v>
      </c>
      <c r="I180" s="193">
        <f>I123-H123</f>
        <v>365.59999999999997</v>
      </c>
      <c r="J180" s="193"/>
      <c r="K180" s="193">
        <f>K123-J123</f>
        <v>542</v>
      </c>
      <c r="N180" s="163">
        <f>N123-I123</f>
        <v>0</v>
      </c>
      <c r="O180" s="163">
        <f t="shared" ref="O180:U180" si="90">O123-N123</f>
        <v>0</v>
      </c>
      <c r="P180" s="163">
        <f t="shared" si="90"/>
        <v>0</v>
      </c>
      <c r="Q180" s="163">
        <f t="shared" si="90"/>
        <v>0</v>
      </c>
      <c r="R180" s="163">
        <f t="shared" si="90"/>
        <v>0</v>
      </c>
      <c r="S180" s="163">
        <f t="shared" si="90"/>
        <v>0</v>
      </c>
      <c r="T180" s="163">
        <f t="shared" si="90"/>
        <v>0</v>
      </c>
      <c r="U180" s="163">
        <f t="shared" si="90"/>
        <v>0</v>
      </c>
      <c r="V180" s="126" t="s">
        <v>48</v>
      </c>
    </row>
    <row r="181" spans="1:22" ht="15">
      <c r="C181" s="151" t="s">
        <v>160</v>
      </c>
      <c r="G181" s="137"/>
      <c r="H181" s="193">
        <f>H120-G120</f>
        <v>0</v>
      </c>
      <c r="I181" s="193">
        <f>I120-H120</f>
        <v>0</v>
      </c>
      <c r="J181" s="193"/>
      <c r="K181" s="193">
        <f>K120-J120</f>
        <v>3147.7</v>
      </c>
      <c r="N181" s="163">
        <f>N120-I120</f>
        <v>0</v>
      </c>
      <c r="O181" s="163">
        <f t="shared" ref="O181:U181" si="91">O120-N120</f>
        <v>0</v>
      </c>
      <c r="P181" s="163">
        <f t="shared" si="91"/>
        <v>0</v>
      </c>
      <c r="Q181" s="163">
        <f t="shared" si="91"/>
        <v>0</v>
      </c>
      <c r="R181" s="163">
        <f t="shared" si="91"/>
        <v>0</v>
      </c>
      <c r="S181" s="163">
        <f t="shared" si="91"/>
        <v>0</v>
      </c>
      <c r="T181" s="163">
        <f t="shared" si="91"/>
        <v>0</v>
      </c>
      <c r="U181" s="163">
        <f t="shared" si="91"/>
        <v>0</v>
      </c>
      <c r="V181" s="126" t="s">
        <v>48</v>
      </c>
    </row>
    <row r="182" spans="1:22" ht="15">
      <c r="G182" s="137"/>
      <c r="V182" s="126" t="s">
        <v>48</v>
      </c>
    </row>
    <row r="183" spans="1:22" ht="15">
      <c r="C183" s="174" t="s">
        <v>161</v>
      </c>
      <c r="D183" s="174"/>
      <c r="E183" s="174"/>
      <c r="F183" s="174"/>
      <c r="G183" s="191"/>
      <c r="H183" s="194">
        <f>SUM(H166,H169,H171,H173,H179)</f>
        <v>-272.49999999999955</v>
      </c>
      <c r="I183" s="194">
        <f>SUM(I166,I169,I171,I173,I179)</f>
        <v>390.59999999999997</v>
      </c>
      <c r="J183" s="194"/>
      <c r="K183" s="194">
        <f>SUM(K166,K169,K171,K173,K179)</f>
        <v>2865.0999999999976</v>
      </c>
      <c r="L183" s="174"/>
      <c r="M183" s="174"/>
      <c r="N183" s="194">
        <f t="shared" ref="N183:U183" si="92">SUM(N166,N169,N171,N173,N179)</f>
        <v>-3340.7652897855041</v>
      </c>
      <c r="O183" s="194">
        <f t="shared" ca="1" si="92"/>
        <v>-1605.9599676843059</v>
      </c>
      <c r="P183" s="194">
        <f t="shared" ca="1" si="92"/>
        <v>-671.78799122575629</v>
      </c>
      <c r="Q183" s="194">
        <f t="shared" ca="1" si="92"/>
        <v>-215.85492612264375</v>
      </c>
      <c r="R183" s="194">
        <f t="shared" ca="1" si="92"/>
        <v>392.95929339358167</v>
      </c>
      <c r="S183" s="194">
        <f t="shared" ca="1" si="92"/>
        <v>1134.0366458712756</v>
      </c>
      <c r="T183" s="194">
        <f t="shared" ca="1" si="92"/>
        <v>1755.6662467231661</v>
      </c>
      <c r="U183" s="194">
        <f t="shared" ca="1" si="92"/>
        <v>2297.5661810602105</v>
      </c>
      <c r="V183" s="126" t="s">
        <v>48</v>
      </c>
    </row>
    <row r="184" spans="1:22" ht="15">
      <c r="H184" s="193"/>
      <c r="V184" s="126" t="s">
        <v>48</v>
      </c>
    </row>
    <row r="185" spans="1:22" ht="15">
      <c r="C185" s="151" t="s">
        <v>162</v>
      </c>
      <c r="G185" s="137"/>
      <c r="H185" s="193">
        <f>G186</f>
        <v>2970</v>
      </c>
      <c r="I185" s="193">
        <f>H186</f>
        <v>2697.5000000000005</v>
      </c>
      <c r="J185" s="193"/>
      <c r="K185" s="193">
        <f>J186</f>
        <v>0</v>
      </c>
      <c r="N185" s="163">
        <f>I186</f>
        <v>3088.1000000000004</v>
      </c>
      <c r="O185" s="163">
        <f>N186</f>
        <v>-252.66528978550377</v>
      </c>
      <c r="P185" s="163">
        <f t="shared" ref="P185:U185" ca="1" si="93">O186</f>
        <v>-1858.6252574698096</v>
      </c>
      <c r="Q185" s="163">
        <f t="shared" ca="1" si="93"/>
        <v>-2530.4132486955659</v>
      </c>
      <c r="R185" s="163">
        <f t="shared" ca="1" si="93"/>
        <v>-2746.2681748182094</v>
      </c>
      <c r="S185" s="163">
        <f t="shared" ca="1" si="93"/>
        <v>-2353.3088814246275</v>
      </c>
      <c r="T185" s="163">
        <f t="shared" ca="1" si="93"/>
        <v>-1219.2722355533519</v>
      </c>
      <c r="U185" s="163">
        <f t="shared" ca="1" si="93"/>
        <v>536.39401116981412</v>
      </c>
      <c r="V185" s="126" t="s">
        <v>48</v>
      </c>
    </row>
    <row r="186" spans="1:22" ht="15">
      <c r="C186" s="151" t="s">
        <v>163</v>
      </c>
      <c r="G186" s="193">
        <f>G87+G88+G93</f>
        <v>2970</v>
      </c>
      <c r="H186" s="193">
        <f>H185+H183</f>
        <v>2697.5000000000005</v>
      </c>
      <c r="I186" s="193">
        <f>I185+I183</f>
        <v>3088.1000000000004</v>
      </c>
      <c r="J186" s="193"/>
      <c r="K186" s="193">
        <f>K185+K183</f>
        <v>2865.0999999999976</v>
      </c>
      <c r="N186" s="163">
        <f>N185+N183</f>
        <v>-252.66528978550377</v>
      </c>
      <c r="O186" s="163">
        <f t="shared" ref="O186:U186" ca="1" si="94">O185+O183</f>
        <v>-1858.6252574698096</v>
      </c>
      <c r="P186" s="163">
        <f t="shared" ca="1" si="94"/>
        <v>-2530.4132486955659</v>
      </c>
      <c r="Q186" s="163">
        <f t="shared" ca="1" si="94"/>
        <v>-2746.2681748182094</v>
      </c>
      <c r="R186" s="163">
        <f t="shared" ca="1" si="94"/>
        <v>-2353.3088814246275</v>
      </c>
      <c r="S186" s="163">
        <f t="shared" ca="1" si="94"/>
        <v>-1219.2722355533519</v>
      </c>
      <c r="T186" s="163">
        <f t="shared" ca="1" si="94"/>
        <v>536.39401116981412</v>
      </c>
      <c r="U186" s="163">
        <f t="shared" ca="1" si="94"/>
        <v>2833.9601922300244</v>
      </c>
      <c r="V186" s="126" t="s">
        <v>48</v>
      </c>
    </row>
    <row r="187" spans="1:22" ht="15">
      <c r="V187" s="126" t="s">
        <v>48</v>
      </c>
    </row>
    <row r="188" spans="1:22" ht="15">
      <c r="A188" s="197" t="s">
        <v>164</v>
      </c>
    </row>
    <row r="189" spans="1:22" ht="15"/>
    <row r="190" spans="1:22" ht="15"/>
    <row r="191" spans="1:22" ht="15"/>
    <row r="192" spans="1:22" ht="15"/>
    <row r="193" ht="15"/>
    <row r="194" ht="15"/>
    <row r="195" ht="15"/>
  </sheetData>
  <conditionalFormatting sqref="G127:M1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C80B-5239-4D62-9B93-7FE3C973C4A4}">
  <dimension ref="A1:AF1226"/>
  <sheetViews>
    <sheetView showGridLines="0" tabSelected="1" zoomScale="70" zoomScaleNormal="70" workbookViewId="0">
      <pane xSplit="5" ySplit="8" topLeftCell="F9" activePane="bottomRight" state="frozen"/>
      <selection pane="topRight" activeCell="G32" sqref="G32:K32"/>
      <selection pane="bottomLeft" activeCell="G32" sqref="G32:K32"/>
      <selection pane="bottomRight" activeCell="L420" sqref="L420"/>
    </sheetView>
  </sheetViews>
  <sheetFormatPr defaultColWidth="0" defaultRowHeight="15" zeroHeight="1" outlineLevelRow="1"/>
  <cols>
    <col min="1" max="1" width="2.42578125" customWidth="1"/>
    <col min="2" max="2" width="4.7109375" bestFit="1" customWidth="1"/>
    <col min="3" max="3" width="4.7109375" customWidth="1"/>
    <col min="4" max="4" width="48.7109375" bestFit="1" customWidth="1"/>
    <col min="5" max="5" width="8.7109375" customWidth="1"/>
    <col min="6" max="6" width="15.28515625" style="163" customWidth="1"/>
    <col min="7" max="7" width="10.7109375" style="163" customWidth="1"/>
    <col min="8" max="8" width="5" style="163" bestFit="1" customWidth="1"/>
    <col min="9" max="9" width="12.28515625" style="163" customWidth="1"/>
    <col min="10" max="10" width="11.7109375" style="163" customWidth="1"/>
    <col min="11" max="12" width="12.42578125" style="163" customWidth="1"/>
    <col min="13" max="13" width="14.5703125" style="163" bestFit="1" customWidth="1"/>
    <col min="14" max="14" width="12.7109375" style="163" customWidth="1"/>
    <col min="15" max="15" width="12.42578125" style="163" customWidth="1"/>
    <col min="16" max="19" width="13" style="163" bestFit="1" customWidth="1"/>
    <col min="20" max="20" width="8.7109375" style="199" customWidth="1"/>
    <col min="21" max="21" width="11.7109375" customWidth="1"/>
    <col min="22" max="32" width="8.7109375" customWidth="1"/>
    <col min="33" max="16384" width="8.7109375" hidden="1"/>
  </cols>
  <sheetData>
    <row r="1" spans="2:20" s="121" customFormat="1"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407"/>
    </row>
    <row r="2" spans="2:20" s="121" customFormat="1"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407"/>
    </row>
    <row r="3" spans="2:20" s="121" customFormat="1"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407"/>
    </row>
    <row r="4" spans="2:20" s="122" customFormat="1" ht="6.75" customHeight="1">
      <c r="B4" s="106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5"/>
      <c r="T4" s="406"/>
    </row>
    <row r="5" spans="2:20"/>
    <row r="6" spans="2:20"/>
    <row r="7" spans="2:20">
      <c r="F7"/>
      <c r="G7"/>
      <c r="H7"/>
      <c r="I7"/>
      <c r="J7"/>
      <c r="K7"/>
      <c r="L7"/>
      <c r="M7"/>
      <c r="N7"/>
      <c r="O7"/>
      <c r="P7"/>
      <c r="Q7"/>
      <c r="R7"/>
      <c r="S7"/>
      <c r="T7" t="s">
        <v>165</v>
      </c>
    </row>
    <row r="8" spans="2:20">
      <c r="D8" s="114" t="s">
        <v>166</v>
      </c>
      <c r="E8" s="123" t="s">
        <v>42</v>
      </c>
      <c r="F8" s="123" t="s">
        <v>167</v>
      </c>
      <c r="G8" s="123" t="s">
        <v>168</v>
      </c>
      <c r="H8" s="123"/>
      <c r="I8" s="124">
        <v>44926</v>
      </c>
      <c r="J8" s="124">
        <f>EOMONTH(I8,12)</f>
        <v>45291</v>
      </c>
      <c r="K8" s="124">
        <f>EOMONTH(J8,12)</f>
        <v>45657</v>
      </c>
      <c r="L8" s="125">
        <f t="shared" ref="L8:S8" si="0">EOMONTH(K8,12)</f>
        <v>46022</v>
      </c>
      <c r="M8" s="125">
        <f t="shared" si="0"/>
        <v>46387</v>
      </c>
      <c r="N8" s="125">
        <f t="shared" si="0"/>
        <v>46752</v>
      </c>
      <c r="O8" s="125">
        <f t="shared" si="0"/>
        <v>47118</v>
      </c>
      <c r="P8" s="125">
        <f t="shared" si="0"/>
        <v>47483</v>
      </c>
      <c r="Q8" s="125">
        <f t="shared" si="0"/>
        <v>47848</v>
      </c>
      <c r="R8" s="125">
        <f t="shared" si="0"/>
        <v>48213</v>
      </c>
      <c r="S8" s="125">
        <f t="shared" si="0"/>
        <v>48579</v>
      </c>
      <c r="T8" s="126" t="s">
        <v>48</v>
      </c>
    </row>
    <row r="9" spans="2:20">
      <c r="F9" s="127"/>
      <c r="G9" s="127"/>
      <c r="H9" s="127"/>
      <c r="I9"/>
      <c r="J9"/>
      <c r="K9" s="200"/>
      <c r="L9"/>
      <c r="M9"/>
      <c r="N9"/>
      <c r="O9"/>
      <c r="P9"/>
      <c r="Q9"/>
      <c r="R9"/>
      <c r="S9"/>
      <c r="T9" s="126" t="s">
        <v>48</v>
      </c>
    </row>
    <row r="10" spans="2:20">
      <c r="D10" s="111" t="s">
        <v>169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6" t="s">
        <v>48</v>
      </c>
    </row>
    <row r="11" spans="2:20">
      <c r="F11"/>
      <c r="G11"/>
      <c r="H11"/>
      <c r="I11"/>
      <c r="J11"/>
      <c r="K11" s="200"/>
      <c r="L11"/>
      <c r="M11"/>
      <c r="N11"/>
      <c r="O11"/>
      <c r="P11"/>
      <c r="Q11"/>
      <c r="R11"/>
      <c r="S11"/>
      <c r="T11" s="126" t="s">
        <v>48</v>
      </c>
    </row>
    <row r="12" spans="2:20">
      <c r="D12" t="s">
        <v>170</v>
      </c>
      <c r="E12" s="201" t="s">
        <v>171</v>
      </c>
      <c r="F12"/>
      <c r="G12"/>
      <c r="H12"/>
      <c r="I12" s="202">
        <v>3.0167179011841849E-2</v>
      </c>
      <c r="J12" s="202">
        <v>3.2416517981320281E-2</v>
      </c>
      <c r="K12" s="203">
        <v>3.3958547907858572E-2</v>
      </c>
      <c r="L12" s="202">
        <v>2.1539770864976271E-2</v>
      </c>
      <c r="M12" s="202">
        <v>1.4746764236956089E-2</v>
      </c>
      <c r="N12" s="202">
        <v>1.5254130735634197E-2</v>
      </c>
      <c r="O12" s="202">
        <v>1.4640622298337957E-2</v>
      </c>
      <c r="P12" s="202">
        <f t="shared" ref="P12:P17" si="1">O12</f>
        <v>1.4640622298337957E-2</v>
      </c>
      <c r="Q12" s="202">
        <f t="shared" ref="Q12:S17" si="2">P12</f>
        <v>1.4640622298337957E-2</v>
      </c>
      <c r="R12" s="202">
        <f t="shared" si="2"/>
        <v>1.4640622298337957E-2</v>
      </c>
      <c r="S12" s="202">
        <f t="shared" si="2"/>
        <v>1.4640622298337957E-2</v>
      </c>
      <c r="T12" s="126" t="s">
        <v>48</v>
      </c>
    </row>
    <row r="13" spans="2:20">
      <c r="D13" t="s">
        <v>172</v>
      </c>
      <c r="E13" s="201" t="s">
        <v>171</v>
      </c>
      <c r="F13"/>
      <c r="G13"/>
      <c r="H13"/>
      <c r="I13" s="202">
        <v>5.7850929078894664E-2</v>
      </c>
      <c r="J13" s="202">
        <v>4.6211900050818322E-2</v>
      </c>
      <c r="K13" s="203">
        <v>4.8311967483947837E-2</v>
      </c>
      <c r="L13" s="202">
        <v>4.6805154566579743E-2</v>
      </c>
      <c r="M13" s="202">
        <v>4.2797907663826962E-2</v>
      </c>
      <c r="N13" s="202">
        <v>4.0000000000000924E-2</v>
      </c>
      <c r="O13" s="202">
        <v>3.5000000000000586E-2</v>
      </c>
      <c r="P13" s="202">
        <f t="shared" si="1"/>
        <v>3.5000000000000586E-2</v>
      </c>
      <c r="Q13" s="202">
        <f t="shared" si="2"/>
        <v>3.5000000000000586E-2</v>
      </c>
      <c r="R13" s="202">
        <f t="shared" si="2"/>
        <v>3.5000000000000586E-2</v>
      </c>
      <c r="S13" s="202">
        <f t="shared" si="2"/>
        <v>3.5000000000000586E-2</v>
      </c>
      <c r="T13" s="126" t="s">
        <v>48</v>
      </c>
    </row>
    <row r="14" spans="2:20">
      <c r="D14" t="s">
        <v>173</v>
      </c>
      <c r="E14" s="201" t="s">
        <v>171</v>
      </c>
      <c r="F14"/>
      <c r="G14"/>
      <c r="H14"/>
      <c r="I14" s="202">
        <v>5.4512855725947995E-2</v>
      </c>
      <c r="J14" s="202">
        <v>-3.1758279716232463E-2</v>
      </c>
      <c r="K14" s="203">
        <v>6.5356584277505458E-2</v>
      </c>
      <c r="L14" s="202">
        <v>1.075139778417844E-2</v>
      </c>
      <c r="M14" s="202">
        <v>3.4132098966743962E-2</v>
      </c>
      <c r="N14" s="202">
        <v>4.0000000000001368E-2</v>
      </c>
      <c r="O14" s="202">
        <v>3.5000000000000586E-2</v>
      </c>
      <c r="P14" s="202">
        <f t="shared" si="1"/>
        <v>3.5000000000000586E-2</v>
      </c>
      <c r="Q14" s="202">
        <f t="shared" si="2"/>
        <v>3.5000000000000586E-2</v>
      </c>
      <c r="R14" s="202">
        <f t="shared" si="2"/>
        <v>3.5000000000000586E-2</v>
      </c>
      <c r="S14" s="202">
        <f t="shared" si="2"/>
        <v>3.5000000000000586E-2</v>
      </c>
      <c r="T14" s="126" t="s">
        <v>48</v>
      </c>
    </row>
    <row r="15" spans="2:20">
      <c r="D15" t="s">
        <v>174</v>
      </c>
      <c r="E15" s="201" t="s">
        <v>171</v>
      </c>
      <c r="F15"/>
      <c r="G15"/>
      <c r="H15"/>
      <c r="I15" s="202">
        <v>0.13750000000000001</v>
      </c>
      <c r="J15" s="202">
        <v>0.11749999999999999</v>
      </c>
      <c r="K15" s="203">
        <v>0.1225</v>
      </c>
      <c r="L15" s="202">
        <v>0.15</v>
      </c>
      <c r="M15" s="202">
        <v>0.1275</v>
      </c>
      <c r="N15" s="202">
        <v>0.1125</v>
      </c>
      <c r="O15" s="202">
        <v>0.10249999999999999</v>
      </c>
      <c r="P15" s="202">
        <f t="shared" si="1"/>
        <v>0.10249999999999999</v>
      </c>
      <c r="Q15" s="202">
        <f t="shared" si="2"/>
        <v>0.10249999999999999</v>
      </c>
      <c r="R15" s="202">
        <f t="shared" si="2"/>
        <v>0.10249999999999999</v>
      </c>
      <c r="S15" s="202">
        <f t="shared" si="2"/>
        <v>0.10249999999999999</v>
      </c>
      <c r="T15" s="126" t="s">
        <v>48</v>
      </c>
    </row>
    <row r="16" spans="2:20">
      <c r="D16" t="s">
        <v>175</v>
      </c>
      <c r="E16" s="201" t="s">
        <v>171</v>
      </c>
      <c r="F16"/>
      <c r="G16"/>
      <c r="H16"/>
      <c r="I16" s="202">
        <v>0.1242156862134729</v>
      </c>
      <c r="J16" s="202">
        <v>0.13198299273696934</v>
      </c>
      <c r="K16" s="203">
        <v>0.10838193185851752</v>
      </c>
      <c r="L16" s="202">
        <v>0.14305188627202159</v>
      </c>
      <c r="M16" s="202">
        <v>0.13440971397495916</v>
      </c>
      <c r="N16" s="202">
        <v>0.1172777140947765</v>
      </c>
      <c r="O16" s="202">
        <v>0.10405010963754213</v>
      </c>
      <c r="P16" s="202">
        <v>0.10405010963754213</v>
      </c>
      <c r="Q16" s="202">
        <v>0.10405010963754213</v>
      </c>
      <c r="R16" s="202">
        <v>0.10405010963754213</v>
      </c>
      <c r="S16" s="202">
        <f t="shared" si="2"/>
        <v>0.10405010963754213</v>
      </c>
      <c r="T16" s="126" t="s">
        <v>48</v>
      </c>
    </row>
    <row r="17" spans="1:20">
      <c r="D17" t="s">
        <v>176</v>
      </c>
      <c r="E17" s="201" t="s">
        <v>171</v>
      </c>
      <c r="F17"/>
      <c r="G17"/>
      <c r="H17"/>
      <c r="I17" s="132">
        <v>5.2804000000000002</v>
      </c>
      <c r="J17" s="132">
        <v>4.8571999999999997</v>
      </c>
      <c r="K17" s="204">
        <v>6.1773999999999996</v>
      </c>
      <c r="L17" s="132">
        <v>5.35</v>
      </c>
      <c r="M17" s="132">
        <v>5.5</v>
      </c>
      <c r="N17" s="132">
        <v>5.7</v>
      </c>
      <c r="O17" s="132">
        <v>5.75</v>
      </c>
      <c r="P17" s="132">
        <f t="shared" si="1"/>
        <v>5.75</v>
      </c>
      <c r="Q17" s="132">
        <f t="shared" si="2"/>
        <v>5.75</v>
      </c>
      <c r="R17" s="132">
        <f t="shared" si="2"/>
        <v>5.75</v>
      </c>
      <c r="S17" s="132">
        <f t="shared" si="2"/>
        <v>5.75</v>
      </c>
      <c r="T17" s="126" t="s">
        <v>48</v>
      </c>
    </row>
    <row r="18" spans="1:20">
      <c r="F18"/>
      <c r="G18"/>
      <c r="H18"/>
      <c r="I18"/>
      <c r="J18"/>
      <c r="K18" s="200"/>
      <c r="L18"/>
      <c r="M18"/>
      <c r="N18"/>
      <c r="O18"/>
      <c r="P18"/>
      <c r="Q18"/>
      <c r="R18"/>
      <c r="S18"/>
      <c r="T18" s="126" t="s">
        <v>48</v>
      </c>
    </row>
    <row r="19" spans="1:20" ht="15.75">
      <c r="A19" s="205" t="s">
        <v>56</v>
      </c>
      <c r="B19" s="123">
        <v>1</v>
      </c>
      <c r="C19" s="123"/>
      <c r="D19" s="206" t="s">
        <v>29</v>
      </c>
      <c r="E19" s="121"/>
      <c r="F19" s="121"/>
      <c r="G19" s="121"/>
      <c r="H19" s="121"/>
      <c r="I19" s="124"/>
      <c r="J19" s="124"/>
      <c r="K19" s="124"/>
      <c r="L19" s="590"/>
      <c r="M19" s="590"/>
      <c r="N19" s="590"/>
      <c r="O19" s="590"/>
      <c r="P19" s="590"/>
      <c r="Q19" s="590"/>
      <c r="R19" s="590"/>
      <c r="S19" s="590"/>
      <c r="T19" s="126" t="s">
        <v>48</v>
      </c>
    </row>
    <row r="20" spans="1:20">
      <c r="K20" s="207"/>
      <c r="T20" s="126" t="s">
        <v>48</v>
      </c>
    </row>
    <row r="21" spans="1:20">
      <c r="D21" s="158" t="s">
        <v>177</v>
      </c>
      <c r="E21" s="208"/>
      <c r="F21" s="209"/>
      <c r="G21" s="209"/>
      <c r="H21" s="209"/>
      <c r="I21" s="210">
        <f>'Model '!G25</f>
        <v>2930.4</v>
      </c>
      <c r="J21" s="210">
        <f>'Model '!H25</f>
        <v>4244.7</v>
      </c>
      <c r="K21" s="211">
        <f>'Model '!I25</f>
        <v>5580.3</v>
      </c>
      <c r="L21" s="162">
        <f>L25+L30+L34</f>
        <v>6926.4787923111262</v>
      </c>
      <c r="M21" s="162">
        <f t="shared" ref="M21:S21" si="3">M25+M30+M34</f>
        <v>8256.8390404683742</v>
      </c>
      <c r="N21" s="162">
        <f t="shared" si="3"/>
        <v>9555.5405691098676</v>
      </c>
      <c r="O21" s="162">
        <f t="shared" si="3"/>
        <v>10781.717333742008</v>
      </c>
      <c r="P21" s="162">
        <f t="shared" si="3"/>
        <v>11967.560180005545</v>
      </c>
      <c r="Q21" s="162">
        <f t="shared" si="3"/>
        <v>13104.737540663649</v>
      </c>
      <c r="R21" s="162">
        <f t="shared" si="3"/>
        <v>14184.243833398419</v>
      </c>
      <c r="S21" s="162">
        <f t="shared" si="3"/>
        <v>15196.3575784202</v>
      </c>
      <c r="T21" s="126" t="s">
        <v>48</v>
      </c>
    </row>
    <row r="22" spans="1:20" outlineLevel="1">
      <c r="K22" s="207"/>
      <c r="T22" s="126" t="s">
        <v>48</v>
      </c>
    </row>
    <row r="23" spans="1:20" outlineLevel="1">
      <c r="D23" s="586" t="s">
        <v>178</v>
      </c>
      <c r="E23" s="587"/>
      <c r="F23" s="587"/>
      <c r="G23" s="587"/>
      <c r="H23" s="587"/>
      <c r="I23" s="588"/>
      <c r="J23" s="588"/>
      <c r="K23" s="588"/>
      <c r="L23" s="589"/>
      <c r="M23" s="589"/>
      <c r="N23" s="589"/>
      <c r="O23" s="589"/>
      <c r="P23" s="589"/>
      <c r="Q23" s="589"/>
      <c r="R23" s="589"/>
      <c r="S23" s="589"/>
      <c r="T23" s="126" t="s">
        <v>48</v>
      </c>
    </row>
    <row r="24" spans="1:20" outlineLevel="1">
      <c r="K24" s="207"/>
      <c r="T24" s="126" t="s">
        <v>48</v>
      </c>
    </row>
    <row r="25" spans="1:20" outlineLevel="1">
      <c r="D25" s="213" t="s">
        <v>179</v>
      </c>
      <c r="E25" s="214"/>
      <c r="F25" s="215"/>
      <c r="G25" s="216"/>
      <c r="H25" s="215"/>
      <c r="I25" s="217">
        <v>2635.058258325887</v>
      </c>
      <c r="J25" s="217">
        <v>3862.887019041952</v>
      </c>
      <c r="K25" s="218">
        <v>5095.65460242276</v>
      </c>
      <c r="L25" s="219">
        <f t="shared" ref="L25:S25" si="4">SUM(L26:L28)</f>
        <v>6318.9500764141558</v>
      </c>
      <c r="M25" s="219">
        <f t="shared" si="4"/>
        <v>7519.5533017141142</v>
      </c>
      <c r="N25" s="219">
        <f t="shared" si="4"/>
        <v>8687.062211575063</v>
      </c>
      <c r="O25" s="219">
        <f t="shared" si="4"/>
        <v>9784.0038003216141</v>
      </c>
      <c r="P25" s="219">
        <f t="shared" si="4"/>
        <v>10839.275972268973</v>
      </c>
      <c r="Q25" s="219">
        <f t="shared" si="4"/>
        <v>11844.844636106902</v>
      </c>
      <c r="R25" s="219">
        <f t="shared" si="4"/>
        <v>12792.032287414944</v>
      </c>
      <c r="S25" s="219">
        <f t="shared" si="4"/>
        <v>13671.478188995166</v>
      </c>
      <c r="T25" s="126" t="s">
        <v>48</v>
      </c>
    </row>
    <row r="26" spans="1:20" outlineLevel="1">
      <c r="D26" s="161" t="s">
        <v>180</v>
      </c>
      <c r="G26" s="220"/>
      <c r="I26" s="132">
        <v>1224.3003980600004</v>
      </c>
      <c r="J26" s="132">
        <v>1627.3657005299997</v>
      </c>
      <c r="K26" s="204">
        <v>1974.5527337799997</v>
      </c>
      <c r="L26" s="163">
        <f t="shared" ref="L26:S26" si="5">L38</f>
        <v>2506.521381339649</v>
      </c>
      <c r="M26" s="163">
        <f t="shared" si="5"/>
        <v>3034.2753577282333</v>
      </c>
      <c r="N26" s="163">
        <f t="shared" si="5"/>
        <v>3553.5493477873952</v>
      </c>
      <c r="O26" s="163">
        <f t="shared" si="5"/>
        <v>4048.9779489304174</v>
      </c>
      <c r="P26" s="163">
        <f t="shared" si="5"/>
        <v>4532.531116064014</v>
      </c>
      <c r="Q26" s="163">
        <f t="shared" si="5"/>
        <v>5001.2935869362791</v>
      </c>
      <c r="R26" s="163">
        <f t="shared" si="5"/>
        <v>5452.1088804801193</v>
      </c>
      <c r="S26" s="163">
        <f t="shared" si="5"/>
        <v>5881.5641732671947</v>
      </c>
      <c r="T26" s="126" t="s">
        <v>48</v>
      </c>
    </row>
    <row r="27" spans="1:20" outlineLevel="1">
      <c r="D27" s="161" t="s">
        <v>181</v>
      </c>
      <c r="G27" s="220"/>
      <c r="I27" s="132">
        <v>635.1439396573179</v>
      </c>
      <c r="J27" s="132">
        <v>1001.8225873756119</v>
      </c>
      <c r="K27" s="204">
        <v>1362.2397256803197</v>
      </c>
      <c r="L27" s="163">
        <f t="shared" ref="L27:S27" si="6">L45</f>
        <v>1640.6661680208051</v>
      </c>
      <c r="M27" s="163">
        <f t="shared" si="6"/>
        <v>1910.7527854096959</v>
      </c>
      <c r="N27" s="163">
        <f t="shared" si="6"/>
        <v>2170.1034982075662</v>
      </c>
      <c r="O27" s="163">
        <f t="shared" si="6"/>
        <v>2409.5631945615055</v>
      </c>
      <c r="P27" s="163">
        <f t="shared" si="6"/>
        <v>2636.4063581637974</v>
      </c>
      <c r="Q27" s="163">
        <f t="shared" si="6"/>
        <v>2848.5212818789032</v>
      </c>
      <c r="R27" s="163">
        <f t="shared" si="6"/>
        <v>3043.6311619143967</v>
      </c>
      <c r="S27" s="163">
        <f t="shared" si="6"/>
        <v>3219.2839822618721</v>
      </c>
      <c r="T27" s="126" t="s">
        <v>48</v>
      </c>
    </row>
    <row r="28" spans="1:20" outlineLevel="1">
      <c r="D28" s="161" t="s">
        <v>182</v>
      </c>
      <c r="G28" s="220"/>
      <c r="I28" s="132">
        <v>775.61392060856872</v>
      </c>
      <c r="J28" s="132">
        <v>1233.6987311363405</v>
      </c>
      <c r="K28" s="204">
        <v>1758.8621429624407</v>
      </c>
      <c r="L28" s="163">
        <f t="shared" ref="L28:S28" si="7">L52</f>
        <v>2171.7625270537014</v>
      </c>
      <c r="M28" s="163">
        <f t="shared" si="7"/>
        <v>2574.5251585761853</v>
      </c>
      <c r="N28" s="163">
        <f t="shared" si="7"/>
        <v>2963.4093655801025</v>
      </c>
      <c r="O28" s="163">
        <f t="shared" si="7"/>
        <v>3325.4626568296912</v>
      </c>
      <c r="P28" s="163">
        <f t="shared" si="7"/>
        <v>3670.3384980411629</v>
      </c>
      <c r="Q28" s="163">
        <f t="shared" si="7"/>
        <v>3995.02976729172</v>
      </c>
      <c r="R28" s="163">
        <f t="shared" si="7"/>
        <v>4296.2922450204278</v>
      </c>
      <c r="S28" s="163">
        <f t="shared" si="7"/>
        <v>4570.6300334660982</v>
      </c>
      <c r="T28" s="126" t="s">
        <v>48</v>
      </c>
    </row>
    <row r="29" spans="1:20" outlineLevel="1">
      <c r="D29" s="161"/>
      <c r="G29" s="220"/>
      <c r="I29" s="221"/>
      <c r="J29" s="221"/>
      <c r="K29" s="222"/>
      <c r="T29" s="126" t="s">
        <v>48</v>
      </c>
    </row>
    <row r="30" spans="1:20" outlineLevel="1">
      <c r="D30" s="213" t="s">
        <v>183</v>
      </c>
      <c r="E30" s="214"/>
      <c r="F30" s="215"/>
      <c r="G30" s="216"/>
      <c r="H30" s="215"/>
      <c r="I30" s="217">
        <v>106.27872696630001</v>
      </c>
      <c r="J30" s="217">
        <v>138.69270026100003</v>
      </c>
      <c r="K30" s="218">
        <v>165.22320064360002</v>
      </c>
      <c r="L30" s="219">
        <f t="shared" ref="L30:S30" si="8">L59</f>
        <v>216.19562260963593</v>
      </c>
      <c r="M30" s="219">
        <f t="shared" si="8"/>
        <v>270.53801148408803</v>
      </c>
      <c r="N30" s="219">
        <f t="shared" si="8"/>
        <v>328.25278726736042</v>
      </c>
      <c r="O30" s="219">
        <f t="shared" si="8"/>
        <v>388.27615408196368</v>
      </c>
      <c r="P30" s="219">
        <f t="shared" si="8"/>
        <v>452.09904690918677</v>
      </c>
      <c r="Q30" s="219">
        <f t="shared" si="8"/>
        <v>519.91390394556515</v>
      </c>
      <c r="R30" s="219">
        <f t="shared" si="8"/>
        <v>591.92197964202603</v>
      </c>
      <c r="S30" s="219">
        <f t="shared" si="8"/>
        <v>668.33372610490619</v>
      </c>
      <c r="T30" s="126" t="s">
        <v>48</v>
      </c>
    </row>
    <row r="31" spans="1:20" outlineLevel="1">
      <c r="D31" s="161" t="s">
        <v>180</v>
      </c>
      <c r="G31" s="220"/>
      <c r="I31" s="132">
        <v>99.60260774000001</v>
      </c>
      <c r="J31" s="132">
        <v>131.24883311000002</v>
      </c>
      <c r="K31" s="223">
        <v>158.00247429000001</v>
      </c>
      <c r="L31" s="163">
        <f t="shared" ref="L31:S31" si="9">K31/K30*L30</f>
        <v>206.74725565130689</v>
      </c>
      <c r="M31" s="163">
        <f t="shared" si="9"/>
        <v>258.71472673010533</v>
      </c>
      <c r="N31" s="163">
        <f t="shared" si="9"/>
        <v>313.90720176586137</v>
      </c>
      <c r="O31" s="163">
        <f t="shared" si="9"/>
        <v>371.30737580304765</v>
      </c>
      <c r="P31" s="163">
        <f t="shared" si="9"/>
        <v>432.34102570067387</v>
      </c>
      <c r="Q31" s="163">
        <f t="shared" si="9"/>
        <v>497.19217955577534</v>
      </c>
      <c r="R31" s="163">
        <f t="shared" si="9"/>
        <v>566.05329642425033</v>
      </c>
      <c r="S31" s="163">
        <f t="shared" si="9"/>
        <v>639.1256310535631</v>
      </c>
      <c r="T31" s="126" t="s">
        <v>48</v>
      </c>
    </row>
    <row r="32" spans="1:20" outlineLevel="1">
      <c r="D32" s="161" t="s">
        <v>184</v>
      </c>
      <c r="G32" s="224"/>
      <c r="I32" s="225">
        <f t="shared" ref="I32:S32" si="10">I30-I31</f>
        <v>6.6761192263000027</v>
      </c>
      <c r="J32" s="225">
        <f t="shared" si="10"/>
        <v>7.4438671510000063</v>
      </c>
      <c r="K32" s="207">
        <f t="shared" si="10"/>
        <v>7.2207263536000141</v>
      </c>
      <c r="L32" s="163">
        <f t="shared" si="10"/>
        <v>9.4483669583290464</v>
      </c>
      <c r="M32" s="163">
        <f t="shared" si="10"/>
        <v>11.823284753982705</v>
      </c>
      <c r="N32" s="163">
        <f t="shared" si="10"/>
        <v>14.345585501499045</v>
      </c>
      <c r="O32" s="163">
        <f t="shared" si="10"/>
        <v>16.968778278916034</v>
      </c>
      <c r="P32" s="163">
        <f t="shared" si="10"/>
        <v>19.758021208512901</v>
      </c>
      <c r="Q32" s="163">
        <f t="shared" si="10"/>
        <v>22.721724389789813</v>
      </c>
      <c r="R32" s="163">
        <f t="shared" si="10"/>
        <v>25.868683217775697</v>
      </c>
      <c r="S32" s="163">
        <f t="shared" si="10"/>
        <v>29.208095051343093</v>
      </c>
      <c r="T32" s="126" t="s">
        <v>48</v>
      </c>
    </row>
    <row r="33" spans="4:20" outlineLevel="1">
      <c r="D33" s="161"/>
      <c r="G33" s="220"/>
      <c r="K33" s="207"/>
      <c r="T33" s="126" t="s">
        <v>48</v>
      </c>
    </row>
    <row r="34" spans="4:20" outlineLevel="1">
      <c r="D34" s="213" t="s">
        <v>184</v>
      </c>
      <c r="E34" s="214"/>
      <c r="F34" s="215"/>
      <c r="G34" s="216"/>
      <c r="H34" s="215"/>
      <c r="I34" s="217">
        <v>189.10324435134615</v>
      </c>
      <c r="J34" s="217">
        <v>243.1630453200012</v>
      </c>
      <c r="K34" s="218">
        <v>319.42629462222311</v>
      </c>
      <c r="L34" s="219">
        <f t="shared" ref="L34:S34" si="11">L66</f>
        <v>391.33309328733395</v>
      </c>
      <c r="M34" s="219">
        <f t="shared" si="11"/>
        <v>466.74772727017108</v>
      </c>
      <c r="N34" s="219">
        <f t="shared" si="11"/>
        <v>540.22557026744551</v>
      </c>
      <c r="O34" s="219">
        <f t="shared" si="11"/>
        <v>609.43737933843113</v>
      </c>
      <c r="P34" s="219">
        <f t="shared" si="11"/>
        <v>676.18516082738495</v>
      </c>
      <c r="Q34" s="219">
        <f t="shared" si="11"/>
        <v>739.97900061118196</v>
      </c>
      <c r="R34" s="219">
        <f t="shared" si="11"/>
        <v>800.2895663414489</v>
      </c>
      <c r="S34" s="219">
        <f t="shared" si="11"/>
        <v>856.54566332012905</v>
      </c>
      <c r="T34" s="126" t="s">
        <v>48</v>
      </c>
    </row>
    <row r="35" spans="4:20" outlineLevel="1">
      <c r="K35" s="207"/>
      <c r="T35" s="126" t="s">
        <v>48</v>
      </c>
    </row>
    <row r="36" spans="4:20" outlineLevel="1">
      <c r="D36" s="226" t="s">
        <v>185</v>
      </c>
      <c r="E36" s="214"/>
      <c r="F36" s="215"/>
      <c r="G36" s="215"/>
      <c r="H36" s="215"/>
      <c r="I36" s="215"/>
      <c r="J36" s="215"/>
      <c r="K36" s="227"/>
      <c r="L36" s="215"/>
      <c r="M36" s="215"/>
      <c r="N36" s="215"/>
      <c r="O36" s="215"/>
      <c r="P36" s="215"/>
      <c r="Q36" s="215"/>
      <c r="R36" s="215"/>
      <c r="S36" s="215"/>
      <c r="T36" s="126" t="s">
        <v>48</v>
      </c>
    </row>
    <row r="37" spans="4:20" outlineLevel="1">
      <c r="D37" s="228"/>
      <c r="K37" s="207"/>
      <c r="T37" s="126" t="s">
        <v>48</v>
      </c>
    </row>
    <row r="38" spans="4:20" outlineLevel="1">
      <c r="D38" s="229" t="s">
        <v>186</v>
      </c>
      <c r="I38" s="192">
        <f>I26</f>
        <v>1224.3003980600004</v>
      </c>
      <c r="J38" s="192">
        <f>J26</f>
        <v>1627.3657005299997</v>
      </c>
      <c r="K38" s="230">
        <f>K26</f>
        <v>1974.5527337799997</v>
      </c>
      <c r="L38" s="192">
        <f t="shared" ref="L38:S38" si="12">L39*L41</f>
        <v>2506.521381339649</v>
      </c>
      <c r="M38" s="192">
        <f t="shared" si="12"/>
        <v>3034.2753577282333</v>
      </c>
      <c r="N38" s="192">
        <f t="shared" si="12"/>
        <v>3553.5493477873952</v>
      </c>
      <c r="O38" s="192">
        <f t="shared" si="12"/>
        <v>4048.9779489304174</v>
      </c>
      <c r="P38" s="192">
        <f t="shared" si="12"/>
        <v>4532.531116064014</v>
      </c>
      <c r="Q38" s="192">
        <f t="shared" si="12"/>
        <v>5001.2935869362791</v>
      </c>
      <c r="R38" s="192">
        <f t="shared" si="12"/>
        <v>5452.1088804801193</v>
      </c>
      <c r="S38" s="192">
        <f t="shared" si="12"/>
        <v>5881.5641732671947</v>
      </c>
      <c r="T38" s="126" t="s">
        <v>48</v>
      </c>
    </row>
    <row r="39" spans="4:20" outlineLevel="1">
      <c r="D39" s="228" t="s">
        <v>187</v>
      </c>
      <c r="I39" s="231">
        <f>I38/I170</f>
        <v>1.0507428903959577</v>
      </c>
      <c r="J39" s="231">
        <f>J38/J170</f>
        <v>1.2024908211750429</v>
      </c>
      <c r="K39" s="207">
        <f>K38/K170</f>
        <v>1.2657137799056555</v>
      </c>
      <c r="L39" s="231">
        <f t="shared" ref="L39:S39" si="13">K39*(1+L13)</f>
        <v>1.3249557090111896</v>
      </c>
      <c r="M39" s="231">
        <f t="shared" si="13"/>
        <v>1.381661041104111</v>
      </c>
      <c r="N39" s="231">
        <f t="shared" si="13"/>
        <v>1.4369274827482768</v>
      </c>
      <c r="O39" s="231">
        <f t="shared" si="13"/>
        <v>1.4872199446444674</v>
      </c>
      <c r="P39" s="231">
        <f t="shared" si="13"/>
        <v>1.5392726427070247</v>
      </c>
      <c r="Q39" s="231">
        <f t="shared" si="13"/>
        <v>1.5931471852017713</v>
      </c>
      <c r="R39" s="231">
        <f t="shared" si="13"/>
        <v>1.6489073366838343</v>
      </c>
      <c r="S39" s="231">
        <f t="shared" si="13"/>
        <v>1.7066190934677694</v>
      </c>
      <c r="T39" s="126" t="s">
        <v>48</v>
      </c>
    </row>
    <row r="40" spans="4:20" outlineLevel="1">
      <c r="D40" s="228" t="s">
        <v>188</v>
      </c>
      <c r="I40" s="137"/>
      <c r="J40" s="195">
        <f t="shared" ref="J40:S40" si="14">J39/I39-1</f>
        <v>0.14441965981030913</v>
      </c>
      <c r="K40" s="232">
        <f t="shared" si="14"/>
        <v>5.2576666380565573E-2</v>
      </c>
      <c r="L40" s="195">
        <f t="shared" si="14"/>
        <v>4.6805154566579743E-2</v>
      </c>
      <c r="M40" s="195">
        <f t="shared" si="14"/>
        <v>4.2797907663826962E-2</v>
      </c>
      <c r="N40" s="195">
        <f t="shared" si="14"/>
        <v>4.0000000000000924E-2</v>
      </c>
      <c r="O40" s="195">
        <f t="shared" si="14"/>
        <v>3.5000000000000586E-2</v>
      </c>
      <c r="P40" s="195">
        <f t="shared" si="14"/>
        <v>3.5000000000000586E-2</v>
      </c>
      <c r="Q40" s="195">
        <f t="shared" si="14"/>
        <v>3.5000000000000586E-2</v>
      </c>
      <c r="R40" s="195">
        <f t="shared" si="14"/>
        <v>3.5000000000000586E-2</v>
      </c>
      <c r="S40" s="195">
        <f t="shared" si="14"/>
        <v>3.5000000000000586E-2</v>
      </c>
      <c r="T40" s="126" t="s">
        <v>48</v>
      </c>
    </row>
    <row r="41" spans="4:20" outlineLevel="1">
      <c r="D41" s="228" t="s">
        <v>189</v>
      </c>
      <c r="I41" s="233">
        <f t="shared" ref="I41:S41" si="15">I170</f>
        <v>1165.1759999999999</v>
      </c>
      <c r="J41" s="233">
        <f t="shared" si="15"/>
        <v>1353.329</v>
      </c>
      <c r="K41" s="207">
        <f t="shared" si="15"/>
        <v>1560.0309999999999</v>
      </c>
      <c r="L41" s="233">
        <f t="shared" si="15"/>
        <v>1891.7774868189808</v>
      </c>
      <c r="M41" s="233">
        <f t="shared" si="15"/>
        <v>2196.1069086115995</v>
      </c>
      <c r="N41" s="233">
        <f t="shared" si="15"/>
        <v>2473.0192653778558</v>
      </c>
      <c r="O41" s="233">
        <f t="shared" si="15"/>
        <v>2722.5145571177504</v>
      </c>
      <c r="P41" s="233">
        <f t="shared" si="15"/>
        <v>2944.5927838312832</v>
      </c>
      <c r="Q41" s="233">
        <f t="shared" si="15"/>
        <v>3139.2539455184537</v>
      </c>
      <c r="R41" s="233">
        <f t="shared" si="15"/>
        <v>3306.498042179262</v>
      </c>
      <c r="S41" s="233">
        <f t="shared" si="15"/>
        <v>3446.3250738137085</v>
      </c>
      <c r="T41" s="126" t="s">
        <v>48</v>
      </c>
    </row>
    <row r="42" spans="4:20" outlineLevel="1">
      <c r="D42" s="228"/>
      <c r="K42" s="207"/>
      <c r="T42" s="126" t="s">
        <v>48</v>
      </c>
    </row>
    <row r="43" spans="4:20" outlineLevel="1">
      <c r="D43" s="226" t="s">
        <v>190</v>
      </c>
      <c r="E43" s="214"/>
      <c r="F43" s="215"/>
      <c r="G43" s="215"/>
      <c r="H43" s="215"/>
      <c r="I43" s="215"/>
      <c r="J43" s="215"/>
      <c r="K43" s="227"/>
      <c r="L43" s="215"/>
      <c r="M43" s="215"/>
      <c r="N43" s="215"/>
      <c r="O43" s="215"/>
      <c r="P43" s="215"/>
      <c r="Q43" s="215"/>
      <c r="R43" s="215"/>
      <c r="S43" s="215"/>
      <c r="T43" s="126" t="s">
        <v>48</v>
      </c>
    </row>
    <row r="44" spans="4:20" outlineLevel="1">
      <c r="D44" s="228"/>
      <c r="K44" s="207"/>
      <c r="T44" s="126" t="s">
        <v>48</v>
      </c>
    </row>
    <row r="45" spans="4:20" outlineLevel="1">
      <c r="D45" s="229" t="s">
        <v>186</v>
      </c>
      <c r="I45" s="192">
        <f>I27</f>
        <v>635.1439396573179</v>
      </c>
      <c r="J45" s="192">
        <f>J27</f>
        <v>1001.8225873756119</v>
      </c>
      <c r="K45" s="230">
        <f>K27</f>
        <v>1362.2397256803197</v>
      </c>
      <c r="L45" s="192">
        <f t="shared" ref="L45:S45" si="16">L46*L48</f>
        <v>1640.6661680208051</v>
      </c>
      <c r="M45" s="192">
        <f t="shared" si="16"/>
        <v>1910.7527854096959</v>
      </c>
      <c r="N45" s="192">
        <f t="shared" si="16"/>
        <v>2170.1034982075662</v>
      </c>
      <c r="O45" s="192">
        <f t="shared" si="16"/>
        <v>2409.5631945615055</v>
      </c>
      <c r="P45" s="192">
        <f t="shared" si="16"/>
        <v>2636.4063581637974</v>
      </c>
      <c r="Q45" s="192">
        <f t="shared" si="16"/>
        <v>2848.5212818789032</v>
      </c>
      <c r="R45" s="192">
        <f t="shared" si="16"/>
        <v>3043.6311619143967</v>
      </c>
      <c r="S45" s="192">
        <f t="shared" si="16"/>
        <v>3219.2839822618721</v>
      </c>
      <c r="T45" s="126" t="s">
        <v>48</v>
      </c>
    </row>
    <row r="46" spans="4:20" outlineLevel="1">
      <c r="D46" s="228" t="s">
        <v>187</v>
      </c>
      <c r="I46" s="231">
        <f>I45/I171</f>
        <v>0.97003194982225394</v>
      </c>
      <c r="J46" s="231">
        <f>J45/J171</f>
        <v>1.177478887867718</v>
      </c>
      <c r="K46" s="207">
        <f>K45/K171</f>
        <v>1.435518646002826</v>
      </c>
      <c r="L46" s="163">
        <f t="shared" ref="L46:S46" si="17">K46*(1+L13)</f>
        <v>1.5027083181121954</v>
      </c>
      <c r="M46" s="163">
        <f t="shared" si="17"/>
        <v>1.5670210899564259</v>
      </c>
      <c r="N46" s="163">
        <f t="shared" si="17"/>
        <v>1.6297019335546843</v>
      </c>
      <c r="O46" s="163">
        <f t="shared" si="17"/>
        <v>1.6867415012290992</v>
      </c>
      <c r="P46" s="163">
        <f t="shared" si="17"/>
        <v>1.7457774537721187</v>
      </c>
      <c r="Q46" s="163">
        <f t="shared" si="17"/>
        <v>1.8068796646541438</v>
      </c>
      <c r="R46" s="163">
        <f t="shared" si="17"/>
        <v>1.8701204529170399</v>
      </c>
      <c r="S46" s="163">
        <f t="shared" si="17"/>
        <v>1.9355746687691373</v>
      </c>
      <c r="T46" s="126" t="s">
        <v>48</v>
      </c>
    </row>
    <row r="47" spans="4:20" outlineLevel="1">
      <c r="D47" s="228" t="s">
        <v>188</v>
      </c>
      <c r="I47" s="137"/>
      <c r="J47" s="195">
        <f t="shared" ref="J47:S47" si="18">J46/I46-1</f>
        <v>0.21385577875396389</v>
      </c>
      <c r="K47" s="232">
        <f t="shared" si="18"/>
        <v>0.21914597433028193</v>
      </c>
      <c r="L47" s="234">
        <f t="shared" si="18"/>
        <v>4.6805154566579743E-2</v>
      </c>
      <c r="M47" s="234">
        <f t="shared" si="18"/>
        <v>4.2797907663826962E-2</v>
      </c>
      <c r="N47" s="234">
        <f t="shared" si="18"/>
        <v>4.0000000000000924E-2</v>
      </c>
      <c r="O47" s="234">
        <f t="shared" si="18"/>
        <v>3.5000000000000586E-2</v>
      </c>
      <c r="P47" s="234">
        <f t="shared" si="18"/>
        <v>3.5000000000000586E-2</v>
      </c>
      <c r="Q47" s="234">
        <f t="shared" si="18"/>
        <v>3.5000000000000586E-2</v>
      </c>
      <c r="R47" s="234">
        <f t="shared" si="18"/>
        <v>3.5000000000000586E-2</v>
      </c>
      <c r="S47" s="234">
        <f t="shared" si="18"/>
        <v>3.5000000000000586E-2</v>
      </c>
      <c r="T47" s="126" t="s">
        <v>48</v>
      </c>
    </row>
    <row r="48" spans="4:20" outlineLevel="1">
      <c r="D48" s="228" t="s">
        <v>189</v>
      </c>
      <c r="I48" s="233">
        <f t="shared" ref="I48:S48" si="19">I171</f>
        <v>654.76599999999996</v>
      </c>
      <c r="J48" s="233">
        <f t="shared" si="19"/>
        <v>850.82</v>
      </c>
      <c r="K48" s="207">
        <f t="shared" si="19"/>
        <v>948.95299999999997</v>
      </c>
      <c r="L48" s="233">
        <f t="shared" si="19"/>
        <v>1091.8061397849463</v>
      </c>
      <c r="M48" s="233">
        <f t="shared" si="19"/>
        <v>1219.3535860215054</v>
      </c>
      <c r="N48" s="233">
        <f t="shared" si="19"/>
        <v>1331.5953387096774</v>
      </c>
      <c r="O48" s="233">
        <f t="shared" si="19"/>
        <v>1428.5313978494623</v>
      </c>
      <c r="P48" s="233">
        <f t="shared" si="19"/>
        <v>1510.1617634408601</v>
      </c>
      <c r="Q48" s="233">
        <f t="shared" si="19"/>
        <v>1576.486435483871</v>
      </c>
      <c r="R48" s="233">
        <f t="shared" si="19"/>
        <v>1627.5054139784945</v>
      </c>
      <c r="S48" s="233">
        <f t="shared" si="19"/>
        <v>1663.2186989247311</v>
      </c>
      <c r="T48" s="126" t="s">
        <v>48</v>
      </c>
    </row>
    <row r="49" spans="4:20" outlineLevel="1">
      <c r="K49" s="207"/>
      <c r="T49" s="126" t="s">
        <v>48</v>
      </c>
    </row>
    <row r="50" spans="4:20" outlineLevel="1">
      <c r="D50" s="226" t="s">
        <v>191</v>
      </c>
      <c r="E50" s="214"/>
      <c r="F50" s="215"/>
      <c r="G50" s="215"/>
      <c r="H50" s="215"/>
      <c r="I50" s="215"/>
      <c r="J50" s="215"/>
      <c r="K50" s="227"/>
      <c r="L50" s="215"/>
      <c r="M50" s="215"/>
      <c r="N50" s="215"/>
      <c r="O50" s="215"/>
      <c r="P50" s="215"/>
      <c r="Q50" s="215"/>
      <c r="R50" s="215"/>
      <c r="S50" s="215"/>
      <c r="T50" s="126" t="s">
        <v>48</v>
      </c>
    </row>
    <row r="51" spans="4:20" outlineLevel="1">
      <c r="D51" s="228"/>
      <c r="K51" s="207"/>
      <c r="T51" s="126" t="s">
        <v>48</v>
      </c>
    </row>
    <row r="52" spans="4:20" outlineLevel="1">
      <c r="D52" s="229" t="s">
        <v>186</v>
      </c>
      <c r="I52" s="192">
        <f>I28</f>
        <v>775.61392060856872</v>
      </c>
      <c r="J52" s="192">
        <f>J28</f>
        <v>1233.6987311363405</v>
      </c>
      <c r="K52" s="230">
        <f>K28</f>
        <v>1758.8621429624407</v>
      </c>
      <c r="L52" s="192">
        <f t="shared" ref="L52:S52" si="20">L53*L55</f>
        <v>2171.7625270537014</v>
      </c>
      <c r="M52" s="192">
        <f t="shared" si="20"/>
        <v>2574.5251585761853</v>
      </c>
      <c r="N52" s="192">
        <f t="shared" si="20"/>
        <v>2963.4093655801025</v>
      </c>
      <c r="O52" s="192">
        <f t="shared" si="20"/>
        <v>3325.4626568296912</v>
      </c>
      <c r="P52" s="192">
        <f t="shared" si="20"/>
        <v>3670.3384980411629</v>
      </c>
      <c r="Q52" s="192">
        <f t="shared" si="20"/>
        <v>3995.02976729172</v>
      </c>
      <c r="R52" s="192">
        <f t="shared" si="20"/>
        <v>4296.2922450204278</v>
      </c>
      <c r="S52" s="192">
        <f t="shared" si="20"/>
        <v>4570.6300334660982</v>
      </c>
      <c r="T52" s="126" t="s">
        <v>48</v>
      </c>
    </row>
    <row r="53" spans="4:20" outlineLevel="1">
      <c r="D53" s="228" t="s">
        <v>187</v>
      </c>
      <c r="I53" s="163">
        <f>I52/I172</f>
        <v>0.91996792815052364</v>
      </c>
      <c r="J53" s="163">
        <f>J52/J172</f>
        <v>1.2096461275364068</v>
      </c>
      <c r="K53" s="207">
        <f>K52/K172</f>
        <v>1.311075951433792</v>
      </c>
      <c r="L53" s="163">
        <f t="shared" ref="L53:S53" si="21">K53*(1+L13)</f>
        <v>1.3724410639891762</v>
      </c>
      <c r="M53" s="163">
        <f t="shared" si="21"/>
        <v>1.4311786699198294</v>
      </c>
      <c r="N53" s="163">
        <f t="shared" si="21"/>
        <v>1.488425816716624</v>
      </c>
      <c r="O53" s="163">
        <f t="shared" si="21"/>
        <v>1.5405207203017066</v>
      </c>
      <c r="P53" s="163">
        <f t="shared" si="21"/>
        <v>1.5944389455122672</v>
      </c>
      <c r="Q53" s="163">
        <f t="shared" si="21"/>
        <v>1.6502443086051974</v>
      </c>
      <c r="R53" s="163">
        <f t="shared" si="21"/>
        <v>1.7080028594063803</v>
      </c>
      <c r="S53" s="163">
        <f t="shared" si="21"/>
        <v>1.7677829594856047</v>
      </c>
      <c r="T53" s="126" t="s">
        <v>48</v>
      </c>
    </row>
    <row r="54" spans="4:20" outlineLevel="1">
      <c r="D54" s="228" t="s">
        <v>188</v>
      </c>
      <c r="I54" s="137"/>
      <c r="J54" s="195">
        <f t="shared" ref="J54:S54" si="22">J53/I53-1</f>
        <v>0.31487858491789344</v>
      </c>
      <c r="K54" s="232">
        <f t="shared" si="22"/>
        <v>8.3850823466826263E-2</v>
      </c>
      <c r="L54" s="195">
        <f t="shared" si="22"/>
        <v>4.6805154566579743E-2</v>
      </c>
      <c r="M54" s="195">
        <f t="shared" si="22"/>
        <v>4.2797907663826962E-2</v>
      </c>
      <c r="N54" s="195">
        <f t="shared" si="22"/>
        <v>4.0000000000000924E-2</v>
      </c>
      <c r="O54" s="195">
        <f t="shared" si="22"/>
        <v>3.5000000000000586E-2</v>
      </c>
      <c r="P54" s="195">
        <f t="shared" si="22"/>
        <v>3.5000000000000586E-2</v>
      </c>
      <c r="Q54" s="195">
        <f t="shared" si="22"/>
        <v>3.5000000000000586E-2</v>
      </c>
      <c r="R54" s="195">
        <f t="shared" si="22"/>
        <v>3.5000000000000586E-2</v>
      </c>
      <c r="S54" s="195">
        <f t="shared" si="22"/>
        <v>3.5000000000000586E-2</v>
      </c>
      <c r="T54" s="126" t="s">
        <v>48</v>
      </c>
    </row>
    <row r="55" spans="4:20" outlineLevel="1">
      <c r="D55" s="228" t="s">
        <v>189</v>
      </c>
      <c r="I55" s="163">
        <f t="shared" ref="I55:S55" si="23">I172</f>
        <v>843.08800000000008</v>
      </c>
      <c r="J55" s="163">
        <f t="shared" si="23"/>
        <v>1019.8839999999999</v>
      </c>
      <c r="K55" s="207">
        <f t="shared" si="23"/>
        <v>1341.5409999999999</v>
      </c>
      <c r="L55" s="163">
        <f t="shared" si="23"/>
        <v>1582.4085886363634</v>
      </c>
      <c r="M55" s="163">
        <f t="shared" si="23"/>
        <v>1798.8845227272725</v>
      </c>
      <c r="N55" s="163">
        <f t="shared" si="23"/>
        <v>1990.9688022727271</v>
      </c>
      <c r="O55" s="163">
        <f t="shared" si="23"/>
        <v>2158.661427272727</v>
      </c>
      <c r="P55" s="163">
        <f t="shared" si="23"/>
        <v>2301.9623977272727</v>
      </c>
      <c r="Q55" s="163">
        <f t="shared" si="23"/>
        <v>2420.8717136363634</v>
      </c>
      <c r="R55" s="163">
        <f t="shared" si="23"/>
        <v>2515.3893749999997</v>
      </c>
      <c r="S55" s="163">
        <f t="shared" si="23"/>
        <v>2585.5153818181816</v>
      </c>
      <c r="T55" s="126" t="s">
        <v>48</v>
      </c>
    </row>
    <row r="56" spans="4:20" outlineLevel="1">
      <c r="D56" s="228"/>
      <c r="K56" s="207"/>
      <c r="T56" s="126" t="s">
        <v>48</v>
      </c>
    </row>
    <row r="57" spans="4:20" outlineLevel="1">
      <c r="D57" s="235" t="s">
        <v>183</v>
      </c>
      <c r="E57" s="214"/>
      <c r="F57" s="215"/>
      <c r="G57" s="215"/>
      <c r="H57" s="215"/>
      <c r="I57" s="215"/>
      <c r="J57" s="215"/>
      <c r="K57" s="227"/>
      <c r="L57" s="215"/>
      <c r="M57" s="215"/>
      <c r="N57" s="215"/>
      <c r="O57" s="215"/>
      <c r="P57" s="215"/>
      <c r="Q57" s="215"/>
      <c r="R57" s="215"/>
      <c r="S57" s="215"/>
      <c r="T57" s="126" t="s">
        <v>48</v>
      </c>
    </row>
    <row r="58" spans="4:20" outlineLevel="1">
      <c r="D58" s="228"/>
      <c r="K58" s="207"/>
      <c r="T58" s="126" t="s">
        <v>48</v>
      </c>
    </row>
    <row r="59" spans="4:20" outlineLevel="1">
      <c r="D59" s="229" t="s">
        <v>186</v>
      </c>
      <c r="I59" s="192">
        <f>I30</f>
        <v>106.27872696630001</v>
      </c>
      <c r="J59" s="192">
        <f>J30</f>
        <v>138.69270026100003</v>
      </c>
      <c r="K59" s="230">
        <f>K30</f>
        <v>165.22320064360002</v>
      </c>
      <c r="L59" s="192">
        <f t="shared" ref="L59:S59" si="24">L60*L62</f>
        <v>216.19562260963593</v>
      </c>
      <c r="M59" s="192">
        <f t="shared" si="24"/>
        <v>270.53801148408803</v>
      </c>
      <c r="N59" s="192">
        <f t="shared" si="24"/>
        <v>328.25278726736042</v>
      </c>
      <c r="O59" s="192">
        <f t="shared" si="24"/>
        <v>388.27615408196368</v>
      </c>
      <c r="P59" s="192">
        <f t="shared" si="24"/>
        <v>452.09904690918677</v>
      </c>
      <c r="Q59" s="192">
        <f t="shared" si="24"/>
        <v>519.91390394556515</v>
      </c>
      <c r="R59" s="192">
        <f t="shared" si="24"/>
        <v>591.92197964202603</v>
      </c>
      <c r="S59" s="192">
        <f t="shared" si="24"/>
        <v>668.33372610490619</v>
      </c>
      <c r="T59" s="126" t="s">
        <v>48</v>
      </c>
    </row>
    <row r="60" spans="4:20" outlineLevel="1">
      <c r="D60" s="228" t="s">
        <v>187</v>
      </c>
      <c r="I60" s="163">
        <f>I59/I179</f>
        <v>2.1073668894015709</v>
      </c>
      <c r="J60" s="163">
        <f>J59/J179</f>
        <v>2.7068856541366597</v>
      </c>
      <c r="K60" s="207">
        <f>K59/K179</f>
        <v>3.1191844561751938</v>
      </c>
      <c r="L60" s="163">
        <f t="shared" ref="L60:S60" si="25">K60*(1+L13)</f>
        <v>3.2651783667681467</v>
      </c>
      <c r="M60" s="163">
        <f t="shared" si="25"/>
        <v>3.4049211690150152</v>
      </c>
      <c r="N60" s="163">
        <f t="shared" si="25"/>
        <v>3.541118015775619</v>
      </c>
      <c r="O60" s="163">
        <f t="shared" si="25"/>
        <v>3.6650571463277677</v>
      </c>
      <c r="P60" s="163">
        <f t="shared" si="25"/>
        <v>3.7933341464492418</v>
      </c>
      <c r="Q60" s="163">
        <f t="shared" si="25"/>
        <v>3.9261008415749674</v>
      </c>
      <c r="R60" s="163">
        <f t="shared" si="25"/>
        <v>4.0635143710300934</v>
      </c>
      <c r="S60" s="163">
        <f t="shared" si="25"/>
        <v>4.2057373740161488</v>
      </c>
      <c r="T60" s="126" t="s">
        <v>48</v>
      </c>
    </row>
    <row r="61" spans="4:20" outlineLevel="1">
      <c r="D61" s="228" t="s">
        <v>188</v>
      </c>
      <c r="I61" s="137"/>
      <c r="J61" s="195">
        <f t="shared" ref="J61:S61" si="26">J60/I60-1</f>
        <v>0.28448713309021101</v>
      </c>
      <c r="K61" s="232">
        <f t="shared" si="26"/>
        <v>0.15231482032071053</v>
      </c>
      <c r="L61" s="195">
        <f t="shared" si="26"/>
        <v>4.6805154566579743E-2</v>
      </c>
      <c r="M61" s="195">
        <f t="shared" si="26"/>
        <v>4.2797907663826962E-2</v>
      </c>
      <c r="N61" s="195">
        <f t="shared" si="26"/>
        <v>4.0000000000000924E-2</v>
      </c>
      <c r="O61" s="195">
        <f t="shared" si="26"/>
        <v>3.5000000000000586E-2</v>
      </c>
      <c r="P61" s="195">
        <f t="shared" si="26"/>
        <v>3.5000000000000586E-2</v>
      </c>
      <c r="Q61" s="195">
        <f t="shared" si="26"/>
        <v>3.5000000000000586E-2</v>
      </c>
      <c r="R61" s="195">
        <f t="shared" si="26"/>
        <v>3.5000000000000586E-2</v>
      </c>
      <c r="S61" s="195">
        <f t="shared" si="26"/>
        <v>3.5000000000000586E-2</v>
      </c>
      <c r="T61" s="126" t="s">
        <v>48</v>
      </c>
    </row>
    <row r="62" spans="4:20" outlineLevel="1">
      <c r="D62" s="228" t="s">
        <v>189</v>
      </c>
      <c r="I62" s="163">
        <f t="shared" ref="I62:S62" si="27">I179</f>
        <v>50.431999999999995</v>
      </c>
      <c r="J62" s="163">
        <f t="shared" si="27"/>
        <v>51.236999999999995</v>
      </c>
      <c r="K62" s="207">
        <f t="shared" si="27"/>
        <v>52.97</v>
      </c>
      <c r="L62" s="163">
        <f t="shared" si="27"/>
        <v>66.212500000000006</v>
      </c>
      <c r="M62" s="163">
        <f t="shared" si="27"/>
        <v>79.454999999999998</v>
      </c>
      <c r="N62" s="163">
        <f t="shared" si="27"/>
        <v>92.697499999999991</v>
      </c>
      <c r="O62" s="163">
        <f t="shared" si="27"/>
        <v>105.94</v>
      </c>
      <c r="P62" s="163">
        <f t="shared" si="27"/>
        <v>119.1825</v>
      </c>
      <c r="Q62" s="163">
        <f t="shared" si="27"/>
        <v>132.42500000000001</v>
      </c>
      <c r="R62" s="163">
        <f t="shared" si="27"/>
        <v>145.66749999999999</v>
      </c>
      <c r="S62" s="163">
        <f t="shared" si="27"/>
        <v>158.91</v>
      </c>
      <c r="T62" s="126" t="s">
        <v>48</v>
      </c>
    </row>
    <row r="63" spans="4:20" outlineLevel="1">
      <c r="D63" s="228"/>
      <c r="K63" s="207"/>
      <c r="T63" s="126" t="s">
        <v>48</v>
      </c>
    </row>
    <row r="64" spans="4:20" outlineLevel="1">
      <c r="D64" s="235" t="s">
        <v>182</v>
      </c>
      <c r="E64" s="214"/>
      <c r="F64" s="215"/>
      <c r="G64" s="215"/>
      <c r="H64" s="215"/>
      <c r="I64" s="215"/>
      <c r="J64" s="215"/>
      <c r="K64" s="227"/>
      <c r="L64" s="215"/>
      <c r="M64" s="215"/>
      <c r="N64" s="215"/>
      <c r="O64" s="215"/>
      <c r="P64" s="215"/>
      <c r="Q64" s="215"/>
      <c r="R64" s="215"/>
      <c r="S64" s="215"/>
      <c r="T64" s="126" t="s">
        <v>48</v>
      </c>
    </row>
    <row r="65" spans="4:20" outlineLevel="1">
      <c r="D65" s="228"/>
      <c r="K65" s="207"/>
      <c r="T65" s="126" t="s">
        <v>48</v>
      </c>
    </row>
    <row r="66" spans="4:20" outlineLevel="1">
      <c r="D66" s="229" t="s">
        <v>186</v>
      </c>
      <c r="I66" s="192">
        <f>I34</f>
        <v>189.10324435134615</v>
      </c>
      <c r="J66" s="192">
        <f>J34</f>
        <v>243.1630453200012</v>
      </c>
      <c r="K66" s="230">
        <f>K34</f>
        <v>319.42629462222311</v>
      </c>
      <c r="L66" s="192">
        <f t="shared" ref="L66:S66" si="28">L67*L69</f>
        <v>391.33309328733395</v>
      </c>
      <c r="M66" s="192">
        <f t="shared" si="28"/>
        <v>466.74772727017108</v>
      </c>
      <c r="N66" s="192">
        <f t="shared" si="28"/>
        <v>540.22557026744551</v>
      </c>
      <c r="O66" s="192">
        <f t="shared" si="28"/>
        <v>609.43737933843113</v>
      </c>
      <c r="P66" s="192">
        <f t="shared" si="28"/>
        <v>676.18516082738495</v>
      </c>
      <c r="Q66" s="192">
        <f t="shared" si="28"/>
        <v>739.97900061118196</v>
      </c>
      <c r="R66" s="192">
        <f t="shared" si="28"/>
        <v>800.2895663414489</v>
      </c>
      <c r="S66" s="192">
        <f t="shared" si="28"/>
        <v>856.54566332012905</v>
      </c>
      <c r="T66" s="126" t="s">
        <v>48</v>
      </c>
    </row>
    <row r="67" spans="4:20" outlineLevel="1">
      <c r="D67" s="228" t="s">
        <v>187</v>
      </c>
      <c r="I67" s="163">
        <f>I66/I69</f>
        <v>0.55017774815426279</v>
      </c>
      <c r="J67" s="163">
        <f>J66/J69</f>
        <v>0.7703516699403179</v>
      </c>
      <c r="K67" s="207">
        <f>K66/K69</f>
        <v>0.85177165285088852</v>
      </c>
      <c r="L67" s="163">
        <f t="shared" ref="L67:S67" si="29">K67*(1+L13)</f>
        <v>0.89163895671800542</v>
      </c>
      <c r="M67" s="163">
        <f t="shared" si="29"/>
        <v>0.92979923845709367</v>
      </c>
      <c r="N67" s="163">
        <f t="shared" si="29"/>
        <v>0.9669912079953783</v>
      </c>
      <c r="O67" s="163">
        <f t="shared" si="29"/>
        <v>1.0008359002752172</v>
      </c>
      <c r="P67" s="163">
        <f t="shared" si="29"/>
        <v>1.0358651567848505</v>
      </c>
      <c r="Q67" s="163">
        <f t="shared" si="29"/>
        <v>1.0721204372723208</v>
      </c>
      <c r="R67" s="163">
        <f t="shared" si="29"/>
        <v>1.1096446525768526</v>
      </c>
      <c r="S67" s="163">
        <f t="shared" si="29"/>
        <v>1.1484822154170431</v>
      </c>
      <c r="T67" s="126" t="s">
        <v>48</v>
      </c>
    </row>
    <row r="68" spans="4:20" outlineLevel="1">
      <c r="D68" s="228" t="s">
        <v>188</v>
      </c>
      <c r="I68" s="137"/>
      <c r="J68" s="195">
        <f t="shared" ref="J68:S68" si="30">J67/I67-1</f>
        <v>0.40018688964556448</v>
      </c>
      <c r="K68" s="232">
        <f t="shared" si="30"/>
        <v>0.1056919665233913</v>
      </c>
      <c r="L68" s="195">
        <f t="shared" si="30"/>
        <v>4.6805154566579743E-2</v>
      </c>
      <c r="M68" s="195">
        <f t="shared" si="30"/>
        <v>4.2797907663826962E-2</v>
      </c>
      <c r="N68" s="195">
        <f t="shared" si="30"/>
        <v>4.0000000000000924E-2</v>
      </c>
      <c r="O68" s="195">
        <f t="shared" si="30"/>
        <v>3.5000000000000586E-2</v>
      </c>
      <c r="P68" s="195">
        <f t="shared" si="30"/>
        <v>3.5000000000000586E-2</v>
      </c>
      <c r="Q68" s="195">
        <f t="shared" si="30"/>
        <v>3.5000000000000586E-2</v>
      </c>
      <c r="R68" s="195">
        <f t="shared" si="30"/>
        <v>3.5000000000000586E-2</v>
      </c>
      <c r="S68" s="195">
        <f t="shared" si="30"/>
        <v>3.5000000000000586E-2</v>
      </c>
      <c r="T68" s="126" t="s">
        <v>48</v>
      </c>
    </row>
    <row r="69" spans="4:20" outlineLevel="1">
      <c r="D69" s="228" t="s">
        <v>189</v>
      </c>
      <c r="I69" s="163">
        <f t="shared" ref="I69:S69" si="31">I181+I183</f>
        <v>343.71300000000002</v>
      </c>
      <c r="J69" s="163">
        <f t="shared" si="31"/>
        <v>315.65199999999999</v>
      </c>
      <c r="K69" s="207">
        <f t="shared" si="31"/>
        <v>375.01400000000001</v>
      </c>
      <c r="L69" s="163">
        <f t="shared" si="31"/>
        <v>438.89187471998162</v>
      </c>
      <c r="M69" s="163">
        <f t="shared" si="31"/>
        <v>501.98764202548819</v>
      </c>
      <c r="N69" s="163">
        <f t="shared" si="31"/>
        <v>558.66647576595904</v>
      </c>
      <c r="O69" s="163">
        <f t="shared" si="31"/>
        <v>608.92837594139417</v>
      </c>
      <c r="P69" s="163">
        <f t="shared" si="31"/>
        <v>652.77334255179392</v>
      </c>
      <c r="Q69" s="163">
        <f t="shared" si="31"/>
        <v>690.20137559715761</v>
      </c>
      <c r="R69" s="163">
        <f t="shared" si="31"/>
        <v>721.21247507748592</v>
      </c>
      <c r="S69" s="163">
        <f t="shared" si="31"/>
        <v>745.80664099277806</v>
      </c>
      <c r="T69" s="126" t="s">
        <v>48</v>
      </c>
    </row>
    <row r="70" spans="4:20" outlineLevel="1">
      <c r="D70" s="229"/>
      <c r="K70" s="207"/>
      <c r="T70" s="126" t="s">
        <v>48</v>
      </c>
    </row>
    <row r="71" spans="4:20" outlineLevel="1">
      <c r="D71" s="586" t="s">
        <v>192</v>
      </c>
      <c r="E71" s="586"/>
      <c r="F71" s="586"/>
      <c r="G71" s="586"/>
      <c r="H71" s="586"/>
      <c r="I71" s="588"/>
      <c r="J71" s="588"/>
      <c r="K71" s="588"/>
      <c r="L71" s="589"/>
      <c r="M71" s="589"/>
      <c r="N71" s="589"/>
      <c r="O71" s="589"/>
      <c r="P71" s="589"/>
      <c r="Q71" s="589"/>
      <c r="R71" s="589"/>
      <c r="S71" s="589"/>
      <c r="T71" s="126" t="s">
        <v>48</v>
      </c>
    </row>
    <row r="72" spans="4:20" outlineLevel="1">
      <c r="D72" s="153"/>
      <c r="K72" s="207"/>
      <c r="T72" s="126" t="s">
        <v>48</v>
      </c>
    </row>
    <row r="73" spans="4:20" outlineLevel="1">
      <c r="D73" s="236" t="s">
        <v>193</v>
      </c>
      <c r="E73" s="237"/>
      <c r="F73" s="238">
        <f>SUM(F75,F86,F90)</f>
        <v>911</v>
      </c>
      <c r="G73" s="238">
        <f>SUM(G75,G86,G90)</f>
        <v>1077</v>
      </c>
      <c r="H73" s="239"/>
      <c r="I73" s="238">
        <f t="shared" ref="I73:S73" si="32">SUM(I75,I86,I90)</f>
        <v>1236</v>
      </c>
      <c r="J73" s="238">
        <f t="shared" si="32"/>
        <v>1459</v>
      </c>
      <c r="K73" s="240">
        <f t="shared" si="32"/>
        <v>1878</v>
      </c>
      <c r="L73" s="238">
        <f t="shared" si="32"/>
        <v>2228</v>
      </c>
      <c r="M73" s="238">
        <f t="shared" si="32"/>
        <v>2552</v>
      </c>
      <c r="N73" s="238">
        <f t="shared" si="32"/>
        <v>2850</v>
      </c>
      <c r="O73" s="238">
        <f t="shared" si="32"/>
        <v>3122</v>
      </c>
      <c r="P73" s="238">
        <f t="shared" si="32"/>
        <v>3368</v>
      </c>
      <c r="Q73" s="238">
        <f t="shared" si="32"/>
        <v>3588</v>
      </c>
      <c r="R73" s="238">
        <f t="shared" si="32"/>
        <v>3782</v>
      </c>
      <c r="S73" s="238">
        <f t="shared" si="32"/>
        <v>3950</v>
      </c>
      <c r="T73" s="126" t="s">
        <v>48</v>
      </c>
    </row>
    <row r="74" spans="4:20" outlineLevel="1">
      <c r="D74" s="241"/>
      <c r="I74" s="233"/>
      <c r="J74" s="233"/>
      <c r="K74" s="242"/>
      <c r="L74" s="344">
        <f>L73/K73-1</f>
        <v>0.1863684771033014</v>
      </c>
      <c r="M74" s="344">
        <f t="shared" ref="M74:S74" si="33">M73/L73-1</f>
        <v>0.1454219030520647</v>
      </c>
      <c r="N74" s="344">
        <f t="shared" si="33"/>
        <v>0.11677115987460818</v>
      </c>
      <c r="O74" s="344">
        <f t="shared" si="33"/>
        <v>9.54385964912281E-2</v>
      </c>
      <c r="P74" s="344">
        <f t="shared" si="33"/>
        <v>7.8795643818065253E-2</v>
      </c>
      <c r="Q74" s="344">
        <f t="shared" si="33"/>
        <v>6.5320665083135498E-2</v>
      </c>
      <c r="R74" s="344">
        <f t="shared" si="33"/>
        <v>5.4069119286510592E-2</v>
      </c>
      <c r="S74" s="344">
        <f t="shared" si="33"/>
        <v>4.4420941300898908E-2</v>
      </c>
      <c r="T74" s="126" t="s">
        <v>48</v>
      </c>
    </row>
    <row r="75" spans="4:20" outlineLevel="1">
      <c r="D75" s="226" t="s">
        <v>194</v>
      </c>
      <c r="E75" s="214"/>
      <c r="F75" s="243">
        <v>867</v>
      </c>
      <c r="G75" s="243">
        <v>1033</v>
      </c>
      <c r="H75" s="215"/>
      <c r="I75" s="244">
        <v>1196</v>
      </c>
      <c r="J75" s="244">
        <v>1410</v>
      </c>
      <c r="K75" s="245">
        <v>1711</v>
      </c>
      <c r="L75" s="246">
        <f t="shared" ref="L75:S75" si="34">SUM(L76,L81)</f>
        <v>2031</v>
      </c>
      <c r="M75" s="246">
        <f t="shared" si="34"/>
        <v>2321</v>
      </c>
      <c r="N75" s="246">
        <f t="shared" si="34"/>
        <v>2581</v>
      </c>
      <c r="O75" s="246">
        <f t="shared" si="34"/>
        <v>2811</v>
      </c>
      <c r="P75" s="246">
        <f t="shared" si="34"/>
        <v>3011</v>
      </c>
      <c r="Q75" s="246">
        <f t="shared" si="34"/>
        <v>3181</v>
      </c>
      <c r="R75" s="246">
        <f t="shared" si="34"/>
        <v>3321</v>
      </c>
      <c r="S75" s="246">
        <f t="shared" si="34"/>
        <v>3431</v>
      </c>
      <c r="T75" s="126" t="s">
        <v>48</v>
      </c>
    </row>
    <row r="76" spans="4:20" outlineLevel="1">
      <c r="D76" s="247" t="s">
        <v>195</v>
      </c>
      <c r="F76" s="248">
        <v>676</v>
      </c>
      <c r="G76" s="248">
        <v>807</v>
      </c>
      <c r="I76" s="249">
        <v>945</v>
      </c>
      <c r="J76" s="249">
        <v>1121</v>
      </c>
      <c r="K76" s="250">
        <v>1381</v>
      </c>
      <c r="L76" s="251">
        <f t="shared" ref="L76:S79" si="35">K76+L98</f>
        <v>1637</v>
      </c>
      <c r="M76" s="251">
        <f t="shared" si="35"/>
        <v>1869</v>
      </c>
      <c r="N76" s="251">
        <f t="shared" si="35"/>
        <v>2077</v>
      </c>
      <c r="O76" s="251">
        <f t="shared" si="35"/>
        <v>2261</v>
      </c>
      <c r="P76" s="251">
        <f t="shared" si="35"/>
        <v>2421</v>
      </c>
      <c r="Q76" s="251">
        <f t="shared" si="35"/>
        <v>2557</v>
      </c>
      <c r="R76" s="251">
        <f t="shared" si="35"/>
        <v>2669</v>
      </c>
      <c r="S76" s="251">
        <f t="shared" si="35"/>
        <v>2757</v>
      </c>
      <c r="T76" s="126" t="s">
        <v>48</v>
      </c>
    </row>
    <row r="77" spans="4:20" outlineLevel="1">
      <c r="D77" s="161" t="s">
        <v>180</v>
      </c>
      <c r="F77" s="248">
        <v>343</v>
      </c>
      <c r="G77" s="248">
        <v>408</v>
      </c>
      <c r="I77" s="252">
        <v>429</v>
      </c>
      <c r="J77" s="252">
        <v>486</v>
      </c>
      <c r="K77" s="253">
        <v>569</v>
      </c>
      <c r="L77" s="233">
        <f t="shared" si="35"/>
        <v>690</v>
      </c>
      <c r="M77" s="233">
        <f t="shared" si="35"/>
        <v>801</v>
      </c>
      <c r="N77" s="233">
        <f t="shared" si="35"/>
        <v>902</v>
      </c>
      <c r="O77" s="233">
        <f t="shared" si="35"/>
        <v>993</v>
      </c>
      <c r="P77" s="233">
        <f t="shared" si="35"/>
        <v>1074</v>
      </c>
      <c r="Q77" s="233">
        <f t="shared" si="35"/>
        <v>1145</v>
      </c>
      <c r="R77" s="233">
        <f t="shared" si="35"/>
        <v>1206</v>
      </c>
      <c r="S77" s="233">
        <f t="shared" si="35"/>
        <v>1257</v>
      </c>
      <c r="T77" s="126" t="s">
        <v>48</v>
      </c>
    </row>
    <row r="78" spans="4:20" outlineLevel="1">
      <c r="D78" s="161" t="s">
        <v>181</v>
      </c>
      <c r="F78" s="248">
        <v>172</v>
      </c>
      <c r="G78" s="248">
        <v>192</v>
      </c>
      <c r="I78" s="252">
        <v>245</v>
      </c>
      <c r="J78" s="252">
        <v>302</v>
      </c>
      <c r="K78" s="253">
        <v>372</v>
      </c>
      <c r="L78" s="233">
        <f t="shared" si="35"/>
        <v>428</v>
      </c>
      <c r="M78" s="233">
        <f t="shared" si="35"/>
        <v>478</v>
      </c>
      <c r="N78" s="233">
        <f t="shared" si="35"/>
        <v>522</v>
      </c>
      <c r="O78" s="233">
        <f t="shared" si="35"/>
        <v>560</v>
      </c>
      <c r="P78" s="233">
        <f t="shared" si="35"/>
        <v>592</v>
      </c>
      <c r="Q78" s="233">
        <f t="shared" si="35"/>
        <v>618</v>
      </c>
      <c r="R78" s="233">
        <f t="shared" si="35"/>
        <v>638</v>
      </c>
      <c r="S78" s="233">
        <f t="shared" si="35"/>
        <v>652</v>
      </c>
      <c r="T78" s="126" t="s">
        <v>48</v>
      </c>
    </row>
    <row r="79" spans="4:20" outlineLevel="1">
      <c r="D79" s="161" t="s">
        <v>184</v>
      </c>
      <c r="F79" s="248">
        <v>161</v>
      </c>
      <c r="G79" s="248">
        <v>207</v>
      </c>
      <c r="I79" s="252">
        <v>271</v>
      </c>
      <c r="J79" s="252">
        <v>333</v>
      </c>
      <c r="K79" s="253">
        <v>440</v>
      </c>
      <c r="L79" s="233">
        <f t="shared" si="35"/>
        <v>519</v>
      </c>
      <c r="M79" s="233">
        <f t="shared" si="35"/>
        <v>590</v>
      </c>
      <c r="N79" s="233">
        <f t="shared" si="35"/>
        <v>653</v>
      </c>
      <c r="O79" s="233">
        <f t="shared" si="35"/>
        <v>708</v>
      </c>
      <c r="P79" s="233">
        <f t="shared" si="35"/>
        <v>755</v>
      </c>
      <c r="Q79" s="233">
        <f t="shared" si="35"/>
        <v>794</v>
      </c>
      <c r="R79" s="233">
        <f t="shared" si="35"/>
        <v>825</v>
      </c>
      <c r="S79" s="233">
        <f t="shared" si="35"/>
        <v>848</v>
      </c>
      <c r="T79" s="126" t="s">
        <v>48</v>
      </c>
    </row>
    <row r="80" spans="4:20" outlineLevel="1">
      <c r="D80" s="161"/>
      <c r="F80" s="248"/>
      <c r="G80" s="248"/>
      <c r="I80" s="252"/>
      <c r="J80" s="252"/>
      <c r="K80" s="253"/>
      <c r="L80" s="233"/>
      <c r="M80" s="233"/>
      <c r="N80" s="233"/>
      <c r="O80" s="233"/>
      <c r="P80" s="233"/>
      <c r="Q80" s="233"/>
      <c r="R80" s="233"/>
      <c r="S80" s="233"/>
      <c r="T80" s="126" t="s">
        <v>48</v>
      </c>
    </row>
    <row r="81" spans="4:21" outlineLevel="1">
      <c r="D81" s="247" t="s">
        <v>196</v>
      </c>
      <c r="F81" s="248">
        <v>191</v>
      </c>
      <c r="G81" s="248">
        <v>226</v>
      </c>
      <c r="I81" s="249">
        <v>251</v>
      </c>
      <c r="J81" s="249">
        <v>289</v>
      </c>
      <c r="K81" s="250">
        <v>330</v>
      </c>
      <c r="L81" s="251">
        <f t="shared" ref="L81:S84" si="36">K81+L103</f>
        <v>394</v>
      </c>
      <c r="M81" s="251">
        <f t="shared" si="36"/>
        <v>452</v>
      </c>
      <c r="N81" s="251">
        <f t="shared" si="36"/>
        <v>504</v>
      </c>
      <c r="O81" s="251">
        <f t="shared" si="36"/>
        <v>550</v>
      </c>
      <c r="P81" s="251">
        <f t="shared" si="36"/>
        <v>590</v>
      </c>
      <c r="Q81" s="251">
        <f t="shared" si="36"/>
        <v>624</v>
      </c>
      <c r="R81" s="251">
        <f t="shared" si="36"/>
        <v>652</v>
      </c>
      <c r="S81" s="251">
        <f t="shared" si="36"/>
        <v>674</v>
      </c>
      <c r="T81" s="126" t="s">
        <v>48</v>
      </c>
    </row>
    <row r="82" spans="4:21" outlineLevel="1">
      <c r="D82" s="161" t="s">
        <v>180</v>
      </c>
      <c r="F82" s="248">
        <v>154</v>
      </c>
      <c r="G82" s="248">
        <v>165</v>
      </c>
      <c r="I82" s="252">
        <v>179</v>
      </c>
      <c r="J82" s="252">
        <v>193</v>
      </c>
      <c r="K82" s="253">
        <v>224</v>
      </c>
      <c r="L82" s="233">
        <f t="shared" si="36"/>
        <v>254</v>
      </c>
      <c r="M82" s="233">
        <f t="shared" si="36"/>
        <v>281</v>
      </c>
      <c r="N82" s="233">
        <f t="shared" si="36"/>
        <v>305</v>
      </c>
      <c r="O82" s="233">
        <f t="shared" si="36"/>
        <v>326</v>
      </c>
      <c r="P82" s="233">
        <f t="shared" si="36"/>
        <v>344</v>
      </c>
      <c r="Q82" s="233">
        <f t="shared" si="36"/>
        <v>359</v>
      </c>
      <c r="R82" s="233">
        <f t="shared" si="36"/>
        <v>371</v>
      </c>
      <c r="S82" s="233">
        <f t="shared" si="36"/>
        <v>380</v>
      </c>
      <c r="T82" s="126" t="s">
        <v>48</v>
      </c>
    </row>
    <row r="83" spans="4:21" outlineLevel="1">
      <c r="D83" s="161" t="s">
        <v>181</v>
      </c>
      <c r="F83" s="248">
        <v>10</v>
      </c>
      <c r="G83" s="248">
        <v>9</v>
      </c>
      <c r="I83" s="252">
        <v>9</v>
      </c>
      <c r="J83" s="252">
        <v>16</v>
      </c>
      <c r="K83" s="253">
        <v>23</v>
      </c>
      <c r="L83" s="233">
        <f t="shared" si="36"/>
        <v>37</v>
      </c>
      <c r="M83" s="233">
        <f t="shared" si="36"/>
        <v>50</v>
      </c>
      <c r="N83" s="233">
        <f t="shared" si="36"/>
        <v>62</v>
      </c>
      <c r="O83" s="233">
        <f t="shared" si="36"/>
        <v>73</v>
      </c>
      <c r="P83" s="233">
        <f t="shared" si="36"/>
        <v>83</v>
      </c>
      <c r="Q83" s="233">
        <f t="shared" si="36"/>
        <v>92</v>
      </c>
      <c r="R83" s="233">
        <f t="shared" si="36"/>
        <v>100</v>
      </c>
      <c r="S83" s="233">
        <f t="shared" si="36"/>
        <v>107</v>
      </c>
      <c r="T83" s="126" t="s">
        <v>48</v>
      </c>
    </row>
    <row r="84" spans="4:21" outlineLevel="1">
      <c r="D84" s="161" t="s">
        <v>184</v>
      </c>
      <c r="F84" s="248">
        <v>27</v>
      </c>
      <c r="G84" s="248">
        <v>52</v>
      </c>
      <c r="I84" s="252">
        <v>63</v>
      </c>
      <c r="J84" s="252">
        <v>80</v>
      </c>
      <c r="K84" s="253">
        <v>83</v>
      </c>
      <c r="L84" s="233">
        <f t="shared" si="36"/>
        <v>103</v>
      </c>
      <c r="M84" s="233">
        <f t="shared" si="36"/>
        <v>121</v>
      </c>
      <c r="N84" s="233">
        <f t="shared" si="36"/>
        <v>137</v>
      </c>
      <c r="O84" s="233">
        <f t="shared" si="36"/>
        <v>151</v>
      </c>
      <c r="P84" s="233">
        <f t="shared" si="36"/>
        <v>163</v>
      </c>
      <c r="Q84" s="233">
        <f t="shared" si="36"/>
        <v>173</v>
      </c>
      <c r="R84" s="233">
        <f t="shared" si="36"/>
        <v>181</v>
      </c>
      <c r="S84" s="233">
        <f t="shared" si="36"/>
        <v>187</v>
      </c>
      <c r="T84" s="126" t="s">
        <v>48</v>
      </c>
    </row>
    <row r="85" spans="4:21" outlineLevel="1">
      <c r="D85" s="161"/>
      <c r="F85" s="248"/>
      <c r="G85" s="248"/>
      <c r="I85" s="233"/>
      <c r="J85" s="233"/>
      <c r="K85" s="242"/>
      <c r="L85" s="233"/>
      <c r="M85" s="233"/>
      <c r="N85" s="233"/>
      <c r="O85" s="233"/>
      <c r="P85" s="233"/>
      <c r="Q85" s="233"/>
      <c r="R85" s="233"/>
      <c r="S85" s="233"/>
      <c r="T85" s="126" t="s">
        <v>48</v>
      </c>
    </row>
    <row r="86" spans="4:21" outlineLevel="1">
      <c r="D86" s="254" t="s">
        <v>183</v>
      </c>
      <c r="E86" s="214"/>
      <c r="F86" s="243">
        <v>33</v>
      </c>
      <c r="G86" s="243">
        <v>32</v>
      </c>
      <c r="H86" s="215"/>
      <c r="I86" s="244">
        <v>27</v>
      </c>
      <c r="J86" s="244">
        <v>28</v>
      </c>
      <c r="K86" s="245">
        <v>32</v>
      </c>
      <c r="L86" s="246">
        <f t="shared" ref="L86:S88" si="37">K86+L108</f>
        <v>40</v>
      </c>
      <c r="M86" s="246">
        <f t="shared" si="37"/>
        <v>48</v>
      </c>
      <c r="N86" s="246">
        <f t="shared" si="37"/>
        <v>56</v>
      </c>
      <c r="O86" s="246">
        <f t="shared" si="37"/>
        <v>64</v>
      </c>
      <c r="P86" s="246">
        <f t="shared" si="37"/>
        <v>72</v>
      </c>
      <c r="Q86" s="246">
        <f t="shared" si="37"/>
        <v>80</v>
      </c>
      <c r="R86" s="246">
        <f t="shared" si="37"/>
        <v>88</v>
      </c>
      <c r="S86" s="246">
        <f t="shared" si="37"/>
        <v>96</v>
      </c>
      <c r="T86" s="126" t="s">
        <v>48</v>
      </c>
    </row>
    <row r="87" spans="4:21" outlineLevel="1">
      <c r="D87" s="247" t="s">
        <v>195</v>
      </c>
      <c r="F87" s="248">
        <v>28</v>
      </c>
      <c r="G87" s="248">
        <v>27</v>
      </c>
      <c r="I87" s="252">
        <v>22</v>
      </c>
      <c r="J87" s="252">
        <v>23</v>
      </c>
      <c r="K87" s="253">
        <v>26</v>
      </c>
      <c r="L87" s="233">
        <f t="shared" si="37"/>
        <v>32</v>
      </c>
      <c r="M87" s="233">
        <f t="shared" si="37"/>
        <v>38</v>
      </c>
      <c r="N87" s="233">
        <f t="shared" si="37"/>
        <v>44</v>
      </c>
      <c r="O87" s="233">
        <f t="shared" si="37"/>
        <v>50</v>
      </c>
      <c r="P87" s="233">
        <f t="shared" si="37"/>
        <v>56</v>
      </c>
      <c r="Q87" s="233">
        <f t="shared" si="37"/>
        <v>62</v>
      </c>
      <c r="R87" s="233">
        <f t="shared" si="37"/>
        <v>68</v>
      </c>
      <c r="S87" s="233">
        <f t="shared" si="37"/>
        <v>74</v>
      </c>
      <c r="T87" s="126" t="s">
        <v>48</v>
      </c>
    </row>
    <row r="88" spans="4:21" outlineLevel="1">
      <c r="D88" s="247" t="s">
        <v>196</v>
      </c>
      <c r="F88" s="248">
        <v>5</v>
      </c>
      <c r="G88" s="248">
        <v>5</v>
      </c>
      <c r="I88" s="252">
        <v>5</v>
      </c>
      <c r="J88" s="252">
        <v>5</v>
      </c>
      <c r="K88" s="253">
        <v>6</v>
      </c>
      <c r="L88" s="233">
        <f t="shared" si="37"/>
        <v>8</v>
      </c>
      <c r="M88" s="233">
        <f t="shared" si="37"/>
        <v>10</v>
      </c>
      <c r="N88" s="233">
        <f t="shared" si="37"/>
        <v>12</v>
      </c>
      <c r="O88" s="233">
        <f t="shared" si="37"/>
        <v>14</v>
      </c>
      <c r="P88" s="233">
        <f t="shared" si="37"/>
        <v>16</v>
      </c>
      <c r="Q88" s="233">
        <f t="shared" si="37"/>
        <v>18</v>
      </c>
      <c r="R88" s="233">
        <f t="shared" si="37"/>
        <v>20</v>
      </c>
      <c r="S88" s="233">
        <f t="shared" si="37"/>
        <v>22</v>
      </c>
      <c r="T88" s="126" t="s">
        <v>48</v>
      </c>
    </row>
    <row r="89" spans="4:21" outlineLevel="1">
      <c r="D89" s="151"/>
      <c r="F89" s="248"/>
      <c r="G89" s="248"/>
      <c r="I89" s="233"/>
      <c r="J89" s="233"/>
      <c r="K89" s="242"/>
      <c r="L89" s="233"/>
      <c r="M89" s="233"/>
      <c r="N89" s="233"/>
      <c r="O89" s="233"/>
      <c r="P89" s="233"/>
      <c r="Q89" s="233"/>
      <c r="R89" s="233"/>
      <c r="S89" s="233"/>
      <c r="T89" s="126" t="s">
        <v>48</v>
      </c>
    </row>
    <row r="90" spans="4:21" outlineLevel="1">
      <c r="D90" s="226" t="s">
        <v>197</v>
      </c>
      <c r="E90" s="214"/>
      <c r="F90" s="243">
        <v>11</v>
      </c>
      <c r="G90" s="243">
        <v>12</v>
      </c>
      <c r="H90" s="215"/>
      <c r="I90" s="244">
        <v>13</v>
      </c>
      <c r="J90" s="244">
        <v>21</v>
      </c>
      <c r="K90" s="245">
        <v>135</v>
      </c>
      <c r="L90" s="246">
        <f t="shared" ref="L90:S90" si="38">K90+L112</f>
        <v>157</v>
      </c>
      <c r="M90" s="246">
        <f t="shared" si="38"/>
        <v>183</v>
      </c>
      <c r="N90" s="246">
        <f t="shared" si="38"/>
        <v>213</v>
      </c>
      <c r="O90" s="246">
        <f t="shared" si="38"/>
        <v>247</v>
      </c>
      <c r="P90" s="246">
        <f t="shared" si="38"/>
        <v>285</v>
      </c>
      <c r="Q90" s="246">
        <f t="shared" si="38"/>
        <v>327</v>
      </c>
      <c r="R90" s="246">
        <f t="shared" si="38"/>
        <v>373</v>
      </c>
      <c r="S90" s="246">
        <f t="shared" si="38"/>
        <v>423</v>
      </c>
      <c r="T90" s="126" t="s">
        <v>48</v>
      </c>
    </row>
    <row r="91" spans="4:21" outlineLevel="1">
      <c r="K91" s="207"/>
      <c r="T91" s="126" t="s">
        <v>48</v>
      </c>
    </row>
    <row r="92" spans="4:21" outlineLevel="1">
      <c r="D92" s="149"/>
      <c r="K92" s="207"/>
      <c r="T92" s="126" t="s">
        <v>48</v>
      </c>
    </row>
    <row r="93" spans="4:21" outlineLevel="1">
      <c r="D93" s="586" t="s">
        <v>198</v>
      </c>
      <c r="E93" s="586"/>
      <c r="F93" s="586"/>
      <c r="G93" s="586"/>
      <c r="H93" s="586"/>
      <c r="I93" s="588"/>
      <c r="J93" s="588"/>
      <c r="K93" s="588"/>
      <c r="L93" s="589"/>
      <c r="M93" s="589"/>
      <c r="N93" s="589"/>
      <c r="O93" s="589"/>
      <c r="P93" s="589"/>
      <c r="Q93" s="589"/>
      <c r="R93" s="589"/>
      <c r="S93" s="589"/>
      <c r="T93" s="126" t="s">
        <v>48</v>
      </c>
    </row>
    <row r="94" spans="4:21" outlineLevel="1">
      <c r="D94" s="255"/>
      <c r="E94" s="256"/>
      <c r="F94" s="256"/>
      <c r="G94" s="256"/>
      <c r="H94" s="256"/>
      <c r="I94" s="256"/>
      <c r="J94" s="256"/>
      <c r="K94" s="257"/>
      <c r="L94" s="256"/>
      <c r="M94" s="256"/>
      <c r="N94" s="256"/>
      <c r="O94" s="256"/>
      <c r="P94" s="256"/>
      <c r="Q94" s="256"/>
      <c r="R94" s="256"/>
      <c r="S94" s="256"/>
      <c r="T94" s="126" t="s">
        <v>48</v>
      </c>
    </row>
    <row r="95" spans="4:21" outlineLevel="1">
      <c r="D95" s="258" t="s">
        <v>199</v>
      </c>
      <c r="E95" s="259"/>
      <c r="F95" s="259"/>
      <c r="G95" s="259">
        <f>G73-F73</f>
        <v>166</v>
      </c>
      <c r="H95" s="259"/>
      <c r="I95" s="259">
        <f t="shared" ref="I95:S95" si="39">SUM(I97,I108,I112)</f>
        <v>159</v>
      </c>
      <c r="J95" s="259">
        <f t="shared" si="39"/>
        <v>223</v>
      </c>
      <c r="K95" s="260">
        <f t="shared" si="39"/>
        <v>419</v>
      </c>
      <c r="L95" s="259">
        <f t="shared" si="39"/>
        <v>350</v>
      </c>
      <c r="M95" s="259">
        <f t="shared" si="39"/>
        <v>324</v>
      </c>
      <c r="N95" s="259">
        <f t="shared" si="39"/>
        <v>298</v>
      </c>
      <c r="O95" s="259">
        <f t="shared" si="39"/>
        <v>272</v>
      </c>
      <c r="P95" s="259">
        <f t="shared" si="39"/>
        <v>246</v>
      </c>
      <c r="Q95" s="259">
        <f t="shared" si="39"/>
        <v>220</v>
      </c>
      <c r="R95" s="259">
        <f t="shared" si="39"/>
        <v>194</v>
      </c>
      <c r="S95" s="259">
        <f t="shared" si="39"/>
        <v>168</v>
      </c>
      <c r="T95" s="126" t="s">
        <v>48</v>
      </c>
      <c r="U95" s="149"/>
    </row>
    <row r="96" spans="4:21" outlineLevel="1">
      <c r="D96" s="149"/>
      <c r="K96" s="207"/>
      <c r="T96" s="126" t="s">
        <v>48</v>
      </c>
    </row>
    <row r="97" spans="4:20" outlineLevel="1">
      <c r="D97" s="226" t="s">
        <v>194</v>
      </c>
      <c r="E97" s="214"/>
      <c r="F97" s="261"/>
      <c r="G97" s="261"/>
      <c r="H97" s="215"/>
      <c r="I97" s="246">
        <f t="shared" ref="I97:S97" si="40">SUM(I98,I103)</f>
        <v>163</v>
      </c>
      <c r="J97" s="246">
        <f t="shared" si="40"/>
        <v>214</v>
      </c>
      <c r="K97" s="262">
        <f t="shared" si="40"/>
        <v>301</v>
      </c>
      <c r="L97" s="246">
        <f t="shared" si="40"/>
        <v>320</v>
      </c>
      <c r="M97" s="246">
        <f t="shared" si="40"/>
        <v>290</v>
      </c>
      <c r="N97" s="246">
        <f t="shared" si="40"/>
        <v>260</v>
      </c>
      <c r="O97" s="246">
        <f t="shared" si="40"/>
        <v>230</v>
      </c>
      <c r="P97" s="246">
        <f t="shared" si="40"/>
        <v>200</v>
      </c>
      <c r="Q97" s="246">
        <f t="shared" si="40"/>
        <v>170</v>
      </c>
      <c r="R97" s="246">
        <f t="shared" si="40"/>
        <v>140</v>
      </c>
      <c r="S97" s="246">
        <f t="shared" si="40"/>
        <v>110</v>
      </c>
      <c r="T97" s="126" t="s">
        <v>48</v>
      </c>
    </row>
    <row r="98" spans="4:20" outlineLevel="1">
      <c r="D98" s="247" t="s">
        <v>195</v>
      </c>
      <c r="F98" s="248">
        <f>SUM(F99:F101)</f>
        <v>256</v>
      </c>
      <c r="G98" s="248">
        <f>SUM(G99:G101)</f>
        <v>-24</v>
      </c>
      <c r="I98" s="251">
        <f>I76-G76</f>
        <v>138</v>
      </c>
      <c r="J98" s="251">
        <f t="shared" ref="J98:K101" si="41">J76-I76</f>
        <v>176</v>
      </c>
      <c r="K98" s="263">
        <f t="shared" si="41"/>
        <v>260</v>
      </c>
      <c r="L98" s="264">
        <f>F98</f>
        <v>256</v>
      </c>
      <c r="M98" s="264">
        <f t="shared" ref="M98:S101" si="42">L98+$G98</f>
        <v>232</v>
      </c>
      <c r="N98" s="264">
        <f t="shared" si="42"/>
        <v>208</v>
      </c>
      <c r="O98" s="264">
        <f t="shared" si="42"/>
        <v>184</v>
      </c>
      <c r="P98" s="264">
        <f t="shared" si="42"/>
        <v>160</v>
      </c>
      <c r="Q98" s="264">
        <f t="shared" si="42"/>
        <v>136</v>
      </c>
      <c r="R98" s="264">
        <f t="shared" si="42"/>
        <v>112</v>
      </c>
      <c r="S98" s="264">
        <f t="shared" si="42"/>
        <v>88</v>
      </c>
      <c r="T98" s="126" t="s">
        <v>48</v>
      </c>
    </row>
    <row r="99" spans="4:20" outlineLevel="1">
      <c r="D99" s="161" t="s">
        <v>180</v>
      </c>
      <c r="F99" s="248">
        <v>121</v>
      </c>
      <c r="G99" s="248">
        <v>-10</v>
      </c>
      <c r="I99" s="233">
        <f>I77-G77</f>
        <v>21</v>
      </c>
      <c r="J99" s="233">
        <f t="shared" si="41"/>
        <v>57</v>
      </c>
      <c r="K99" s="242">
        <f t="shared" si="41"/>
        <v>83</v>
      </c>
      <c r="L99" s="265">
        <f>F99</f>
        <v>121</v>
      </c>
      <c r="M99" s="265">
        <f t="shared" si="42"/>
        <v>111</v>
      </c>
      <c r="N99" s="265">
        <f t="shared" si="42"/>
        <v>101</v>
      </c>
      <c r="O99" s="265">
        <f t="shared" si="42"/>
        <v>91</v>
      </c>
      <c r="P99" s="265">
        <f t="shared" si="42"/>
        <v>81</v>
      </c>
      <c r="Q99" s="265">
        <f t="shared" si="42"/>
        <v>71</v>
      </c>
      <c r="R99" s="265">
        <f t="shared" si="42"/>
        <v>61</v>
      </c>
      <c r="S99" s="265">
        <f t="shared" si="42"/>
        <v>51</v>
      </c>
      <c r="T99" s="126" t="s">
        <v>48</v>
      </c>
    </row>
    <row r="100" spans="4:20" outlineLevel="1">
      <c r="D100" s="161" t="s">
        <v>181</v>
      </c>
      <c r="F100" s="248">
        <v>56</v>
      </c>
      <c r="G100" s="248">
        <v>-6</v>
      </c>
      <c r="I100" s="233">
        <f>I78-G78</f>
        <v>53</v>
      </c>
      <c r="J100" s="233">
        <f t="shared" si="41"/>
        <v>57</v>
      </c>
      <c r="K100" s="242">
        <f t="shared" si="41"/>
        <v>70</v>
      </c>
      <c r="L100" s="265">
        <f>F100</f>
        <v>56</v>
      </c>
      <c r="M100" s="265">
        <f t="shared" si="42"/>
        <v>50</v>
      </c>
      <c r="N100" s="265">
        <f t="shared" si="42"/>
        <v>44</v>
      </c>
      <c r="O100" s="265">
        <f t="shared" si="42"/>
        <v>38</v>
      </c>
      <c r="P100" s="265">
        <f t="shared" si="42"/>
        <v>32</v>
      </c>
      <c r="Q100" s="265">
        <f t="shared" si="42"/>
        <v>26</v>
      </c>
      <c r="R100" s="265">
        <f t="shared" si="42"/>
        <v>20</v>
      </c>
      <c r="S100" s="265">
        <f t="shared" si="42"/>
        <v>14</v>
      </c>
      <c r="T100" s="126" t="s">
        <v>48</v>
      </c>
    </row>
    <row r="101" spans="4:20" outlineLevel="1">
      <c r="D101" s="161" t="s">
        <v>184</v>
      </c>
      <c r="F101" s="248">
        <v>79</v>
      </c>
      <c r="G101" s="248">
        <v>-8</v>
      </c>
      <c r="I101" s="233">
        <f>I79-G79</f>
        <v>64</v>
      </c>
      <c r="J101" s="233">
        <f t="shared" si="41"/>
        <v>62</v>
      </c>
      <c r="K101" s="242">
        <f t="shared" si="41"/>
        <v>107</v>
      </c>
      <c r="L101" s="265">
        <f>F101</f>
        <v>79</v>
      </c>
      <c r="M101" s="265">
        <f t="shared" si="42"/>
        <v>71</v>
      </c>
      <c r="N101" s="265">
        <f t="shared" si="42"/>
        <v>63</v>
      </c>
      <c r="O101" s="265">
        <f t="shared" si="42"/>
        <v>55</v>
      </c>
      <c r="P101" s="265">
        <f t="shared" si="42"/>
        <v>47</v>
      </c>
      <c r="Q101" s="265">
        <f t="shared" si="42"/>
        <v>39</v>
      </c>
      <c r="R101" s="265">
        <f t="shared" si="42"/>
        <v>31</v>
      </c>
      <c r="S101" s="265">
        <f t="shared" si="42"/>
        <v>23</v>
      </c>
      <c r="T101" s="126" t="s">
        <v>48</v>
      </c>
    </row>
    <row r="102" spans="4:20" outlineLevel="1">
      <c r="D102" s="161"/>
      <c r="F102" s="248"/>
      <c r="G102" s="248"/>
      <c r="I102" s="251"/>
      <c r="J102" s="233"/>
      <c r="K102" s="242"/>
      <c r="L102" s="265"/>
      <c r="M102" s="265"/>
      <c r="N102" s="265"/>
      <c r="O102" s="265"/>
      <c r="P102" s="265"/>
      <c r="Q102" s="265"/>
      <c r="R102" s="265"/>
      <c r="S102" s="265"/>
      <c r="T102" s="126" t="s">
        <v>48</v>
      </c>
    </row>
    <row r="103" spans="4:20" outlineLevel="1">
      <c r="D103" s="247" t="s">
        <v>196</v>
      </c>
      <c r="F103" s="248">
        <f>SUM(F104:F106)</f>
        <v>64</v>
      </c>
      <c r="G103" s="248">
        <f>SUM(G104:G106)</f>
        <v>-6</v>
      </c>
      <c r="I103" s="251">
        <f>I81-G81</f>
        <v>25</v>
      </c>
      <c r="J103" s="251">
        <f t="shared" ref="J103:K106" si="43">J81-I81</f>
        <v>38</v>
      </c>
      <c r="K103" s="263">
        <f t="shared" si="43"/>
        <v>41</v>
      </c>
      <c r="L103" s="264">
        <f>F103</f>
        <v>64</v>
      </c>
      <c r="M103" s="264">
        <f t="shared" ref="M103:S106" si="44">L103+$G103</f>
        <v>58</v>
      </c>
      <c r="N103" s="264">
        <f t="shared" si="44"/>
        <v>52</v>
      </c>
      <c r="O103" s="264">
        <f t="shared" si="44"/>
        <v>46</v>
      </c>
      <c r="P103" s="264">
        <f t="shared" si="44"/>
        <v>40</v>
      </c>
      <c r="Q103" s="264">
        <f t="shared" si="44"/>
        <v>34</v>
      </c>
      <c r="R103" s="264">
        <f t="shared" si="44"/>
        <v>28</v>
      </c>
      <c r="S103" s="264">
        <f t="shared" si="44"/>
        <v>22</v>
      </c>
      <c r="T103" s="126" t="s">
        <v>48</v>
      </c>
    </row>
    <row r="104" spans="4:20" outlineLevel="1">
      <c r="D104" s="161" t="s">
        <v>180</v>
      </c>
      <c r="F104" s="248">
        <v>30</v>
      </c>
      <c r="G104" s="248">
        <v>-3</v>
      </c>
      <c r="I104" s="233">
        <f>I82-G82</f>
        <v>14</v>
      </c>
      <c r="J104" s="233">
        <f t="shared" si="43"/>
        <v>14</v>
      </c>
      <c r="K104" s="242">
        <f t="shared" si="43"/>
        <v>31</v>
      </c>
      <c r="L104" s="265">
        <f>F104</f>
        <v>30</v>
      </c>
      <c r="M104" s="265">
        <f t="shared" si="44"/>
        <v>27</v>
      </c>
      <c r="N104" s="265">
        <f t="shared" si="44"/>
        <v>24</v>
      </c>
      <c r="O104" s="265">
        <f t="shared" si="44"/>
        <v>21</v>
      </c>
      <c r="P104" s="265">
        <f t="shared" si="44"/>
        <v>18</v>
      </c>
      <c r="Q104" s="265">
        <f t="shared" si="44"/>
        <v>15</v>
      </c>
      <c r="R104" s="265">
        <f t="shared" si="44"/>
        <v>12</v>
      </c>
      <c r="S104" s="265">
        <f t="shared" si="44"/>
        <v>9</v>
      </c>
      <c r="T104" s="126" t="s">
        <v>48</v>
      </c>
    </row>
    <row r="105" spans="4:20" outlineLevel="1">
      <c r="D105" s="161" t="s">
        <v>181</v>
      </c>
      <c r="F105" s="248">
        <v>14</v>
      </c>
      <c r="G105" s="248">
        <v>-1</v>
      </c>
      <c r="I105" s="233">
        <f>I83-G83</f>
        <v>0</v>
      </c>
      <c r="J105" s="233">
        <f t="shared" si="43"/>
        <v>7</v>
      </c>
      <c r="K105" s="242">
        <f t="shared" si="43"/>
        <v>7</v>
      </c>
      <c r="L105" s="265">
        <f>F105</f>
        <v>14</v>
      </c>
      <c r="M105" s="265">
        <f t="shared" si="44"/>
        <v>13</v>
      </c>
      <c r="N105" s="265">
        <f t="shared" si="44"/>
        <v>12</v>
      </c>
      <c r="O105" s="265">
        <f t="shared" si="44"/>
        <v>11</v>
      </c>
      <c r="P105" s="265">
        <f t="shared" si="44"/>
        <v>10</v>
      </c>
      <c r="Q105" s="265">
        <f t="shared" si="44"/>
        <v>9</v>
      </c>
      <c r="R105" s="265">
        <f t="shared" si="44"/>
        <v>8</v>
      </c>
      <c r="S105" s="265">
        <f t="shared" si="44"/>
        <v>7</v>
      </c>
      <c r="T105" s="126" t="s">
        <v>48</v>
      </c>
    </row>
    <row r="106" spans="4:20" outlineLevel="1">
      <c r="D106" s="161" t="s">
        <v>184</v>
      </c>
      <c r="F106" s="248">
        <v>20</v>
      </c>
      <c r="G106" s="248">
        <v>-2</v>
      </c>
      <c r="I106" s="233">
        <f>I84-G84</f>
        <v>11</v>
      </c>
      <c r="J106" s="233">
        <f t="shared" si="43"/>
        <v>17</v>
      </c>
      <c r="K106" s="242">
        <f t="shared" si="43"/>
        <v>3</v>
      </c>
      <c r="L106" s="265">
        <f>F106</f>
        <v>20</v>
      </c>
      <c r="M106" s="265">
        <f t="shared" si="44"/>
        <v>18</v>
      </c>
      <c r="N106" s="265">
        <f t="shared" si="44"/>
        <v>16</v>
      </c>
      <c r="O106" s="265">
        <f t="shared" si="44"/>
        <v>14</v>
      </c>
      <c r="P106" s="265">
        <f t="shared" si="44"/>
        <v>12</v>
      </c>
      <c r="Q106" s="265">
        <f t="shared" si="44"/>
        <v>10</v>
      </c>
      <c r="R106" s="265">
        <f t="shared" si="44"/>
        <v>8</v>
      </c>
      <c r="S106" s="265">
        <f t="shared" si="44"/>
        <v>6</v>
      </c>
      <c r="T106" s="126" t="s">
        <v>48</v>
      </c>
    </row>
    <row r="107" spans="4:20" outlineLevel="1">
      <c r="D107" s="161"/>
      <c r="F107" s="248"/>
      <c r="G107" s="248"/>
      <c r="I107" s="233"/>
      <c r="J107" s="233"/>
      <c r="K107" s="242"/>
      <c r="L107" s="265"/>
      <c r="M107" s="265"/>
      <c r="N107" s="265"/>
      <c r="O107" s="265"/>
      <c r="P107" s="265"/>
      <c r="Q107" s="265"/>
      <c r="R107" s="265"/>
      <c r="S107" s="265"/>
      <c r="T107" s="126" t="s">
        <v>48</v>
      </c>
    </row>
    <row r="108" spans="4:20" outlineLevel="1">
      <c r="D108" s="254" t="s">
        <v>183</v>
      </c>
      <c r="E108" s="214"/>
      <c r="F108" s="243"/>
      <c r="G108" s="243"/>
      <c r="H108" s="215"/>
      <c r="I108" s="246">
        <f>I86-G86</f>
        <v>-5</v>
      </c>
      <c r="J108" s="246">
        <f t="shared" ref="J108:K110" si="45">J86-I86</f>
        <v>1</v>
      </c>
      <c r="K108" s="246">
        <f t="shared" si="45"/>
        <v>4</v>
      </c>
      <c r="L108" s="266">
        <f t="shared" ref="L108:S108" si="46">SUM(L109:L110)</f>
        <v>8</v>
      </c>
      <c r="M108" s="267">
        <f t="shared" si="46"/>
        <v>8</v>
      </c>
      <c r="N108" s="267">
        <f t="shared" si="46"/>
        <v>8</v>
      </c>
      <c r="O108" s="267">
        <f t="shared" si="46"/>
        <v>8</v>
      </c>
      <c r="P108" s="267">
        <f t="shared" si="46"/>
        <v>8</v>
      </c>
      <c r="Q108" s="267">
        <f t="shared" si="46"/>
        <v>8</v>
      </c>
      <c r="R108" s="267">
        <f t="shared" si="46"/>
        <v>8</v>
      </c>
      <c r="S108" s="267">
        <f t="shared" si="46"/>
        <v>8</v>
      </c>
      <c r="T108" s="126" t="s">
        <v>48</v>
      </c>
    </row>
    <row r="109" spans="4:20" outlineLevel="1">
      <c r="D109" s="247" t="s">
        <v>195</v>
      </c>
      <c r="F109" s="248">
        <v>6</v>
      </c>
      <c r="G109" s="248">
        <v>0</v>
      </c>
      <c r="I109" s="251">
        <f>I87-G87</f>
        <v>-5</v>
      </c>
      <c r="J109" s="233">
        <f t="shared" si="45"/>
        <v>1</v>
      </c>
      <c r="K109" s="242">
        <f t="shared" si="45"/>
        <v>3</v>
      </c>
      <c r="L109" s="265">
        <f>F109</f>
        <v>6</v>
      </c>
      <c r="M109" s="265">
        <f t="shared" ref="M109:S110" si="47">L109+$G109</f>
        <v>6</v>
      </c>
      <c r="N109" s="265">
        <f t="shared" si="47"/>
        <v>6</v>
      </c>
      <c r="O109" s="265">
        <f t="shared" si="47"/>
        <v>6</v>
      </c>
      <c r="P109" s="265">
        <f t="shared" si="47"/>
        <v>6</v>
      </c>
      <c r="Q109" s="265">
        <f t="shared" si="47"/>
        <v>6</v>
      </c>
      <c r="R109" s="265">
        <f t="shared" si="47"/>
        <v>6</v>
      </c>
      <c r="S109" s="265">
        <f t="shared" si="47"/>
        <v>6</v>
      </c>
      <c r="T109" s="126" t="s">
        <v>48</v>
      </c>
    </row>
    <row r="110" spans="4:20" outlineLevel="1">
      <c r="D110" s="247" t="s">
        <v>196</v>
      </c>
      <c r="F110" s="248">
        <v>2</v>
      </c>
      <c r="G110" s="248">
        <v>0</v>
      </c>
      <c r="I110" s="251">
        <f>I88-G88</f>
        <v>0</v>
      </c>
      <c r="J110" s="233">
        <f t="shared" si="45"/>
        <v>0</v>
      </c>
      <c r="K110" s="242">
        <f t="shared" si="45"/>
        <v>1</v>
      </c>
      <c r="L110" s="265">
        <f>F110</f>
        <v>2</v>
      </c>
      <c r="M110" s="265">
        <f t="shared" si="47"/>
        <v>2</v>
      </c>
      <c r="N110" s="265">
        <f t="shared" si="47"/>
        <v>2</v>
      </c>
      <c r="O110" s="265">
        <f t="shared" si="47"/>
        <v>2</v>
      </c>
      <c r="P110" s="265">
        <f t="shared" si="47"/>
        <v>2</v>
      </c>
      <c r="Q110" s="265">
        <f t="shared" si="47"/>
        <v>2</v>
      </c>
      <c r="R110" s="265">
        <f t="shared" si="47"/>
        <v>2</v>
      </c>
      <c r="S110" s="265">
        <f t="shared" si="47"/>
        <v>2</v>
      </c>
      <c r="T110" s="126" t="s">
        <v>48</v>
      </c>
    </row>
    <row r="111" spans="4:20" outlineLevel="1">
      <c r="D111" s="151"/>
      <c r="F111" s="248"/>
      <c r="G111" s="248"/>
      <c r="I111" s="251"/>
      <c r="J111" s="233"/>
      <c r="K111" s="242"/>
      <c r="L111" s="265"/>
      <c r="M111" s="265"/>
      <c r="N111" s="265"/>
      <c r="O111" s="265"/>
      <c r="P111" s="265"/>
      <c r="Q111" s="265"/>
      <c r="R111" s="265"/>
      <c r="S111" s="265"/>
      <c r="T111" s="126" t="s">
        <v>48</v>
      </c>
    </row>
    <row r="112" spans="4:20" outlineLevel="1">
      <c r="D112" s="226" t="s">
        <v>197</v>
      </c>
      <c r="E112" s="214"/>
      <c r="F112" s="243">
        <v>22</v>
      </c>
      <c r="G112" s="243">
        <v>4</v>
      </c>
      <c r="H112" s="215"/>
      <c r="I112" s="246">
        <f>I90-G90</f>
        <v>1</v>
      </c>
      <c r="J112" s="246">
        <f>J90-I90</f>
        <v>8</v>
      </c>
      <c r="K112" s="246">
        <f>K90-J90</f>
        <v>114</v>
      </c>
      <c r="L112" s="266">
        <f>F112</f>
        <v>22</v>
      </c>
      <c r="M112" s="267">
        <f t="shared" ref="M112:S112" si="48">L112+$G112</f>
        <v>26</v>
      </c>
      <c r="N112" s="267">
        <f t="shared" si="48"/>
        <v>30</v>
      </c>
      <c r="O112" s="267">
        <f t="shared" si="48"/>
        <v>34</v>
      </c>
      <c r="P112" s="267">
        <f t="shared" si="48"/>
        <v>38</v>
      </c>
      <c r="Q112" s="267">
        <f t="shared" si="48"/>
        <v>42</v>
      </c>
      <c r="R112" s="267">
        <f t="shared" si="48"/>
        <v>46</v>
      </c>
      <c r="S112" s="267">
        <f t="shared" si="48"/>
        <v>50</v>
      </c>
      <c r="T112" s="126" t="s">
        <v>48</v>
      </c>
    </row>
    <row r="113" spans="4:20" outlineLevel="1">
      <c r="D113" s="149"/>
      <c r="I113" s="251"/>
      <c r="J113" s="251"/>
      <c r="K113" s="263"/>
      <c r="T113" s="126" t="s">
        <v>48</v>
      </c>
    </row>
    <row r="114" spans="4:20" outlineLevel="1">
      <c r="D114" s="149"/>
      <c r="I114" s="251"/>
      <c r="J114" s="251"/>
      <c r="K114" s="263"/>
      <c r="T114" s="126" t="s">
        <v>48</v>
      </c>
    </row>
    <row r="115" spans="4:20" outlineLevel="1">
      <c r="D115" s="586" t="s">
        <v>200</v>
      </c>
      <c r="E115" s="586"/>
      <c r="F115" s="586"/>
      <c r="G115" s="586"/>
      <c r="H115" s="586"/>
      <c r="I115" s="588"/>
      <c r="J115" s="588"/>
      <c r="K115" s="588"/>
      <c r="L115" s="589"/>
      <c r="M115" s="589"/>
      <c r="N115" s="589"/>
      <c r="O115" s="589"/>
      <c r="P115" s="589"/>
      <c r="Q115" s="589"/>
      <c r="R115" s="589"/>
      <c r="S115" s="589"/>
      <c r="T115" s="126" t="s">
        <v>48</v>
      </c>
    </row>
    <row r="116" spans="4:20" outlineLevel="1">
      <c r="D116" s="268"/>
      <c r="I116" s="251"/>
      <c r="J116" s="251"/>
      <c r="K116" s="263"/>
      <c r="T116" s="126" t="s">
        <v>48</v>
      </c>
    </row>
    <row r="117" spans="4:20" outlineLevel="1">
      <c r="D117" s="226" t="s">
        <v>200</v>
      </c>
      <c r="E117" s="214"/>
      <c r="F117" s="215"/>
      <c r="G117" s="215"/>
      <c r="H117" s="215"/>
      <c r="I117" s="246"/>
      <c r="J117" s="246"/>
      <c r="K117" s="262"/>
      <c r="L117" s="215"/>
      <c r="M117" s="215"/>
      <c r="N117" s="215"/>
      <c r="O117" s="215"/>
      <c r="P117" s="215"/>
      <c r="Q117" s="215"/>
      <c r="R117" s="215"/>
      <c r="S117" s="215"/>
      <c r="T117" s="126" t="s">
        <v>48</v>
      </c>
    </row>
    <row r="118" spans="4:20" outlineLevel="1">
      <c r="D118" s="247" t="s">
        <v>195</v>
      </c>
      <c r="I118" s="269">
        <f t="shared" ref="I118:K121" si="49">I76/I$73</f>
        <v>0.7645631067961165</v>
      </c>
      <c r="J118" s="269">
        <f t="shared" si="49"/>
        <v>0.76833447566826596</v>
      </c>
      <c r="K118" s="270">
        <f t="shared" si="49"/>
        <v>0.73535676251331206</v>
      </c>
      <c r="L118" s="269">
        <f t="shared" ref="L118:S121" si="50">L76/L$73</f>
        <v>0.73473967684021546</v>
      </c>
      <c r="M118" s="269">
        <f t="shared" si="50"/>
        <v>0.73236677115987459</v>
      </c>
      <c r="N118" s="269">
        <f t="shared" si="50"/>
        <v>0.7287719298245614</v>
      </c>
      <c r="O118" s="269">
        <f t="shared" si="50"/>
        <v>0.72421524663677128</v>
      </c>
      <c r="P118" s="269">
        <f t="shared" si="50"/>
        <v>0.71882422802850354</v>
      </c>
      <c r="Q118" s="269">
        <f t="shared" si="50"/>
        <v>0.71265328874024525</v>
      </c>
      <c r="R118" s="269">
        <f t="shared" si="50"/>
        <v>0.70571126388154415</v>
      </c>
      <c r="S118" s="269">
        <f t="shared" si="50"/>
        <v>0.69797468354430381</v>
      </c>
      <c r="T118" s="126" t="s">
        <v>48</v>
      </c>
    </row>
    <row r="119" spans="4:20" outlineLevel="1">
      <c r="D119" s="161" t="s">
        <v>180</v>
      </c>
      <c r="I119" s="195">
        <f t="shared" si="49"/>
        <v>0.34708737864077671</v>
      </c>
      <c r="J119" s="195">
        <f t="shared" si="49"/>
        <v>0.33310486634681291</v>
      </c>
      <c r="K119" s="232">
        <f t="shared" si="49"/>
        <v>0.3029818956336528</v>
      </c>
      <c r="L119" s="195">
        <f t="shared" si="50"/>
        <v>0.30969479353680429</v>
      </c>
      <c r="M119" s="195">
        <f t="shared" si="50"/>
        <v>0.31387147335423199</v>
      </c>
      <c r="N119" s="195">
        <f t="shared" si="50"/>
        <v>0.31649122807017543</v>
      </c>
      <c r="O119" s="195">
        <f t="shared" si="50"/>
        <v>0.31806534272901987</v>
      </c>
      <c r="P119" s="195">
        <f t="shared" si="50"/>
        <v>0.31888361045130642</v>
      </c>
      <c r="Q119" s="195">
        <f t="shared" si="50"/>
        <v>0.31911928651059085</v>
      </c>
      <c r="R119" s="195">
        <f t="shared" si="50"/>
        <v>0.31887890005288205</v>
      </c>
      <c r="S119" s="195">
        <f t="shared" si="50"/>
        <v>0.31822784810126581</v>
      </c>
      <c r="T119" s="126" t="s">
        <v>48</v>
      </c>
    </row>
    <row r="120" spans="4:20" outlineLevel="1">
      <c r="D120" s="161" t="s">
        <v>181</v>
      </c>
      <c r="I120" s="195">
        <f t="shared" si="49"/>
        <v>0.1982200647249191</v>
      </c>
      <c r="J120" s="195">
        <f t="shared" si="49"/>
        <v>0.2069910897875257</v>
      </c>
      <c r="K120" s="232">
        <f t="shared" si="49"/>
        <v>0.19808306709265175</v>
      </c>
      <c r="L120" s="195">
        <f t="shared" si="50"/>
        <v>0.19210053859964094</v>
      </c>
      <c r="M120" s="195">
        <f t="shared" si="50"/>
        <v>0.18730407523510972</v>
      </c>
      <c r="N120" s="195">
        <f t="shared" si="50"/>
        <v>0.1831578947368421</v>
      </c>
      <c r="O120" s="195">
        <f t="shared" si="50"/>
        <v>0.17937219730941703</v>
      </c>
      <c r="P120" s="195">
        <f t="shared" si="50"/>
        <v>0.17577197149643706</v>
      </c>
      <c r="Q120" s="195">
        <f t="shared" si="50"/>
        <v>0.17224080267558528</v>
      </c>
      <c r="R120" s="195">
        <f t="shared" si="50"/>
        <v>0.16869381279746165</v>
      </c>
      <c r="S120" s="195">
        <f t="shared" si="50"/>
        <v>0.16506329113924051</v>
      </c>
      <c r="T120" s="126" t="s">
        <v>48</v>
      </c>
    </row>
    <row r="121" spans="4:20" outlineLevel="1">
      <c r="D121" s="161" t="s">
        <v>184</v>
      </c>
      <c r="I121" s="195">
        <f t="shared" si="49"/>
        <v>0.21925566343042072</v>
      </c>
      <c r="J121" s="195">
        <f t="shared" si="49"/>
        <v>0.22823851953392735</v>
      </c>
      <c r="K121" s="232">
        <f t="shared" si="49"/>
        <v>0.23429179978700745</v>
      </c>
      <c r="L121" s="195">
        <f t="shared" si="50"/>
        <v>0.23294434470377021</v>
      </c>
      <c r="M121" s="195">
        <f t="shared" si="50"/>
        <v>0.23119122257053293</v>
      </c>
      <c r="N121" s="195">
        <f t="shared" si="50"/>
        <v>0.22912280701754387</v>
      </c>
      <c r="O121" s="195">
        <f t="shared" si="50"/>
        <v>0.22677770659833441</v>
      </c>
      <c r="P121" s="195">
        <f t="shared" si="50"/>
        <v>0.22416864608076009</v>
      </c>
      <c r="Q121" s="195">
        <f t="shared" si="50"/>
        <v>0.22129319955406912</v>
      </c>
      <c r="R121" s="195">
        <f t="shared" si="50"/>
        <v>0.21813855103120042</v>
      </c>
      <c r="S121" s="195">
        <f t="shared" si="50"/>
        <v>0.21468354430379746</v>
      </c>
      <c r="T121" s="126" t="s">
        <v>48</v>
      </c>
    </row>
    <row r="122" spans="4:20" outlineLevel="1">
      <c r="D122" s="161"/>
      <c r="I122" s="271"/>
      <c r="J122" s="271"/>
      <c r="K122" s="272"/>
      <c r="L122" s="195"/>
      <c r="M122" s="195"/>
      <c r="N122" s="195"/>
      <c r="O122" s="195"/>
      <c r="P122" s="195"/>
      <c r="Q122" s="195"/>
      <c r="R122" s="195"/>
      <c r="S122" s="195"/>
      <c r="T122" s="126" t="s">
        <v>48</v>
      </c>
    </row>
    <row r="123" spans="4:20" outlineLevel="1">
      <c r="D123" s="247" t="s">
        <v>196</v>
      </c>
      <c r="I123" s="269">
        <f t="shared" ref="I123:K124" si="51">I81/I$73</f>
        <v>0.20307443365695793</v>
      </c>
      <c r="J123" s="269">
        <f t="shared" si="51"/>
        <v>0.19808087731322824</v>
      </c>
      <c r="K123" s="272">
        <f t="shared" si="51"/>
        <v>0.1757188498402556</v>
      </c>
      <c r="L123" s="269">
        <f t="shared" ref="L123:S126" si="52">L81/L$73</f>
        <v>0.17684021543985637</v>
      </c>
      <c r="M123" s="269">
        <f t="shared" si="52"/>
        <v>0.17711598746081506</v>
      </c>
      <c r="N123" s="269">
        <f t="shared" si="52"/>
        <v>0.17684210526315788</v>
      </c>
      <c r="O123" s="269">
        <f t="shared" si="52"/>
        <v>0.17616912235746315</v>
      </c>
      <c r="P123" s="269">
        <f t="shared" si="52"/>
        <v>0.17517814726840855</v>
      </c>
      <c r="Q123" s="269">
        <f t="shared" si="52"/>
        <v>0.17391304347826086</v>
      </c>
      <c r="R123" s="269">
        <f t="shared" si="52"/>
        <v>0.17239555790586991</v>
      </c>
      <c r="S123" s="269">
        <f t="shared" si="52"/>
        <v>0.17063291139240505</v>
      </c>
      <c r="T123" s="126" t="s">
        <v>48</v>
      </c>
    </row>
    <row r="124" spans="4:20" outlineLevel="1">
      <c r="D124" s="161" t="s">
        <v>180</v>
      </c>
      <c r="I124" s="195">
        <f t="shared" si="51"/>
        <v>0.14482200647249191</v>
      </c>
      <c r="J124" s="195">
        <f t="shared" si="51"/>
        <v>0.13228238519533927</v>
      </c>
      <c r="K124" s="273">
        <f t="shared" si="51"/>
        <v>0.11927582534611289</v>
      </c>
      <c r="L124" s="195">
        <f t="shared" si="52"/>
        <v>0.11400359066427289</v>
      </c>
      <c r="M124" s="195">
        <f t="shared" si="52"/>
        <v>0.11010971786833856</v>
      </c>
      <c r="N124" s="195">
        <f t="shared" si="52"/>
        <v>0.10701754385964912</v>
      </c>
      <c r="O124" s="195">
        <f t="shared" si="52"/>
        <v>0.10442024343369635</v>
      </c>
      <c r="P124" s="195">
        <f t="shared" si="52"/>
        <v>0.10213776722090261</v>
      </c>
      <c r="Q124" s="195">
        <f t="shared" si="52"/>
        <v>0.10005574136008918</v>
      </c>
      <c r="R124" s="195">
        <f t="shared" si="52"/>
        <v>9.8096245372818608E-2</v>
      </c>
      <c r="S124" s="195">
        <f t="shared" si="52"/>
        <v>9.6202531645569619E-2</v>
      </c>
      <c r="T124" s="126" t="s">
        <v>48</v>
      </c>
    </row>
    <row r="125" spans="4:20" outlineLevel="1">
      <c r="D125" s="161" t="s">
        <v>181</v>
      </c>
      <c r="I125" s="195">
        <f t="shared" ref="I125:K126" si="53">I83/I$73</f>
        <v>7.2815533980582527E-3</v>
      </c>
      <c r="J125" s="195">
        <f t="shared" si="53"/>
        <v>1.0966415352981495E-2</v>
      </c>
      <c r="K125" s="273">
        <f t="shared" si="53"/>
        <v>1.2247071352502662E-2</v>
      </c>
      <c r="L125" s="195">
        <f t="shared" si="52"/>
        <v>1.660682226211849E-2</v>
      </c>
      <c r="M125" s="195">
        <f t="shared" si="52"/>
        <v>1.9592476489028215E-2</v>
      </c>
      <c r="N125" s="195">
        <f t="shared" si="52"/>
        <v>2.175438596491228E-2</v>
      </c>
      <c r="O125" s="195">
        <f t="shared" si="52"/>
        <v>2.3382447149263293E-2</v>
      </c>
      <c r="P125" s="195">
        <f t="shared" si="52"/>
        <v>2.4643705463182897E-2</v>
      </c>
      <c r="Q125" s="195">
        <f t="shared" si="52"/>
        <v>2.564102564102564E-2</v>
      </c>
      <c r="R125" s="195">
        <f t="shared" si="52"/>
        <v>2.6441036488630356E-2</v>
      </c>
      <c r="S125" s="195">
        <f t="shared" si="52"/>
        <v>2.7088607594936708E-2</v>
      </c>
      <c r="T125" s="126" t="s">
        <v>48</v>
      </c>
    </row>
    <row r="126" spans="4:20" outlineLevel="1">
      <c r="D126" s="161" t="s">
        <v>184</v>
      </c>
      <c r="I126" s="195">
        <f t="shared" si="53"/>
        <v>5.0970873786407765E-2</v>
      </c>
      <c r="J126" s="195">
        <f t="shared" si="53"/>
        <v>5.4832076764907471E-2</v>
      </c>
      <c r="K126" s="273">
        <f t="shared" si="53"/>
        <v>4.4195953141640043E-2</v>
      </c>
      <c r="L126" s="195">
        <f t="shared" si="52"/>
        <v>4.6229802513464993E-2</v>
      </c>
      <c r="M126" s="195">
        <f t="shared" si="52"/>
        <v>4.7413793103448273E-2</v>
      </c>
      <c r="N126" s="195">
        <f t="shared" si="52"/>
        <v>4.8070175438596492E-2</v>
      </c>
      <c r="O126" s="195">
        <f t="shared" si="52"/>
        <v>4.8366431774503525E-2</v>
      </c>
      <c r="P126" s="195">
        <f t="shared" si="52"/>
        <v>4.8396674584323042E-2</v>
      </c>
      <c r="Q126" s="195">
        <f t="shared" si="52"/>
        <v>4.821627647714604E-2</v>
      </c>
      <c r="R126" s="195">
        <f t="shared" si="52"/>
        <v>4.7858276044420944E-2</v>
      </c>
      <c r="S126" s="195">
        <f t="shared" si="52"/>
        <v>4.7341772151898734E-2</v>
      </c>
      <c r="T126" s="126" t="s">
        <v>48</v>
      </c>
    </row>
    <row r="127" spans="4:20" outlineLevel="1">
      <c r="D127" s="161"/>
      <c r="I127" s="271"/>
      <c r="J127" s="271"/>
      <c r="K127" s="272"/>
      <c r="L127" s="195"/>
      <c r="M127" s="195"/>
      <c r="N127" s="195"/>
      <c r="O127" s="195"/>
      <c r="P127" s="195"/>
      <c r="Q127" s="195"/>
      <c r="R127" s="195"/>
      <c r="S127" s="195"/>
      <c r="T127" s="126" t="s">
        <v>48</v>
      </c>
    </row>
    <row r="128" spans="4:20" outlineLevel="1">
      <c r="D128" s="254" t="s">
        <v>183</v>
      </c>
      <c r="E128" s="214"/>
      <c r="F128" s="215"/>
      <c r="G128" s="215"/>
      <c r="H128" s="215"/>
      <c r="I128" s="274">
        <f t="shared" ref="I128:K130" si="54">I86/I$73</f>
        <v>2.1844660194174758E-2</v>
      </c>
      <c r="J128" s="274">
        <f t="shared" si="54"/>
        <v>1.9191226867717615E-2</v>
      </c>
      <c r="K128" s="275">
        <f t="shared" si="54"/>
        <v>1.7039403620873271E-2</v>
      </c>
      <c r="L128" s="276">
        <f t="shared" ref="L128:S130" si="55">L86/L$73</f>
        <v>1.7953321364452424E-2</v>
      </c>
      <c r="M128" s="274">
        <f t="shared" si="55"/>
        <v>1.8808777429467086E-2</v>
      </c>
      <c r="N128" s="274">
        <f t="shared" si="55"/>
        <v>1.9649122807017545E-2</v>
      </c>
      <c r="O128" s="274">
        <f t="shared" si="55"/>
        <v>2.0499679692504803E-2</v>
      </c>
      <c r="P128" s="274">
        <f t="shared" si="55"/>
        <v>2.1377672209026127E-2</v>
      </c>
      <c r="Q128" s="274">
        <f t="shared" si="55"/>
        <v>2.2296544035674472E-2</v>
      </c>
      <c r="R128" s="274">
        <f t="shared" si="55"/>
        <v>2.3268112109994712E-2</v>
      </c>
      <c r="S128" s="274">
        <f t="shared" si="55"/>
        <v>2.430379746835443E-2</v>
      </c>
      <c r="T128" s="126" t="s">
        <v>48</v>
      </c>
    </row>
    <row r="129" spans="4:20" outlineLevel="1">
      <c r="D129" s="247" t="s">
        <v>195</v>
      </c>
      <c r="I129" s="195">
        <f t="shared" si="54"/>
        <v>1.7799352750809062E-2</v>
      </c>
      <c r="J129" s="195">
        <f t="shared" si="54"/>
        <v>1.5764222069910898E-2</v>
      </c>
      <c r="K129" s="232">
        <f t="shared" si="54"/>
        <v>1.3844515441959531E-2</v>
      </c>
      <c r="L129" s="195">
        <f t="shared" si="55"/>
        <v>1.4362657091561939E-2</v>
      </c>
      <c r="M129" s="195">
        <f t="shared" si="55"/>
        <v>1.4890282131661442E-2</v>
      </c>
      <c r="N129" s="195">
        <f t="shared" si="55"/>
        <v>1.5438596491228071E-2</v>
      </c>
      <c r="O129" s="195">
        <f t="shared" si="55"/>
        <v>1.6015374759769378E-2</v>
      </c>
      <c r="P129" s="195">
        <f t="shared" si="55"/>
        <v>1.66270783847981E-2</v>
      </c>
      <c r="Q129" s="195">
        <f t="shared" si="55"/>
        <v>1.7279821627647716E-2</v>
      </c>
      <c r="R129" s="195">
        <f t="shared" si="55"/>
        <v>1.7979904812268643E-2</v>
      </c>
      <c r="S129" s="195">
        <f t="shared" si="55"/>
        <v>1.8734177215189874E-2</v>
      </c>
      <c r="T129" s="126" t="s">
        <v>48</v>
      </c>
    </row>
    <row r="130" spans="4:20" outlineLevel="1">
      <c r="D130" s="247" t="s">
        <v>196</v>
      </c>
      <c r="I130" s="195">
        <f t="shared" si="54"/>
        <v>4.0453074433656954E-3</v>
      </c>
      <c r="J130" s="195">
        <f t="shared" si="54"/>
        <v>3.4270047978067169E-3</v>
      </c>
      <c r="K130" s="232">
        <f t="shared" si="54"/>
        <v>3.1948881789137379E-3</v>
      </c>
      <c r="L130" s="195">
        <f t="shared" si="55"/>
        <v>3.5906642728904849E-3</v>
      </c>
      <c r="M130" s="195">
        <f t="shared" si="55"/>
        <v>3.9184952978056423E-3</v>
      </c>
      <c r="N130" s="195">
        <f t="shared" si="55"/>
        <v>4.2105263157894736E-3</v>
      </c>
      <c r="O130" s="195">
        <f t="shared" si="55"/>
        <v>4.4843049327354259E-3</v>
      </c>
      <c r="P130" s="195">
        <f t="shared" si="55"/>
        <v>4.7505938242280287E-3</v>
      </c>
      <c r="Q130" s="195">
        <f t="shared" si="55"/>
        <v>5.016722408026756E-3</v>
      </c>
      <c r="R130" s="195">
        <f t="shared" si="55"/>
        <v>5.2882072977260709E-3</v>
      </c>
      <c r="S130" s="195">
        <f t="shared" si="55"/>
        <v>5.569620253164557E-3</v>
      </c>
      <c r="T130" s="126" t="s">
        <v>48</v>
      </c>
    </row>
    <row r="131" spans="4:20" outlineLevel="1">
      <c r="D131" s="151"/>
      <c r="I131" s="271"/>
      <c r="J131" s="271"/>
      <c r="K131" s="232"/>
      <c r="L131" s="195"/>
      <c r="M131" s="195"/>
      <c r="N131" s="195"/>
      <c r="O131" s="195"/>
      <c r="P131" s="195"/>
      <c r="Q131" s="195"/>
      <c r="R131" s="195"/>
      <c r="S131" s="195"/>
      <c r="T131" s="126" t="s">
        <v>48</v>
      </c>
    </row>
    <row r="132" spans="4:20" outlineLevel="1">
      <c r="D132" s="226" t="s">
        <v>197</v>
      </c>
      <c r="E132" s="214"/>
      <c r="F132" s="215"/>
      <c r="G132" s="215"/>
      <c r="H132" s="215"/>
      <c r="I132" s="274">
        <f t="shared" ref="I132:S132" si="56">I90/I$73</f>
        <v>1.0517799352750809E-2</v>
      </c>
      <c r="J132" s="274">
        <f t="shared" si="56"/>
        <v>1.4393420150788211E-2</v>
      </c>
      <c r="K132" s="274">
        <f t="shared" si="56"/>
        <v>7.1884984025559109E-2</v>
      </c>
      <c r="L132" s="276">
        <f t="shared" si="56"/>
        <v>7.0466786355475763E-2</v>
      </c>
      <c r="M132" s="274">
        <f t="shared" si="56"/>
        <v>7.170846394984326E-2</v>
      </c>
      <c r="N132" s="274">
        <f t="shared" si="56"/>
        <v>7.4736842105263157E-2</v>
      </c>
      <c r="O132" s="274">
        <f t="shared" si="56"/>
        <v>7.9115951313260727E-2</v>
      </c>
      <c r="P132" s="274">
        <f t="shared" si="56"/>
        <v>8.4619952494061762E-2</v>
      </c>
      <c r="Q132" s="274">
        <f t="shared" si="56"/>
        <v>9.1137123745819393E-2</v>
      </c>
      <c r="R132" s="274">
        <f t="shared" si="56"/>
        <v>9.8625066102591225E-2</v>
      </c>
      <c r="S132" s="274">
        <f t="shared" si="56"/>
        <v>0.10708860759493671</v>
      </c>
      <c r="T132" s="126" t="s">
        <v>48</v>
      </c>
    </row>
    <row r="133" spans="4:20" outlineLevel="1">
      <c r="D133" s="149"/>
      <c r="I133" s="251"/>
      <c r="J133" s="251"/>
      <c r="K133" s="263"/>
      <c r="T133" s="126" t="s">
        <v>48</v>
      </c>
    </row>
    <row r="134" spans="4:20" outlineLevel="1">
      <c r="D134" s="268"/>
      <c r="I134" s="251"/>
      <c r="J134" s="251"/>
      <c r="K134" s="263"/>
      <c r="T134" s="126" t="s">
        <v>48</v>
      </c>
    </row>
    <row r="135" spans="4:20" outlineLevel="1">
      <c r="D135" s="226" t="s">
        <v>201</v>
      </c>
      <c r="E135" s="214"/>
      <c r="F135" s="215"/>
      <c r="G135" s="215"/>
      <c r="H135" s="215"/>
      <c r="I135" s="246"/>
      <c r="J135" s="246"/>
      <c r="K135" s="262"/>
      <c r="L135" s="215"/>
      <c r="M135" s="215"/>
      <c r="N135" s="215"/>
      <c r="O135" s="215"/>
      <c r="P135" s="215"/>
      <c r="Q135" s="215"/>
      <c r="R135" s="215"/>
      <c r="S135" s="215"/>
      <c r="T135" s="126" t="s">
        <v>48</v>
      </c>
    </row>
    <row r="136" spans="4:20" outlineLevel="1">
      <c r="D136" s="151" t="s">
        <v>202</v>
      </c>
      <c r="I136" s="233">
        <f>I95</f>
        <v>159</v>
      </c>
      <c r="J136" s="233">
        <f>J95</f>
        <v>223</v>
      </c>
      <c r="K136" s="242">
        <f>K95</f>
        <v>419</v>
      </c>
      <c r="L136" s="233">
        <f t="shared" ref="L136:S136" si="57">L95</f>
        <v>350</v>
      </c>
      <c r="M136" s="233">
        <f t="shared" si="57"/>
        <v>324</v>
      </c>
      <c r="N136" s="233">
        <f t="shared" si="57"/>
        <v>298</v>
      </c>
      <c r="O136" s="233">
        <f t="shared" si="57"/>
        <v>272</v>
      </c>
      <c r="P136" s="233">
        <f t="shared" si="57"/>
        <v>246</v>
      </c>
      <c r="Q136" s="233">
        <f t="shared" si="57"/>
        <v>220</v>
      </c>
      <c r="R136" s="233">
        <f t="shared" si="57"/>
        <v>194</v>
      </c>
      <c r="S136" s="233">
        <f t="shared" si="57"/>
        <v>168</v>
      </c>
      <c r="T136" s="126" t="s">
        <v>48</v>
      </c>
    </row>
    <row r="137" spans="4:20" outlineLevel="1">
      <c r="D137" s="151" t="s">
        <v>203</v>
      </c>
      <c r="I137" s="233">
        <f>G95</f>
        <v>166</v>
      </c>
      <c r="J137" s="233">
        <f t="shared" ref="J137:S137" si="58">I95</f>
        <v>159</v>
      </c>
      <c r="K137" s="242">
        <f t="shared" si="58"/>
        <v>223</v>
      </c>
      <c r="L137" s="233">
        <f t="shared" si="58"/>
        <v>419</v>
      </c>
      <c r="M137" s="233">
        <f t="shared" si="58"/>
        <v>350</v>
      </c>
      <c r="N137" s="233">
        <f t="shared" si="58"/>
        <v>324</v>
      </c>
      <c r="O137" s="233">
        <f t="shared" si="58"/>
        <v>298</v>
      </c>
      <c r="P137" s="233">
        <f t="shared" si="58"/>
        <v>272</v>
      </c>
      <c r="Q137" s="233">
        <f t="shared" si="58"/>
        <v>246</v>
      </c>
      <c r="R137" s="233">
        <f t="shared" si="58"/>
        <v>220</v>
      </c>
      <c r="S137" s="233">
        <f t="shared" si="58"/>
        <v>194</v>
      </c>
      <c r="T137" s="126" t="s">
        <v>48</v>
      </c>
    </row>
    <row r="138" spans="4:20" outlineLevel="1">
      <c r="D138" s="151" t="s">
        <v>204</v>
      </c>
      <c r="I138" s="233">
        <f>I73-(SUM(I136:I137))</f>
        <v>911</v>
      </c>
      <c r="J138" s="233">
        <f>J73-(SUM(J136:J137))</f>
        <v>1077</v>
      </c>
      <c r="K138" s="242">
        <f>K73-(SUM(K136:K137))</f>
        <v>1236</v>
      </c>
      <c r="L138" s="233">
        <f t="shared" ref="L138:S138" si="59">L73-(SUM(L136:L137))</f>
        <v>1459</v>
      </c>
      <c r="M138" s="233">
        <f t="shared" si="59"/>
        <v>1878</v>
      </c>
      <c r="N138" s="233">
        <f t="shared" si="59"/>
        <v>2228</v>
      </c>
      <c r="O138" s="233">
        <f t="shared" si="59"/>
        <v>2552</v>
      </c>
      <c r="P138" s="233">
        <f t="shared" si="59"/>
        <v>2850</v>
      </c>
      <c r="Q138" s="233">
        <f t="shared" si="59"/>
        <v>3122</v>
      </c>
      <c r="R138" s="233">
        <f t="shared" si="59"/>
        <v>3368</v>
      </c>
      <c r="S138" s="233">
        <f t="shared" si="59"/>
        <v>3588</v>
      </c>
      <c r="T138" s="126" t="s">
        <v>48</v>
      </c>
    </row>
    <row r="139" spans="4:20" outlineLevel="1">
      <c r="D139" s="277" t="s">
        <v>205</v>
      </c>
      <c r="E139" s="278"/>
      <c r="F139" s="279"/>
      <c r="G139" s="279"/>
      <c r="H139" s="279"/>
      <c r="I139" s="280">
        <f>I73-SUM(I136:I138)</f>
        <v>0</v>
      </c>
      <c r="J139" s="280">
        <f>J73-SUM(J136:J138)</f>
        <v>0</v>
      </c>
      <c r="K139" s="281">
        <f>K73-SUM(K136:K138)</f>
        <v>0</v>
      </c>
      <c r="L139" s="280">
        <f t="shared" ref="L139:S139" si="60">L73-SUM(L136:L138)</f>
        <v>0</v>
      </c>
      <c r="M139" s="280">
        <f t="shared" si="60"/>
        <v>0</v>
      </c>
      <c r="N139" s="280">
        <f t="shared" si="60"/>
        <v>0</v>
      </c>
      <c r="O139" s="280">
        <f t="shared" si="60"/>
        <v>0</v>
      </c>
      <c r="P139" s="280">
        <f t="shared" si="60"/>
        <v>0</v>
      </c>
      <c r="Q139" s="280">
        <f t="shared" si="60"/>
        <v>0</v>
      </c>
      <c r="R139" s="280">
        <f t="shared" si="60"/>
        <v>0</v>
      </c>
      <c r="S139" s="280">
        <f t="shared" si="60"/>
        <v>0</v>
      </c>
      <c r="T139" s="126" t="s">
        <v>48</v>
      </c>
    </row>
    <row r="140" spans="4:20" outlineLevel="1">
      <c r="I140" s="233"/>
      <c r="J140" s="233"/>
      <c r="K140" s="242"/>
      <c r="T140" s="126" t="s">
        <v>48</v>
      </c>
    </row>
    <row r="141" spans="4:20" outlineLevel="1">
      <c r="D141" s="226" t="s">
        <v>206</v>
      </c>
      <c r="E141" s="214"/>
      <c r="F141" s="215"/>
      <c r="G141" s="215"/>
      <c r="H141" s="215"/>
      <c r="I141" s="282"/>
      <c r="J141" s="282"/>
      <c r="K141" s="283"/>
      <c r="L141" s="215"/>
      <c r="M141" s="215"/>
      <c r="N141" s="215"/>
      <c r="O141" s="215"/>
      <c r="P141" s="215"/>
      <c r="Q141" s="215"/>
      <c r="R141" s="215"/>
      <c r="S141" s="215"/>
      <c r="T141" s="126" t="s">
        <v>48</v>
      </c>
    </row>
    <row r="142" spans="4:20" outlineLevel="1">
      <c r="D142" s="151" t="s">
        <v>202</v>
      </c>
      <c r="I142" s="234">
        <f t="shared" ref="I142:K144" si="61">I136/I$73</f>
        <v>0.12864077669902912</v>
      </c>
      <c r="J142" s="234">
        <f t="shared" si="61"/>
        <v>0.15284441398217957</v>
      </c>
      <c r="K142" s="232">
        <f t="shared" si="61"/>
        <v>0.22310969116080936</v>
      </c>
      <c r="L142" s="195">
        <f t="shared" ref="L142:S144" si="62">L136/L$73</f>
        <v>0.15709156193895871</v>
      </c>
      <c r="M142" s="195">
        <f t="shared" si="62"/>
        <v>0.12695924764890282</v>
      </c>
      <c r="N142" s="195">
        <f t="shared" si="62"/>
        <v>0.10456140350877192</v>
      </c>
      <c r="O142" s="195">
        <f t="shared" si="62"/>
        <v>8.7123638693145419E-2</v>
      </c>
      <c r="P142" s="195">
        <f t="shared" si="62"/>
        <v>7.3040380047505932E-2</v>
      </c>
      <c r="Q142" s="195">
        <f t="shared" si="62"/>
        <v>6.1315496098104792E-2</v>
      </c>
      <c r="R142" s="195">
        <f t="shared" si="62"/>
        <v>5.129561078794289E-2</v>
      </c>
      <c r="S142" s="195">
        <f t="shared" si="62"/>
        <v>4.2531645569620254E-2</v>
      </c>
      <c r="T142" s="126" t="s">
        <v>48</v>
      </c>
    </row>
    <row r="143" spans="4:20" outlineLevel="1">
      <c r="D143" s="151" t="s">
        <v>203</v>
      </c>
      <c r="I143" s="234">
        <f t="shared" si="61"/>
        <v>0.13430420711974109</v>
      </c>
      <c r="J143" s="234">
        <f t="shared" si="61"/>
        <v>0.10897875257025359</v>
      </c>
      <c r="K143" s="232">
        <f t="shared" si="61"/>
        <v>0.1187433439829606</v>
      </c>
      <c r="L143" s="195">
        <f t="shared" si="62"/>
        <v>0.18806104129263915</v>
      </c>
      <c r="M143" s="195">
        <f t="shared" si="62"/>
        <v>0.13714733542319749</v>
      </c>
      <c r="N143" s="195">
        <f t="shared" si="62"/>
        <v>0.11368421052631579</v>
      </c>
      <c r="O143" s="195">
        <f t="shared" si="62"/>
        <v>9.5451633568225502E-2</v>
      </c>
      <c r="P143" s="195">
        <f t="shared" si="62"/>
        <v>8.076009501187649E-2</v>
      </c>
      <c r="Q143" s="195">
        <f t="shared" si="62"/>
        <v>6.8561872909698993E-2</v>
      </c>
      <c r="R143" s="195">
        <f t="shared" si="62"/>
        <v>5.8170280274986781E-2</v>
      </c>
      <c r="S143" s="195">
        <f t="shared" si="62"/>
        <v>4.9113924050632911E-2</v>
      </c>
      <c r="T143" s="126" t="s">
        <v>48</v>
      </c>
    </row>
    <row r="144" spans="4:20" outlineLevel="1">
      <c r="D144" s="151" t="s">
        <v>204</v>
      </c>
      <c r="I144" s="234">
        <f t="shared" si="61"/>
        <v>0.73705501618122982</v>
      </c>
      <c r="J144" s="234">
        <f t="shared" si="61"/>
        <v>0.73817683344756679</v>
      </c>
      <c r="K144" s="232">
        <f t="shared" si="61"/>
        <v>0.65814696485623003</v>
      </c>
      <c r="L144" s="195">
        <f t="shared" si="62"/>
        <v>0.6548473967684022</v>
      </c>
      <c r="M144" s="195">
        <f t="shared" si="62"/>
        <v>0.73589341692789967</v>
      </c>
      <c r="N144" s="195">
        <f t="shared" si="62"/>
        <v>0.78175438596491231</v>
      </c>
      <c r="O144" s="195">
        <f t="shared" si="62"/>
        <v>0.81742472773862906</v>
      </c>
      <c r="P144" s="195">
        <f t="shared" si="62"/>
        <v>0.84619952494061756</v>
      </c>
      <c r="Q144" s="195">
        <f t="shared" si="62"/>
        <v>0.87012263099219622</v>
      </c>
      <c r="R144" s="195">
        <f t="shared" si="62"/>
        <v>0.8905341089370703</v>
      </c>
      <c r="S144" s="195">
        <f t="shared" si="62"/>
        <v>0.90835443037974684</v>
      </c>
      <c r="T144" s="126" t="s">
        <v>48</v>
      </c>
    </row>
    <row r="145" spans="4:20" outlineLevel="1">
      <c r="D145" s="277" t="s">
        <v>205</v>
      </c>
      <c r="E145" s="278"/>
      <c r="F145" s="279"/>
      <c r="G145" s="279"/>
      <c r="H145" s="279"/>
      <c r="I145" s="280">
        <f>100%-SUM(I142:I144)</f>
        <v>0</v>
      </c>
      <c r="J145" s="280">
        <f>100%-SUM(J142:J144)</f>
        <v>0</v>
      </c>
      <c r="K145" s="281">
        <f>100%-SUM(K142:K144)</f>
        <v>0</v>
      </c>
      <c r="L145" s="280">
        <f t="shared" ref="L145:S145" si="63">100%-SUM(L142:L144)</f>
        <v>0</v>
      </c>
      <c r="M145" s="280">
        <f t="shared" si="63"/>
        <v>0</v>
      </c>
      <c r="N145" s="280">
        <f t="shared" si="63"/>
        <v>0</v>
      </c>
      <c r="O145" s="280">
        <f t="shared" si="63"/>
        <v>0</v>
      </c>
      <c r="P145" s="280">
        <f t="shared" si="63"/>
        <v>0</v>
      </c>
      <c r="Q145" s="280">
        <f t="shared" si="63"/>
        <v>0</v>
      </c>
      <c r="R145" s="280">
        <f t="shared" si="63"/>
        <v>0</v>
      </c>
      <c r="S145" s="280">
        <f t="shared" si="63"/>
        <v>0</v>
      </c>
      <c r="T145" s="126" t="s">
        <v>48</v>
      </c>
    </row>
    <row r="146" spans="4:20" outlineLevel="1">
      <c r="D146" s="151"/>
      <c r="I146" s="233"/>
      <c r="J146" s="233"/>
      <c r="K146" s="242"/>
      <c r="T146" s="126" t="s">
        <v>48</v>
      </c>
    </row>
    <row r="147" spans="4:20" outlineLevel="1">
      <c r="D147" s="226" t="s">
        <v>207</v>
      </c>
      <c r="E147" s="214"/>
      <c r="F147" s="215"/>
      <c r="G147" s="215"/>
      <c r="H147" s="215"/>
      <c r="I147" s="246"/>
      <c r="J147" s="246"/>
      <c r="K147" s="262"/>
      <c r="L147" s="215"/>
      <c r="M147" s="215"/>
      <c r="N147" s="215"/>
      <c r="O147" s="215"/>
      <c r="P147" s="215"/>
      <c r="Q147" s="215"/>
      <c r="R147" s="215"/>
      <c r="S147" s="215"/>
      <c r="T147" s="126" t="s">
        <v>48</v>
      </c>
    </row>
    <row r="148" spans="4:20" outlineLevel="1">
      <c r="D148" s="151" t="s">
        <v>202</v>
      </c>
      <c r="I148" s="284">
        <v>0.6</v>
      </c>
      <c r="J148" s="284">
        <v>0.6</v>
      </c>
      <c r="K148" s="285">
        <v>0.6</v>
      </c>
      <c r="L148" s="284">
        <v>0.6</v>
      </c>
      <c r="M148" s="284">
        <v>0.6</v>
      </c>
      <c r="N148" s="284">
        <v>0.6</v>
      </c>
      <c r="O148" s="284">
        <v>0.6</v>
      </c>
      <c r="P148" s="284">
        <v>0.6</v>
      </c>
      <c r="Q148" s="284">
        <v>0.6</v>
      </c>
      <c r="R148" s="284">
        <v>0.6</v>
      </c>
      <c r="S148" s="284">
        <v>0.6</v>
      </c>
      <c r="T148" s="126" t="s">
        <v>48</v>
      </c>
    </row>
    <row r="149" spans="4:20" outlineLevel="1">
      <c r="D149" s="151" t="s">
        <v>203</v>
      </c>
      <c r="I149" s="284">
        <v>0.85</v>
      </c>
      <c r="J149" s="284">
        <v>0.85</v>
      </c>
      <c r="K149" s="286">
        <v>0.85</v>
      </c>
      <c r="L149" s="284">
        <v>0.85</v>
      </c>
      <c r="M149" s="284">
        <v>0.85</v>
      </c>
      <c r="N149" s="284">
        <v>0.85</v>
      </c>
      <c r="O149" s="284">
        <v>0.85</v>
      </c>
      <c r="P149" s="284">
        <v>0.85</v>
      </c>
      <c r="Q149" s="284">
        <v>0.85</v>
      </c>
      <c r="R149" s="284">
        <v>0.85</v>
      </c>
      <c r="S149" s="284">
        <v>0.85</v>
      </c>
      <c r="T149" s="126" t="s">
        <v>48</v>
      </c>
    </row>
    <row r="150" spans="4:20" outlineLevel="1">
      <c r="D150" s="151" t="s">
        <v>204</v>
      </c>
      <c r="I150" s="284">
        <v>1</v>
      </c>
      <c r="J150" s="284">
        <v>1</v>
      </c>
      <c r="K150" s="286">
        <v>1</v>
      </c>
      <c r="L150" s="284">
        <v>1</v>
      </c>
      <c r="M150" s="284">
        <v>1</v>
      </c>
      <c r="N150" s="284">
        <v>1</v>
      </c>
      <c r="O150" s="284">
        <v>1</v>
      </c>
      <c r="P150" s="284">
        <v>1</v>
      </c>
      <c r="Q150" s="284">
        <v>1</v>
      </c>
      <c r="R150" s="284">
        <v>1</v>
      </c>
      <c r="S150" s="284">
        <v>1</v>
      </c>
      <c r="T150" s="126" t="s">
        <v>48</v>
      </c>
    </row>
    <row r="151" spans="4:20" outlineLevel="1">
      <c r="D151" s="149"/>
      <c r="I151" s="251"/>
      <c r="J151" s="251"/>
      <c r="K151" s="263"/>
      <c r="T151" s="126" t="s">
        <v>48</v>
      </c>
    </row>
    <row r="152" spans="4:20" outlineLevel="1">
      <c r="D152" s="226" t="s">
        <v>208</v>
      </c>
      <c r="E152" s="214"/>
      <c r="F152" s="215"/>
      <c r="G152" s="215"/>
      <c r="H152" s="215"/>
      <c r="I152" s="215"/>
      <c r="J152" s="215"/>
      <c r="K152" s="227"/>
      <c r="L152" s="215"/>
      <c r="M152" s="215"/>
      <c r="N152" s="215"/>
      <c r="O152" s="215"/>
      <c r="P152" s="215"/>
      <c r="Q152" s="215"/>
      <c r="R152" s="215"/>
      <c r="S152" s="215"/>
      <c r="T152" s="126" t="s">
        <v>48</v>
      </c>
    </row>
    <row r="153" spans="4:20" outlineLevel="1">
      <c r="D153" s="151" t="s">
        <v>202</v>
      </c>
      <c r="I153" s="163">
        <f t="shared" ref="I153:S153" si="64">(I148*I142/SUMPRODUCT(I$148:I$150,I$142:I$144))*I$21</f>
        <v>243.62541176470592</v>
      </c>
      <c r="J153" s="163">
        <f t="shared" si="64"/>
        <v>421.96282179872952</v>
      </c>
      <c r="K153" s="207">
        <f t="shared" si="64"/>
        <v>836.57081010167258</v>
      </c>
      <c r="L153" s="163">
        <f t="shared" si="64"/>
        <v>718.24830080998277</v>
      </c>
      <c r="M153" s="163">
        <f t="shared" si="64"/>
        <v>677.29841321028391</v>
      </c>
      <c r="N153" s="163">
        <f t="shared" si="64"/>
        <v>636.98853693119236</v>
      </c>
      <c r="O153" s="163">
        <f t="shared" si="64"/>
        <v>592.74929050587696</v>
      </c>
      <c r="P153" s="163">
        <f t="shared" si="64"/>
        <v>547.07999336249338</v>
      </c>
      <c r="Q153" s="163">
        <f t="shared" si="64"/>
        <v>499.50199398446517</v>
      </c>
      <c r="R153" s="163">
        <f t="shared" si="64"/>
        <v>449.7047399377829</v>
      </c>
      <c r="S153" s="163">
        <f t="shared" si="64"/>
        <v>397.48627135084627</v>
      </c>
      <c r="T153" s="126" t="s">
        <v>48</v>
      </c>
    </row>
    <row r="154" spans="4:20" outlineLevel="1">
      <c r="D154" s="151" t="s">
        <v>203</v>
      </c>
      <c r="I154" s="163">
        <f t="shared" ref="I154:S154" si="65">(I149*I143/SUMPRODUCT(I$148:I$150,I$142:I$144))*I$21</f>
        <v>360.33066666666667</v>
      </c>
      <c r="J154" s="163">
        <f t="shared" si="65"/>
        <v>426.22029421598126</v>
      </c>
      <c r="K154" s="207">
        <f t="shared" si="65"/>
        <v>630.75575598556907</v>
      </c>
      <c r="L154" s="163">
        <f t="shared" si="65"/>
        <v>1218.1149158736921</v>
      </c>
      <c r="M154" s="163">
        <f t="shared" si="65"/>
        <v>1036.5034872945446</v>
      </c>
      <c r="N154" s="163">
        <f t="shared" si="65"/>
        <v>981.13335050811168</v>
      </c>
      <c r="O154" s="163">
        <f t="shared" si="65"/>
        <v>919.9962946393299</v>
      </c>
      <c r="P154" s="163">
        <f t="shared" si="65"/>
        <v>856.94372944043675</v>
      </c>
      <c r="Q154" s="163">
        <f t="shared" si="65"/>
        <v>791.25656774357321</v>
      </c>
      <c r="R154" s="163">
        <f t="shared" si="65"/>
        <v>722.46380041551026</v>
      </c>
      <c r="S154" s="163">
        <f t="shared" si="65"/>
        <v>650.25283874756497</v>
      </c>
      <c r="T154" s="126" t="s">
        <v>48</v>
      </c>
    </row>
    <row r="155" spans="4:20" outlineLevel="1">
      <c r="D155" s="151" t="s">
        <v>204</v>
      </c>
      <c r="I155" s="163">
        <f t="shared" ref="I155:S155" si="66">(I150*I144/SUMPRODUCT(I$148:I$150,I$142:I$144))*I$21</f>
        <v>2326.4439215686275</v>
      </c>
      <c r="J155" s="163">
        <f t="shared" si="66"/>
        <v>3396.516883985289</v>
      </c>
      <c r="K155" s="207">
        <f t="shared" si="66"/>
        <v>4112.9734339127581</v>
      </c>
      <c r="L155" s="163">
        <f t="shared" si="66"/>
        <v>4990.115575627452</v>
      </c>
      <c r="M155" s="163">
        <f t="shared" si="66"/>
        <v>6543.037139963546</v>
      </c>
      <c r="N155" s="163">
        <f t="shared" si="66"/>
        <v>7937.4186816705633</v>
      </c>
      <c r="O155" s="163">
        <f t="shared" si="66"/>
        <v>9268.9717485968013</v>
      </c>
      <c r="P155" s="163">
        <f t="shared" si="66"/>
        <v>10563.536457202616</v>
      </c>
      <c r="Q155" s="163">
        <f t="shared" si="66"/>
        <v>11813.978978935611</v>
      </c>
      <c r="R155" s="163">
        <f t="shared" si="66"/>
        <v>13012.075293045127</v>
      </c>
      <c r="S155" s="163">
        <f t="shared" si="66"/>
        <v>14148.618468321789</v>
      </c>
      <c r="T155" s="126" t="s">
        <v>48</v>
      </c>
    </row>
    <row r="156" spans="4:20" outlineLevel="1">
      <c r="D156" s="277" t="s">
        <v>205</v>
      </c>
      <c r="E156" s="278"/>
      <c r="F156" s="279"/>
      <c r="G156" s="279"/>
      <c r="H156" s="279"/>
      <c r="I156" s="280">
        <f t="shared" ref="I156:S156" si="67">SUM(I153:I155)-I21</f>
        <v>0</v>
      </c>
      <c r="J156" s="280">
        <f t="shared" si="67"/>
        <v>0</v>
      </c>
      <c r="K156" s="281">
        <f t="shared" si="67"/>
        <v>0</v>
      </c>
      <c r="L156" s="280">
        <f t="shared" si="67"/>
        <v>0</v>
      </c>
      <c r="M156" s="280">
        <f t="shared" si="67"/>
        <v>0</v>
      </c>
      <c r="N156" s="280">
        <f t="shared" si="67"/>
        <v>0</v>
      </c>
      <c r="O156" s="280">
        <f t="shared" si="67"/>
        <v>0</v>
      </c>
      <c r="P156" s="280">
        <f t="shared" si="67"/>
        <v>0</v>
      </c>
      <c r="Q156" s="280">
        <f t="shared" si="67"/>
        <v>0</v>
      </c>
      <c r="R156" s="280">
        <f t="shared" si="67"/>
        <v>0</v>
      </c>
      <c r="S156" s="280">
        <f t="shared" si="67"/>
        <v>0</v>
      </c>
      <c r="T156" s="126" t="s">
        <v>48</v>
      </c>
    </row>
    <row r="157" spans="4:20" outlineLevel="1">
      <c r="D157" s="277"/>
      <c r="E157" s="278"/>
      <c r="F157" s="279"/>
      <c r="G157" s="279"/>
      <c r="H157" s="279"/>
      <c r="I157" s="280"/>
      <c r="J157" s="280"/>
      <c r="K157" s="281"/>
      <c r="T157" s="126" t="s">
        <v>48</v>
      </c>
    </row>
    <row r="158" spans="4:20" outlineLevel="1">
      <c r="D158" s="226" t="s">
        <v>209</v>
      </c>
      <c r="E158" s="214"/>
      <c r="F158" s="215"/>
      <c r="G158" s="215"/>
      <c r="H158" s="215"/>
      <c r="I158" s="215"/>
      <c r="J158" s="215"/>
      <c r="K158" s="227"/>
      <c r="L158" s="215"/>
      <c r="M158" s="215"/>
      <c r="N158" s="215"/>
      <c r="O158" s="215"/>
      <c r="P158" s="215"/>
      <c r="Q158" s="215"/>
      <c r="R158" s="215"/>
      <c r="S158" s="215"/>
      <c r="T158" s="126" t="s">
        <v>48</v>
      </c>
    </row>
    <row r="159" spans="4:20" outlineLevel="1">
      <c r="D159" s="151" t="s">
        <v>202</v>
      </c>
      <c r="I159" s="234">
        <f t="shared" ref="I159:K161" si="68">I153/SUM(I$153:I$155)</f>
        <v>8.3137254901960791E-2</v>
      </c>
      <c r="J159" s="234">
        <f t="shared" si="68"/>
        <v>9.9409339128496602E-2</v>
      </c>
      <c r="K159" s="232">
        <f t="shared" si="68"/>
        <v>0.14991502430006859</v>
      </c>
      <c r="L159" s="195">
        <f t="shared" ref="L159:S161" si="69">L153/SUM(L$153:L$155)</f>
        <v>0.1036960225168506</v>
      </c>
      <c r="M159" s="195">
        <f t="shared" si="69"/>
        <v>8.2028777585552132E-2</v>
      </c>
      <c r="N159" s="195">
        <f t="shared" si="69"/>
        <v>6.6661695622996037E-2</v>
      </c>
      <c r="O159" s="195">
        <f t="shared" si="69"/>
        <v>5.497726124305205E-2</v>
      </c>
      <c r="P159" s="195">
        <f t="shared" si="69"/>
        <v>4.5713577799801793E-2</v>
      </c>
      <c r="Q159" s="195">
        <f t="shared" si="69"/>
        <v>3.8116138719644241E-2</v>
      </c>
      <c r="R159" s="195">
        <f t="shared" si="69"/>
        <v>3.1704526883477691E-2</v>
      </c>
      <c r="S159" s="195">
        <f t="shared" si="69"/>
        <v>2.6156680592677169E-2</v>
      </c>
      <c r="T159" s="126" t="s">
        <v>48</v>
      </c>
    </row>
    <row r="160" spans="4:20" outlineLevel="1">
      <c r="D160" s="151" t="s">
        <v>203</v>
      </c>
      <c r="I160" s="234">
        <f t="shared" si="68"/>
        <v>0.12296296296296295</v>
      </c>
      <c r="J160" s="234">
        <f t="shared" si="68"/>
        <v>0.10041234815557784</v>
      </c>
      <c r="K160" s="232">
        <f t="shared" si="68"/>
        <v>0.1130325889263246</v>
      </c>
      <c r="L160" s="195">
        <f t="shared" si="69"/>
        <v>0.17586351628274446</v>
      </c>
      <c r="M160" s="195">
        <f t="shared" si="69"/>
        <v>0.12553272289970041</v>
      </c>
      <c r="N160" s="195">
        <f t="shared" si="69"/>
        <v>0.10267690701662813</v>
      </c>
      <c r="O160" s="195">
        <f t="shared" si="69"/>
        <v>8.5329290887653703E-2</v>
      </c>
      <c r="P160" s="195">
        <f t="shared" si="69"/>
        <v>7.1605550049554018E-2</v>
      </c>
      <c r="Q160" s="195">
        <f t="shared" si="69"/>
        <v>6.0379428835436441E-2</v>
      </c>
      <c r="R160" s="195">
        <f t="shared" si="69"/>
        <v>5.0934248515552644E-2</v>
      </c>
      <c r="S160" s="195">
        <f t="shared" si="69"/>
        <v>4.2790045929885563E-2</v>
      </c>
      <c r="T160" s="126" t="s">
        <v>48</v>
      </c>
    </row>
    <row r="161" spans="4:20" outlineLevel="1">
      <c r="D161" s="151" t="s">
        <v>204</v>
      </c>
      <c r="I161" s="234">
        <f t="shared" si="68"/>
        <v>0.79389978213507628</v>
      </c>
      <c r="J161" s="234">
        <f t="shared" si="68"/>
        <v>0.80017831271592554</v>
      </c>
      <c r="K161" s="232">
        <f t="shared" si="68"/>
        <v>0.73705238677360696</v>
      </c>
      <c r="L161" s="195">
        <f t="shared" si="69"/>
        <v>0.72044046120040495</v>
      </c>
      <c r="M161" s="195">
        <f t="shared" si="69"/>
        <v>0.79243849951474754</v>
      </c>
      <c r="N161" s="195">
        <f t="shared" si="69"/>
        <v>0.83066139736037581</v>
      </c>
      <c r="O161" s="195">
        <f t="shared" si="69"/>
        <v>0.85969344786929425</v>
      </c>
      <c r="P161" s="195">
        <f t="shared" si="69"/>
        <v>0.88268087215064428</v>
      </c>
      <c r="Q161" s="195">
        <f t="shared" si="69"/>
        <v>0.90150443244491929</v>
      </c>
      <c r="R161" s="195">
        <f t="shared" si="69"/>
        <v>0.91736122460096958</v>
      </c>
      <c r="S161" s="195">
        <f t="shared" si="69"/>
        <v>0.93105327347743727</v>
      </c>
      <c r="T161" s="126" t="s">
        <v>48</v>
      </c>
    </row>
    <row r="162" spans="4:20" outlineLevel="1">
      <c r="K162" s="207"/>
      <c r="T162" s="126" t="s">
        <v>48</v>
      </c>
    </row>
    <row r="163" spans="4:20" outlineLevel="1">
      <c r="D163" s="149"/>
      <c r="K163" s="207"/>
      <c r="T163" s="126" t="s">
        <v>48</v>
      </c>
    </row>
    <row r="164" spans="4:20" outlineLevel="1">
      <c r="D164" s="586" t="s">
        <v>210</v>
      </c>
      <c r="E164" s="586"/>
      <c r="F164" s="586"/>
      <c r="G164" s="586"/>
      <c r="H164" s="586"/>
      <c r="I164" s="588"/>
      <c r="J164" s="588"/>
      <c r="K164" s="588"/>
      <c r="L164" s="589"/>
      <c r="M164" s="589"/>
      <c r="N164" s="589"/>
      <c r="O164" s="589"/>
      <c r="P164" s="589"/>
      <c r="Q164" s="589"/>
      <c r="R164" s="589"/>
      <c r="S164" s="589"/>
      <c r="T164" s="126" t="s">
        <v>48</v>
      </c>
    </row>
    <row r="165" spans="4:20" outlineLevel="1">
      <c r="D165" s="149"/>
      <c r="K165" s="207"/>
      <c r="T165" s="126" t="s">
        <v>48</v>
      </c>
    </row>
    <row r="166" spans="4:20" outlineLevel="1">
      <c r="D166" s="236" t="s">
        <v>211</v>
      </c>
      <c r="E166" s="237"/>
      <c r="F166" s="239"/>
      <c r="G166" s="239"/>
      <c r="H166" s="239"/>
      <c r="I166" s="287">
        <f t="shared" ref="I166:S166" si="70">SUM(I168,I179,I181,I183)</f>
        <v>3800.7519999999995</v>
      </c>
      <c r="J166" s="287">
        <f t="shared" si="70"/>
        <v>4455.7780000000002</v>
      </c>
      <c r="K166" s="288">
        <f t="shared" si="70"/>
        <v>5214.3029999999999</v>
      </c>
      <c r="L166" s="287">
        <f t="shared" si="70"/>
        <v>6188.3779111723925</v>
      </c>
      <c r="M166" s="287">
        <f t="shared" si="70"/>
        <v>7077.5418654464711</v>
      </c>
      <c r="N166" s="287">
        <f t="shared" si="70"/>
        <v>7876.1600366716739</v>
      </c>
      <c r="O166" s="287">
        <f t="shared" si="70"/>
        <v>8584.2324248479999</v>
      </c>
      <c r="P166" s="287">
        <f t="shared" si="70"/>
        <v>9201.759029975452</v>
      </c>
      <c r="Q166" s="287">
        <f t="shared" si="70"/>
        <v>9728.7398520540264</v>
      </c>
      <c r="R166" s="287">
        <f t="shared" si="70"/>
        <v>10165.174891083729</v>
      </c>
      <c r="S166" s="287">
        <f t="shared" si="70"/>
        <v>10511.06414706455</v>
      </c>
      <c r="T166" s="126" t="s">
        <v>48</v>
      </c>
    </row>
    <row r="167" spans="4:20" outlineLevel="1">
      <c r="D167" s="241"/>
      <c r="I167" s="289"/>
      <c r="J167" s="289"/>
      <c r="K167" s="290"/>
      <c r="T167" s="126" t="s">
        <v>48</v>
      </c>
    </row>
    <row r="168" spans="4:20" outlineLevel="1">
      <c r="D168" s="226" t="s">
        <v>194</v>
      </c>
      <c r="E168" s="214"/>
      <c r="F168" s="215"/>
      <c r="G168" s="215"/>
      <c r="H168" s="215"/>
      <c r="I168" s="291">
        <v>3406.607</v>
      </c>
      <c r="J168" s="291">
        <v>4088.8890000000001</v>
      </c>
      <c r="K168" s="292">
        <v>4786.3189999999995</v>
      </c>
      <c r="L168" s="246">
        <f t="shared" ref="L168:S168" si="71">SUM(L169,L174)</f>
        <v>5683.2735364524115</v>
      </c>
      <c r="M168" s="246">
        <f t="shared" si="71"/>
        <v>6496.0992234209825</v>
      </c>
      <c r="N168" s="246">
        <f t="shared" si="71"/>
        <v>7224.7960609057145</v>
      </c>
      <c r="O168" s="246">
        <f t="shared" si="71"/>
        <v>7869.3640489066056</v>
      </c>
      <c r="P168" s="246">
        <f t="shared" si="71"/>
        <v>8429.8031874236585</v>
      </c>
      <c r="Q168" s="246">
        <f t="shared" si="71"/>
        <v>8906.1134764568687</v>
      </c>
      <c r="R168" s="246">
        <f t="shared" si="71"/>
        <v>9298.2949160062417</v>
      </c>
      <c r="S168" s="246">
        <f t="shared" si="71"/>
        <v>9606.3475060717719</v>
      </c>
      <c r="T168" s="126" t="s">
        <v>48</v>
      </c>
    </row>
    <row r="169" spans="4:20" outlineLevel="1">
      <c r="D169" s="247" t="s">
        <v>195</v>
      </c>
      <c r="I169" s="293">
        <v>2663.03</v>
      </c>
      <c r="J169" s="293">
        <v>3224.0329999999999</v>
      </c>
      <c r="K169" s="294">
        <v>3850.5249999999996</v>
      </c>
      <c r="L169" s="251">
        <f t="shared" ref="L169:S169" si="72">SUM(L170:L172)</f>
        <v>4565.9922152402905</v>
      </c>
      <c r="M169" s="251">
        <f t="shared" si="72"/>
        <v>5214.3450173603769</v>
      </c>
      <c r="N169" s="251">
        <f t="shared" si="72"/>
        <v>5795.5834063602606</v>
      </c>
      <c r="O169" s="251">
        <f t="shared" si="72"/>
        <v>6309.7073822399398</v>
      </c>
      <c r="P169" s="251">
        <f t="shared" si="72"/>
        <v>6756.7169449994162</v>
      </c>
      <c r="Q169" s="251">
        <f t="shared" si="72"/>
        <v>7136.6120946386873</v>
      </c>
      <c r="R169" s="251">
        <f t="shared" si="72"/>
        <v>7449.3928311577565</v>
      </c>
      <c r="S169" s="251">
        <f t="shared" si="72"/>
        <v>7695.0591545566213</v>
      </c>
      <c r="T169" s="126" t="s">
        <v>48</v>
      </c>
    </row>
    <row r="170" spans="4:20" outlineLevel="1">
      <c r="D170" s="161" t="s">
        <v>180</v>
      </c>
      <c r="I170" s="295">
        <v>1165.1759999999999</v>
      </c>
      <c r="J170" s="295">
        <v>1353.329</v>
      </c>
      <c r="K170" s="296">
        <v>1560.0309999999999</v>
      </c>
      <c r="L170" s="233">
        <f t="shared" ref="L170:S172" si="73">L190*L77</f>
        <v>1891.7774868189808</v>
      </c>
      <c r="M170" s="233">
        <f t="shared" si="73"/>
        <v>2196.1069086115995</v>
      </c>
      <c r="N170" s="233">
        <f t="shared" si="73"/>
        <v>2473.0192653778558</v>
      </c>
      <c r="O170" s="233">
        <f t="shared" si="73"/>
        <v>2722.5145571177504</v>
      </c>
      <c r="P170" s="233">
        <f t="shared" si="73"/>
        <v>2944.5927838312832</v>
      </c>
      <c r="Q170" s="233">
        <f t="shared" si="73"/>
        <v>3139.2539455184537</v>
      </c>
      <c r="R170" s="233">
        <f t="shared" si="73"/>
        <v>3306.498042179262</v>
      </c>
      <c r="S170" s="233">
        <f t="shared" si="73"/>
        <v>3446.3250738137085</v>
      </c>
      <c r="T170" s="126" t="s">
        <v>48</v>
      </c>
    </row>
    <row r="171" spans="4:20" outlineLevel="1">
      <c r="D171" s="161" t="s">
        <v>181</v>
      </c>
      <c r="I171" s="295">
        <v>654.76599999999996</v>
      </c>
      <c r="J171" s="295">
        <v>850.82</v>
      </c>
      <c r="K171" s="296">
        <v>948.95299999999997</v>
      </c>
      <c r="L171" s="233">
        <f t="shared" si="73"/>
        <v>1091.8061397849463</v>
      </c>
      <c r="M171" s="233">
        <f t="shared" si="73"/>
        <v>1219.3535860215054</v>
      </c>
      <c r="N171" s="233">
        <f t="shared" si="73"/>
        <v>1331.5953387096774</v>
      </c>
      <c r="O171" s="233">
        <f t="shared" si="73"/>
        <v>1428.5313978494623</v>
      </c>
      <c r="P171" s="233">
        <f t="shared" si="73"/>
        <v>1510.1617634408601</v>
      </c>
      <c r="Q171" s="233">
        <f t="shared" si="73"/>
        <v>1576.486435483871</v>
      </c>
      <c r="R171" s="233">
        <f t="shared" si="73"/>
        <v>1627.5054139784945</v>
      </c>
      <c r="S171" s="233">
        <f t="shared" si="73"/>
        <v>1663.2186989247311</v>
      </c>
      <c r="T171" s="126" t="s">
        <v>48</v>
      </c>
    </row>
    <row r="172" spans="4:20" outlineLevel="1">
      <c r="D172" s="161" t="s">
        <v>184</v>
      </c>
      <c r="I172" s="295">
        <v>843.08800000000008</v>
      </c>
      <c r="J172" s="295">
        <v>1019.8839999999999</v>
      </c>
      <c r="K172" s="296">
        <v>1341.5409999999999</v>
      </c>
      <c r="L172" s="233">
        <f t="shared" si="73"/>
        <v>1582.4085886363634</v>
      </c>
      <c r="M172" s="233">
        <f t="shared" si="73"/>
        <v>1798.8845227272725</v>
      </c>
      <c r="N172" s="233">
        <f t="shared" si="73"/>
        <v>1990.9688022727271</v>
      </c>
      <c r="O172" s="233">
        <f t="shared" si="73"/>
        <v>2158.661427272727</v>
      </c>
      <c r="P172" s="233">
        <f t="shared" si="73"/>
        <v>2301.9623977272727</v>
      </c>
      <c r="Q172" s="233">
        <f t="shared" si="73"/>
        <v>2420.8717136363634</v>
      </c>
      <c r="R172" s="233">
        <f t="shared" si="73"/>
        <v>2515.3893749999997</v>
      </c>
      <c r="S172" s="233">
        <f t="shared" si="73"/>
        <v>2585.5153818181816</v>
      </c>
      <c r="T172" s="126" t="s">
        <v>48</v>
      </c>
    </row>
    <row r="173" spans="4:20" outlineLevel="1">
      <c r="D173" s="161"/>
      <c r="I173" s="289"/>
      <c r="J173" s="289"/>
      <c r="K173" s="290"/>
      <c r="T173" s="126" t="s">
        <v>48</v>
      </c>
    </row>
    <row r="174" spans="4:20" outlineLevel="1">
      <c r="D174" s="213" t="s">
        <v>196</v>
      </c>
      <c r="E174" s="214"/>
      <c r="F174" s="215"/>
      <c r="G174" s="215"/>
      <c r="H174" s="215"/>
      <c r="I174" s="291">
        <v>743.577</v>
      </c>
      <c r="J174" s="291">
        <v>864.85599999999999</v>
      </c>
      <c r="K174" s="292">
        <v>935.79399999999987</v>
      </c>
      <c r="L174" s="246">
        <f t="shared" ref="L174:S174" si="74">SUM(L175:L177)</f>
        <v>1117.2813212121209</v>
      </c>
      <c r="M174" s="246">
        <f t="shared" si="74"/>
        <v>1281.7542060606058</v>
      </c>
      <c r="N174" s="246">
        <f t="shared" si="74"/>
        <v>1429.2126545454541</v>
      </c>
      <c r="O174" s="246">
        <f t="shared" si="74"/>
        <v>1559.6566666666663</v>
      </c>
      <c r="P174" s="246">
        <f t="shared" si="74"/>
        <v>1673.0862424242421</v>
      </c>
      <c r="Q174" s="246">
        <f t="shared" si="74"/>
        <v>1769.5013818181815</v>
      </c>
      <c r="R174" s="246">
        <f t="shared" si="74"/>
        <v>1848.9020848484845</v>
      </c>
      <c r="S174" s="246">
        <f t="shared" si="74"/>
        <v>1911.2883515151511</v>
      </c>
      <c r="T174" s="126" t="s">
        <v>48</v>
      </c>
    </row>
    <row r="175" spans="4:20" outlineLevel="1">
      <c r="D175" s="161" t="s">
        <v>180</v>
      </c>
      <c r="I175" s="289">
        <f t="shared" ref="I175:S175" si="75">I82*I$193</f>
        <v>530.28001195219122</v>
      </c>
      <c r="J175" s="289">
        <f t="shared" si="75"/>
        <v>577.56819377162628</v>
      </c>
      <c r="K175" s="290">
        <f t="shared" si="75"/>
        <v>635.20562424242416</v>
      </c>
      <c r="L175" s="289">
        <f t="shared" si="75"/>
        <v>720.27780606060594</v>
      </c>
      <c r="M175" s="289">
        <f t="shared" si="75"/>
        <v>796.84276969696953</v>
      </c>
      <c r="N175" s="289">
        <f t="shared" si="75"/>
        <v>864.90051515151492</v>
      </c>
      <c r="O175" s="289">
        <f t="shared" si="75"/>
        <v>924.45104242424225</v>
      </c>
      <c r="P175" s="289">
        <f t="shared" si="75"/>
        <v>975.49435151515127</v>
      </c>
      <c r="Q175" s="289">
        <f t="shared" si="75"/>
        <v>1018.0304424242422</v>
      </c>
      <c r="R175" s="289">
        <f t="shared" si="75"/>
        <v>1052.059315151515</v>
      </c>
      <c r="S175" s="289">
        <f t="shared" si="75"/>
        <v>1077.5809696969695</v>
      </c>
      <c r="T175" s="126" t="s">
        <v>48</v>
      </c>
    </row>
    <row r="176" spans="4:20" outlineLevel="1">
      <c r="D176" s="161" t="s">
        <v>181</v>
      </c>
      <c r="I176" s="289">
        <f t="shared" ref="I176:S176" si="76">I83*I$193</f>
        <v>26.662123505976094</v>
      </c>
      <c r="J176" s="289">
        <f t="shared" si="76"/>
        <v>47.881301038062283</v>
      </c>
      <c r="K176" s="290">
        <f t="shared" si="76"/>
        <v>65.222006060606049</v>
      </c>
      <c r="L176" s="289">
        <f t="shared" si="76"/>
        <v>104.92235757575756</v>
      </c>
      <c r="M176" s="289">
        <f t="shared" si="76"/>
        <v>141.78696969696966</v>
      </c>
      <c r="N176" s="289">
        <f t="shared" si="76"/>
        <v>175.81584242424239</v>
      </c>
      <c r="O176" s="289">
        <f t="shared" si="76"/>
        <v>207.00897575757571</v>
      </c>
      <c r="P176" s="289">
        <f t="shared" si="76"/>
        <v>235.36636969696966</v>
      </c>
      <c r="Q176" s="289">
        <f t="shared" si="76"/>
        <v>260.88802424242419</v>
      </c>
      <c r="R176" s="289">
        <f t="shared" si="76"/>
        <v>283.57393939393933</v>
      </c>
      <c r="S176" s="289">
        <f t="shared" si="76"/>
        <v>303.42411515151508</v>
      </c>
      <c r="T176" s="126" t="s">
        <v>48</v>
      </c>
    </row>
    <row r="177" spans="4:20" outlineLevel="1">
      <c r="D177" s="161" t="s">
        <v>184</v>
      </c>
      <c r="I177" s="289">
        <f t="shared" ref="I177:S177" si="77">I84*I$193</f>
        <v>186.63486454183266</v>
      </c>
      <c r="J177" s="289">
        <f t="shared" si="77"/>
        <v>239.40650519031141</v>
      </c>
      <c r="K177" s="290">
        <f t="shared" si="77"/>
        <v>235.36636969696966</v>
      </c>
      <c r="L177" s="289">
        <f t="shared" si="77"/>
        <v>292.08115757575752</v>
      </c>
      <c r="M177" s="289">
        <f t="shared" si="77"/>
        <v>343.12446666666659</v>
      </c>
      <c r="N177" s="289">
        <f t="shared" si="77"/>
        <v>388.49629696969691</v>
      </c>
      <c r="O177" s="289">
        <f t="shared" si="77"/>
        <v>428.19664848484837</v>
      </c>
      <c r="P177" s="289">
        <f t="shared" si="77"/>
        <v>462.22552121212112</v>
      </c>
      <c r="Q177" s="289">
        <f t="shared" si="77"/>
        <v>490.58291515151507</v>
      </c>
      <c r="R177" s="289">
        <f t="shared" si="77"/>
        <v>513.2688303030302</v>
      </c>
      <c r="S177" s="289">
        <f t="shared" si="77"/>
        <v>530.28326666666658</v>
      </c>
      <c r="T177" s="126" t="s">
        <v>48</v>
      </c>
    </row>
    <row r="178" spans="4:20" outlineLevel="1">
      <c r="D178" s="161"/>
      <c r="I178" s="289"/>
      <c r="J178" s="289"/>
      <c r="K178" s="290"/>
      <c r="T178" s="126" t="s">
        <v>48</v>
      </c>
    </row>
    <row r="179" spans="4:20" outlineLevel="1">
      <c r="D179" s="226" t="s">
        <v>183</v>
      </c>
      <c r="E179" s="214"/>
      <c r="F179" s="215"/>
      <c r="G179" s="215"/>
      <c r="H179" s="215"/>
      <c r="I179" s="291">
        <v>50.431999999999995</v>
      </c>
      <c r="J179" s="291">
        <v>51.236999999999995</v>
      </c>
      <c r="K179" s="292">
        <v>52.97</v>
      </c>
      <c r="L179" s="297">
        <f t="shared" ref="L179:S179" si="78">L86*L$195</f>
        <v>66.212500000000006</v>
      </c>
      <c r="M179" s="297">
        <f t="shared" si="78"/>
        <v>79.454999999999998</v>
      </c>
      <c r="N179" s="297">
        <f t="shared" si="78"/>
        <v>92.697499999999991</v>
      </c>
      <c r="O179" s="297">
        <f t="shared" si="78"/>
        <v>105.94</v>
      </c>
      <c r="P179" s="297">
        <f t="shared" si="78"/>
        <v>119.1825</v>
      </c>
      <c r="Q179" s="297">
        <f t="shared" si="78"/>
        <v>132.42500000000001</v>
      </c>
      <c r="R179" s="297">
        <f t="shared" si="78"/>
        <v>145.66749999999999</v>
      </c>
      <c r="S179" s="297">
        <f t="shared" si="78"/>
        <v>158.91</v>
      </c>
      <c r="T179" s="126" t="s">
        <v>48</v>
      </c>
    </row>
    <row r="180" spans="4:20" outlineLevel="1">
      <c r="D180" s="298"/>
      <c r="I180" s="289"/>
      <c r="J180" s="289"/>
      <c r="K180" s="290"/>
      <c r="T180" s="126" t="s">
        <v>48</v>
      </c>
    </row>
    <row r="181" spans="4:20" outlineLevel="1">
      <c r="D181" s="226" t="s">
        <v>197</v>
      </c>
      <c r="E181" s="214"/>
      <c r="F181" s="215"/>
      <c r="G181" s="215"/>
      <c r="H181" s="215"/>
      <c r="I181" s="291">
        <v>3.8410000000000002</v>
      </c>
      <c r="J181" s="291">
        <v>4.9249999999999998</v>
      </c>
      <c r="K181" s="292">
        <v>5.4790000000000001</v>
      </c>
      <c r="L181" s="297">
        <f t="shared" ref="L181:S181" si="79">L88*L$197</f>
        <v>0.32468148148148146</v>
      </c>
      <c r="M181" s="297">
        <f t="shared" si="79"/>
        <v>0.4058518518518518</v>
      </c>
      <c r="N181" s="297">
        <f t="shared" si="79"/>
        <v>0.48702222222222219</v>
      </c>
      <c r="O181" s="297">
        <f t="shared" si="79"/>
        <v>0.56819259259259258</v>
      </c>
      <c r="P181" s="297">
        <f t="shared" si="79"/>
        <v>0.64936296296296292</v>
      </c>
      <c r="Q181" s="297">
        <f t="shared" si="79"/>
        <v>0.73053333333333326</v>
      </c>
      <c r="R181" s="297">
        <f t="shared" si="79"/>
        <v>0.81170370370370359</v>
      </c>
      <c r="S181" s="297">
        <f t="shared" si="79"/>
        <v>0.89287407407407404</v>
      </c>
      <c r="T181" s="126" t="s">
        <v>48</v>
      </c>
    </row>
    <row r="182" spans="4:20" outlineLevel="1">
      <c r="I182" s="295"/>
      <c r="J182" s="295"/>
      <c r="K182" s="296"/>
      <c r="T182" s="126" t="s">
        <v>48</v>
      </c>
    </row>
    <row r="183" spans="4:20" outlineLevel="1">
      <c r="D183" s="226" t="s">
        <v>212</v>
      </c>
      <c r="E183" s="214"/>
      <c r="F183" s="215"/>
      <c r="G183" s="215"/>
      <c r="H183" s="215"/>
      <c r="I183" s="291">
        <v>339.87200000000001</v>
      </c>
      <c r="J183" s="291">
        <v>310.72699999999998</v>
      </c>
      <c r="K183" s="292">
        <v>369.53500000000003</v>
      </c>
      <c r="L183" s="246">
        <f t="shared" ref="L183:S183" si="80">SUM(L181,L179,L168)*L184</f>
        <v>438.56719323850012</v>
      </c>
      <c r="M183" s="246">
        <f t="shared" si="80"/>
        <v>501.58179017363631</v>
      </c>
      <c r="N183" s="246">
        <f t="shared" si="80"/>
        <v>558.17945354373683</v>
      </c>
      <c r="O183" s="246">
        <f t="shared" si="80"/>
        <v>608.36018334880157</v>
      </c>
      <c r="P183" s="246">
        <f t="shared" si="80"/>
        <v>652.12397958883093</v>
      </c>
      <c r="Q183" s="246">
        <f t="shared" si="80"/>
        <v>689.47084226382424</v>
      </c>
      <c r="R183" s="246">
        <f t="shared" si="80"/>
        <v>720.40077137378216</v>
      </c>
      <c r="S183" s="246">
        <f t="shared" si="80"/>
        <v>744.91376691870403</v>
      </c>
      <c r="T183" s="126" t="s">
        <v>48</v>
      </c>
    </row>
    <row r="184" spans="4:20" outlineLevel="1">
      <c r="D184" s="299" t="s">
        <v>213</v>
      </c>
      <c r="I184" s="594">
        <f>I183/SUM(I181,I179,I168)</f>
        <v>9.8203925013291421E-2</v>
      </c>
      <c r="J184" s="595">
        <f>J183/SUM(J181,J179,J168)</f>
        <v>7.4963371982636626E-2</v>
      </c>
      <c r="K184" s="596">
        <f>K183/SUM(K181,K179,K168)</f>
        <v>7.6275066215761023E-2</v>
      </c>
      <c r="L184" s="397">
        <f t="shared" ref="L184:S184" si="81">$K$184</f>
        <v>7.6275066215761023E-2</v>
      </c>
      <c r="M184" s="397">
        <f t="shared" si="81"/>
        <v>7.6275066215761023E-2</v>
      </c>
      <c r="N184" s="397">
        <f t="shared" si="81"/>
        <v>7.6275066215761023E-2</v>
      </c>
      <c r="O184" s="397">
        <f t="shared" si="81"/>
        <v>7.6275066215761023E-2</v>
      </c>
      <c r="P184" s="397">
        <f t="shared" si="81"/>
        <v>7.6275066215761023E-2</v>
      </c>
      <c r="Q184" s="397">
        <f t="shared" si="81"/>
        <v>7.6275066215761023E-2</v>
      </c>
      <c r="R184" s="397">
        <f t="shared" si="81"/>
        <v>7.6275066215761023E-2</v>
      </c>
      <c r="S184" s="397">
        <f t="shared" si="81"/>
        <v>7.6275066215761023E-2</v>
      </c>
      <c r="T184" s="126" t="s">
        <v>48</v>
      </c>
    </row>
    <row r="185" spans="4:20" outlineLevel="1">
      <c r="D185" s="149"/>
      <c r="K185" s="207"/>
      <c r="T185" s="126" t="s">
        <v>48</v>
      </c>
    </row>
    <row r="186" spans="4:20" outlineLevel="1">
      <c r="D186" s="586" t="s">
        <v>214</v>
      </c>
      <c r="E186" s="586"/>
      <c r="F186" s="586"/>
      <c r="G186" s="586"/>
      <c r="H186" s="586"/>
      <c r="I186" s="588"/>
      <c r="J186" s="588"/>
      <c r="K186" s="588"/>
      <c r="L186" s="589"/>
      <c r="M186" s="589"/>
      <c r="N186" s="589"/>
      <c r="O186" s="589"/>
      <c r="P186" s="589"/>
      <c r="Q186" s="589"/>
      <c r="R186" s="589"/>
      <c r="S186" s="589"/>
      <c r="T186" s="126" t="s">
        <v>48</v>
      </c>
    </row>
    <row r="187" spans="4:20" outlineLevel="1">
      <c r="D187" s="149"/>
      <c r="K187" s="207"/>
      <c r="T187" s="126" t="s">
        <v>48</v>
      </c>
    </row>
    <row r="188" spans="4:20" outlineLevel="1">
      <c r="D188" s="226" t="s">
        <v>194</v>
      </c>
      <c r="E188" s="214"/>
      <c r="F188" s="215"/>
      <c r="G188" s="215"/>
      <c r="H188" s="215"/>
      <c r="I188" s="219"/>
      <c r="J188" s="219"/>
      <c r="K188" s="300"/>
      <c r="L188" s="215"/>
      <c r="M188" s="215"/>
      <c r="N188" s="215"/>
      <c r="O188" s="215"/>
      <c r="P188" s="215"/>
      <c r="Q188" s="215"/>
      <c r="R188" s="215"/>
      <c r="S188" s="215"/>
      <c r="T188" s="126" t="s">
        <v>48</v>
      </c>
    </row>
    <row r="189" spans="4:20" outlineLevel="1">
      <c r="D189" s="247" t="s">
        <v>195</v>
      </c>
      <c r="I189" s="192">
        <f t="shared" ref="I189:K192" si="82">I169/I76</f>
        <v>2.8180211640211641</v>
      </c>
      <c r="J189" s="192">
        <f t="shared" si="82"/>
        <v>2.8760330062444246</v>
      </c>
      <c r="K189" s="230">
        <f t="shared" si="82"/>
        <v>2.7882150615496015</v>
      </c>
      <c r="L189" s="192">
        <f t="shared" ref="L189:S189" si="83">$K$189</f>
        <v>2.7882150615496015</v>
      </c>
      <c r="M189" s="192">
        <f t="shared" si="83"/>
        <v>2.7882150615496015</v>
      </c>
      <c r="N189" s="192">
        <f t="shared" si="83"/>
        <v>2.7882150615496015</v>
      </c>
      <c r="O189" s="192">
        <f t="shared" si="83"/>
        <v>2.7882150615496015</v>
      </c>
      <c r="P189" s="192">
        <f t="shared" si="83"/>
        <v>2.7882150615496015</v>
      </c>
      <c r="Q189" s="192">
        <f t="shared" si="83"/>
        <v>2.7882150615496015</v>
      </c>
      <c r="R189" s="192">
        <f t="shared" si="83"/>
        <v>2.7882150615496015</v>
      </c>
      <c r="S189" s="192">
        <f t="shared" si="83"/>
        <v>2.7882150615496015</v>
      </c>
      <c r="T189" s="126" t="s">
        <v>48</v>
      </c>
    </row>
    <row r="190" spans="4:20" outlineLevel="1">
      <c r="D190" s="161" t="s">
        <v>180</v>
      </c>
      <c r="I190" s="163">
        <f t="shared" si="82"/>
        <v>2.7160279720279719</v>
      </c>
      <c r="J190" s="163">
        <f t="shared" si="82"/>
        <v>2.7846275720164608</v>
      </c>
      <c r="K190" s="207">
        <f t="shared" si="82"/>
        <v>2.741706502636204</v>
      </c>
      <c r="L190" s="163">
        <f t="shared" ref="L190:S190" si="84">$K$190</f>
        <v>2.741706502636204</v>
      </c>
      <c r="M190" s="163">
        <f t="shared" si="84"/>
        <v>2.741706502636204</v>
      </c>
      <c r="N190" s="163">
        <f t="shared" si="84"/>
        <v>2.741706502636204</v>
      </c>
      <c r="O190" s="163">
        <f t="shared" si="84"/>
        <v>2.741706502636204</v>
      </c>
      <c r="P190" s="163">
        <f t="shared" si="84"/>
        <v>2.741706502636204</v>
      </c>
      <c r="Q190" s="163">
        <f t="shared" si="84"/>
        <v>2.741706502636204</v>
      </c>
      <c r="R190" s="163">
        <f t="shared" si="84"/>
        <v>2.741706502636204</v>
      </c>
      <c r="S190" s="163">
        <f t="shared" si="84"/>
        <v>2.741706502636204</v>
      </c>
      <c r="T190" s="126" t="s">
        <v>48</v>
      </c>
    </row>
    <row r="191" spans="4:20" outlineLevel="1">
      <c r="D191" s="161" t="s">
        <v>181</v>
      </c>
      <c r="I191" s="163">
        <f t="shared" si="82"/>
        <v>2.6725142857142856</v>
      </c>
      <c r="J191" s="163">
        <f t="shared" si="82"/>
        <v>2.8172847682119206</v>
      </c>
      <c r="K191" s="207">
        <f t="shared" si="82"/>
        <v>2.5509489247311827</v>
      </c>
      <c r="L191" s="163">
        <f t="shared" ref="L191:S191" si="85">$K$191</f>
        <v>2.5509489247311827</v>
      </c>
      <c r="M191" s="163">
        <f t="shared" si="85"/>
        <v>2.5509489247311827</v>
      </c>
      <c r="N191" s="163">
        <f t="shared" si="85"/>
        <v>2.5509489247311827</v>
      </c>
      <c r="O191" s="163">
        <f t="shared" si="85"/>
        <v>2.5509489247311827</v>
      </c>
      <c r="P191" s="163">
        <f t="shared" si="85"/>
        <v>2.5509489247311827</v>
      </c>
      <c r="Q191" s="163">
        <f t="shared" si="85"/>
        <v>2.5509489247311827</v>
      </c>
      <c r="R191" s="163">
        <f t="shared" si="85"/>
        <v>2.5509489247311827</v>
      </c>
      <c r="S191" s="163">
        <f t="shared" si="85"/>
        <v>2.5509489247311827</v>
      </c>
      <c r="T191" s="126" t="s">
        <v>48</v>
      </c>
    </row>
    <row r="192" spans="4:20" outlineLevel="1">
      <c r="D192" s="161" t="s">
        <v>184</v>
      </c>
      <c r="I192" s="163">
        <f t="shared" si="82"/>
        <v>3.1110258302583027</v>
      </c>
      <c r="J192" s="163">
        <f t="shared" si="82"/>
        <v>3.0627147147147142</v>
      </c>
      <c r="K192" s="207">
        <f t="shared" si="82"/>
        <v>3.0489568181818179</v>
      </c>
      <c r="L192" s="163">
        <f t="shared" ref="L192:S192" si="86">$K$192</f>
        <v>3.0489568181818179</v>
      </c>
      <c r="M192" s="163">
        <f t="shared" si="86"/>
        <v>3.0489568181818179</v>
      </c>
      <c r="N192" s="163">
        <f t="shared" si="86"/>
        <v>3.0489568181818179</v>
      </c>
      <c r="O192" s="163">
        <f t="shared" si="86"/>
        <v>3.0489568181818179</v>
      </c>
      <c r="P192" s="163">
        <f t="shared" si="86"/>
        <v>3.0489568181818179</v>
      </c>
      <c r="Q192" s="163">
        <f t="shared" si="86"/>
        <v>3.0489568181818179</v>
      </c>
      <c r="R192" s="163">
        <f t="shared" si="86"/>
        <v>3.0489568181818179</v>
      </c>
      <c r="S192" s="163">
        <f t="shared" si="86"/>
        <v>3.0489568181818179</v>
      </c>
      <c r="T192" s="126" t="s">
        <v>48</v>
      </c>
    </row>
    <row r="193" spans="1:20" outlineLevel="1">
      <c r="D193" s="247" t="s">
        <v>196</v>
      </c>
      <c r="I193" s="192">
        <f>I174/I81</f>
        <v>2.9624581673306771</v>
      </c>
      <c r="J193" s="192">
        <f>J174/J81</f>
        <v>2.9925813148788927</v>
      </c>
      <c r="K193" s="230">
        <f>K174/K81</f>
        <v>2.8357393939393933</v>
      </c>
      <c r="L193" s="192">
        <f t="shared" ref="L193:S193" si="87">$K$193</f>
        <v>2.8357393939393933</v>
      </c>
      <c r="M193" s="192">
        <f t="shared" si="87"/>
        <v>2.8357393939393933</v>
      </c>
      <c r="N193" s="192">
        <f t="shared" si="87"/>
        <v>2.8357393939393933</v>
      </c>
      <c r="O193" s="192">
        <f t="shared" si="87"/>
        <v>2.8357393939393933</v>
      </c>
      <c r="P193" s="192">
        <f t="shared" si="87"/>
        <v>2.8357393939393933</v>
      </c>
      <c r="Q193" s="192">
        <f t="shared" si="87"/>
        <v>2.8357393939393933</v>
      </c>
      <c r="R193" s="192">
        <f t="shared" si="87"/>
        <v>2.8357393939393933</v>
      </c>
      <c r="S193" s="192">
        <f t="shared" si="87"/>
        <v>2.8357393939393933</v>
      </c>
      <c r="T193" s="126" t="s">
        <v>48</v>
      </c>
    </row>
    <row r="194" spans="1:20" outlineLevel="1">
      <c r="D194" s="161"/>
      <c r="K194" s="207"/>
      <c r="T194" s="126" t="s">
        <v>48</v>
      </c>
    </row>
    <row r="195" spans="1:20" outlineLevel="1">
      <c r="D195" s="254" t="s">
        <v>183</v>
      </c>
      <c r="E195" s="214"/>
      <c r="F195" s="215"/>
      <c r="G195" s="215"/>
      <c r="H195" s="215"/>
      <c r="I195" s="219">
        <f>I179/I86</f>
        <v>1.8678518518518517</v>
      </c>
      <c r="J195" s="219">
        <f>J179/J86</f>
        <v>1.829892857142857</v>
      </c>
      <c r="K195" s="300">
        <f>K179/K86</f>
        <v>1.6553125</v>
      </c>
      <c r="L195" s="219">
        <f t="shared" ref="L195:S195" si="88">$K$195</f>
        <v>1.6553125</v>
      </c>
      <c r="M195" s="219">
        <f t="shared" si="88"/>
        <v>1.6553125</v>
      </c>
      <c r="N195" s="219">
        <f t="shared" si="88"/>
        <v>1.6553125</v>
      </c>
      <c r="O195" s="219">
        <f t="shared" si="88"/>
        <v>1.6553125</v>
      </c>
      <c r="P195" s="219">
        <f t="shared" si="88"/>
        <v>1.6553125</v>
      </c>
      <c r="Q195" s="219">
        <f t="shared" si="88"/>
        <v>1.6553125</v>
      </c>
      <c r="R195" s="219">
        <f t="shared" si="88"/>
        <v>1.6553125</v>
      </c>
      <c r="S195" s="219">
        <f t="shared" si="88"/>
        <v>1.6553125</v>
      </c>
      <c r="T195" s="126" t="s">
        <v>48</v>
      </c>
    </row>
    <row r="196" spans="1:20" outlineLevel="1">
      <c r="D196" s="151"/>
      <c r="K196" s="207"/>
      <c r="T196" s="126" t="s">
        <v>48</v>
      </c>
    </row>
    <row r="197" spans="1:20" outlineLevel="1">
      <c r="D197" s="226" t="s">
        <v>197</v>
      </c>
      <c r="E197" s="214"/>
      <c r="F197" s="215"/>
      <c r="G197" s="215"/>
      <c r="H197" s="215"/>
      <c r="I197" s="219">
        <f>I181/I90</f>
        <v>0.2954615384615385</v>
      </c>
      <c r="J197" s="219">
        <f>J181/J90</f>
        <v>0.23452380952380952</v>
      </c>
      <c r="K197" s="300">
        <f>K181/K90</f>
        <v>4.0585185185185182E-2</v>
      </c>
      <c r="L197" s="219">
        <f t="shared" ref="L197:S197" si="89">$K$197</f>
        <v>4.0585185185185182E-2</v>
      </c>
      <c r="M197" s="219">
        <f t="shared" si="89"/>
        <v>4.0585185185185182E-2</v>
      </c>
      <c r="N197" s="219">
        <f t="shared" si="89"/>
        <v>4.0585185185185182E-2</v>
      </c>
      <c r="O197" s="219">
        <f t="shared" si="89"/>
        <v>4.0585185185185182E-2</v>
      </c>
      <c r="P197" s="219">
        <f t="shared" si="89"/>
        <v>4.0585185185185182E-2</v>
      </c>
      <c r="Q197" s="219">
        <f t="shared" si="89"/>
        <v>4.0585185185185182E-2</v>
      </c>
      <c r="R197" s="219">
        <f t="shared" si="89"/>
        <v>4.0585185185185182E-2</v>
      </c>
      <c r="S197" s="219">
        <f t="shared" si="89"/>
        <v>4.0585185185185182E-2</v>
      </c>
      <c r="T197" s="126" t="s">
        <v>48</v>
      </c>
    </row>
    <row r="198" spans="1:20" outlineLevel="1">
      <c r="K198" s="207"/>
      <c r="T198" s="126" t="s">
        <v>48</v>
      </c>
    </row>
    <row r="199" spans="1:20" outlineLevel="1">
      <c r="D199" s="226" t="s">
        <v>212</v>
      </c>
      <c r="E199" s="214"/>
      <c r="F199" s="215"/>
      <c r="G199" s="215"/>
      <c r="H199" s="215"/>
      <c r="I199" s="219" t="s">
        <v>215</v>
      </c>
      <c r="J199" s="219" t="s">
        <v>215</v>
      </c>
      <c r="K199" s="300" t="s">
        <v>215</v>
      </c>
      <c r="L199" s="219" t="str">
        <f t="shared" ref="L199:S199" si="90">$K$199</f>
        <v>n.a</v>
      </c>
      <c r="M199" s="219" t="str">
        <f t="shared" si="90"/>
        <v>n.a</v>
      </c>
      <c r="N199" s="219" t="str">
        <f t="shared" si="90"/>
        <v>n.a</v>
      </c>
      <c r="O199" s="219" t="str">
        <f t="shared" si="90"/>
        <v>n.a</v>
      </c>
      <c r="P199" s="219" t="str">
        <f t="shared" si="90"/>
        <v>n.a</v>
      </c>
      <c r="Q199" s="219" t="str">
        <f t="shared" si="90"/>
        <v>n.a</v>
      </c>
      <c r="R199" s="219" t="str">
        <f t="shared" si="90"/>
        <v>n.a</v>
      </c>
      <c r="S199" s="219" t="str">
        <f t="shared" si="90"/>
        <v>n.a</v>
      </c>
      <c r="T199" s="126" t="s">
        <v>48</v>
      </c>
    </row>
    <row r="200" spans="1:20" outlineLevel="1">
      <c r="D200" s="149"/>
      <c r="I200" s="192"/>
      <c r="J200" s="192"/>
      <c r="K200" s="230"/>
      <c r="T200" s="126" t="s">
        <v>48</v>
      </c>
    </row>
    <row r="201" spans="1:20" outlineLevel="1">
      <c r="D201" s="149"/>
      <c r="K201" s="207"/>
      <c r="T201" s="126" t="s">
        <v>48</v>
      </c>
    </row>
    <row r="202" spans="1:20">
      <c r="A202" s="212" t="s">
        <v>56</v>
      </c>
      <c r="B202" s="212">
        <v>2</v>
      </c>
      <c r="C202" s="212"/>
      <c r="D202" s="212" t="s">
        <v>216</v>
      </c>
      <c r="E202" s="212"/>
      <c r="F202" s="212"/>
      <c r="G202" s="212"/>
      <c r="H202" s="212"/>
      <c r="I202" s="124"/>
      <c r="J202" s="124"/>
      <c r="K202" s="124"/>
      <c r="L202" s="590"/>
      <c r="M202" s="590"/>
      <c r="N202" s="590"/>
      <c r="O202" s="590"/>
      <c r="P202" s="590"/>
      <c r="Q202" s="590"/>
      <c r="R202" s="590"/>
      <c r="S202" s="590"/>
      <c r="T202" s="126" t="s">
        <v>48</v>
      </c>
    </row>
    <row r="203" spans="1:20">
      <c r="K203" s="207"/>
      <c r="T203" s="126" t="s">
        <v>48</v>
      </c>
    </row>
    <row r="204" spans="1:20">
      <c r="D204" s="301" t="s">
        <v>217</v>
      </c>
      <c r="E204" s="237"/>
      <c r="F204" s="239"/>
      <c r="G204" s="239"/>
      <c r="H204" s="239"/>
      <c r="I204" s="302">
        <f>'Model '!G36</f>
        <v>-2018.4</v>
      </c>
      <c r="J204" s="302">
        <f>'Model '!H36</f>
        <v>-2533.9</v>
      </c>
      <c r="K204" s="303">
        <f>'Model '!I36</f>
        <v>-3267.4</v>
      </c>
      <c r="L204" s="304">
        <f t="shared" ref="L204:S204" si="91">SUM(L207,L211,L215,L219,L223,L228,L232,L236)</f>
        <v>-3712.4390314066118</v>
      </c>
      <c r="M204" s="304">
        <f t="shared" ca="1" si="91"/>
        <v>-4503.0106134468597</v>
      </c>
      <c r="N204" s="304">
        <f t="shared" ca="1" si="91"/>
        <v>-5285.5252978761064</v>
      </c>
      <c r="O204" s="304">
        <f t="shared" ca="1" si="91"/>
        <v>-6040.7217413335065</v>
      </c>
      <c r="P204" s="304">
        <f t="shared" ca="1" si="91"/>
        <v>-6778.574307662353</v>
      </c>
      <c r="Q204" s="304">
        <f t="shared" ca="1" si="91"/>
        <v>-7494.5142260545808</v>
      </c>
      <c r="R204" s="304">
        <f t="shared" ca="1" si="91"/>
        <v>-8183.5879718724536</v>
      </c>
      <c r="S204" s="304">
        <f t="shared" ca="1" si="91"/>
        <v>-8840.4328206747068</v>
      </c>
      <c r="T204" s="126" t="s">
        <v>48</v>
      </c>
    </row>
    <row r="205" spans="1:20" outlineLevel="1">
      <c r="D205" s="135" t="s">
        <v>71</v>
      </c>
      <c r="I205" s="142">
        <f t="shared" ref="I205:S205" si="92">-I204/I21</f>
        <v>0.68877968877968876</v>
      </c>
      <c r="J205" s="142">
        <f t="shared" si="92"/>
        <v>0.59695620420760009</v>
      </c>
      <c r="K205" s="305">
        <f t="shared" si="92"/>
        <v>0.58552407576653587</v>
      </c>
      <c r="L205" s="142">
        <f t="shared" si="92"/>
        <v>0.5359778240464228</v>
      </c>
      <c r="M205" s="142">
        <f t="shared" ca="1" si="92"/>
        <v>0.5453673725958238</v>
      </c>
      <c r="N205" s="142">
        <f t="shared" ca="1" si="92"/>
        <v>0.55313723589459596</v>
      </c>
      <c r="O205" s="142">
        <f t="shared" ca="1" si="92"/>
        <v>0.56027454201834048</v>
      </c>
      <c r="P205" s="142">
        <f t="shared" ca="1" si="92"/>
        <v>0.56641238529031679</v>
      </c>
      <c r="Q205" s="142">
        <f t="shared" ca="1" si="92"/>
        <v>0.57189350056033583</v>
      </c>
      <c r="R205" s="142">
        <f t="shared" ca="1" si="92"/>
        <v>0.5769491886908531</v>
      </c>
      <c r="S205" s="142">
        <f t="shared" ca="1" si="92"/>
        <v>0.58174682814970657</v>
      </c>
      <c r="T205" s="126" t="s">
        <v>48</v>
      </c>
    </row>
    <row r="206" spans="1:20" outlineLevel="1">
      <c r="K206" s="207"/>
      <c r="T206" s="126" t="s">
        <v>48</v>
      </c>
    </row>
    <row r="207" spans="1:20" outlineLevel="1">
      <c r="D207" s="149" t="s">
        <v>218</v>
      </c>
      <c r="E207" s="149"/>
      <c r="F207" s="149"/>
      <c r="G207" s="149"/>
      <c r="H207" s="149"/>
      <c r="I207" s="155">
        <v>-427.22800000000001</v>
      </c>
      <c r="J207" s="155">
        <v>-554.65200000000004</v>
      </c>
      <c r="K207" s="223">
        <v>-717.44899999999996</v>
      </c>
      <c r="L207" s="141">
        <f>L208*-L21</f>
        <v>-935.14201631874096</v>
      </c>
      <c r="M207" s="141">
        <f t="shared" ref="M207:S207" si="93">M208*-M21</f>
        <v>-1114.7535912900064</v>
      </c>
      <c r="N207" s="141">
        <f t="shared" si="93"/>
        <v>-1290.0909311571527</v>
      </c>
      <c r="O207" s="141">
        <f t="shared" si="93"/>
        <v>-1455.6367223770942</v>
      </c>
      <c r="P207" s="141">
        <f t="shared" si="93"/>
        <v>-1615.7370422572374</v>
      </c>
      <c r="Q207" s="141">
        <f t="shared" si="93"/>
        <v>-1769.267048172843</v>
      </c>
      <c r="R207" s="141">
        <f t="shared" si="93"/>
        <v>-1915.0108989065473</v>
      </c>
      <c r="S207" s="141">
        <f t="shared" si="93"/>
        <v>-2051.6561001181972</v>
      </c>
      <c r="T207" s="126" t="s">
        <v>48</v>
      </c>
    </row>
    <row r="208" spans="1:20" outlineLevel="1">
      <c r="D208" s="135" t="s">
        <v>71</v>
      </c>
      <c r="I208" s="160">
        <f>-I207/I$21</f>
        <v>0.14579170079170078</v>
      </c>
      <c r="J208" s="160">
        <f>-J207/J$21</f>
        <v>0.13066930525125453</v>
      </c>
      <c r="K208" s="306">
        <f>-K207/K$21</f>
        <v>0.12856817733813594</v>
      </c>
      <c r="L208" s="138">
        <f>AVERAGE(I208:K208)</f>
        <v>0.1350097277936971</v>
      </c>
      <c r="M208" s="138">
        <f t="shared" ref="M208:S208" si="94">L208</f>
        <v>0.1350097277936971</v>
      </c>
      <c r="N208" s="138">
        <f t="shared" si="94"/>
        <v>0.1350097277936971</v>
      </c>
      <c r="O208" s="138">
        <f t="shared" si="94"/>
        <v>0.1350097277936971</v>
      </c>
      <c r="P208" s="138">
        <f t="shared" si="94"/>
        <v>0.1350097277936971</v>
      </c>
      <c r="Q208" s="138">
        <f t="shared" si="94"/>
        <v>0.1350097277936971</v>
      </c>
      <c r="R208" s="138">
        <f t="shared" si="94"/>
        <v>0.1350097277936971</v>
      </c>
      <c r="S208" s="138">
        <f t="shared" si="94"/>
        <v>0.1350097277936971</v>
      </c>
      <c r="T208" s="126" t="s">
        <v>48</v>
      </c>
    </row>
    <row r="209" spans="4:21" outlineLevel="1">
      <c r="D209" s="135" t="s">
        <v>219</v>
      </c>
      <c r="I209" s="160">
        <f t="shared" ref="I209:S209" si="95">I207/I$204</f>
        <v>0.21166666666666667</v>
      </c>
      <c r="J209" s="160">
        <f t="shared" si="95"/>
        <v>0.21889261612534039</v>
      </c>
      <c r="K209" s="306">
        <f t="shared" si="95"/>
        <v>0.21957795188835158</v>
      </c>
      <c r="L209" s="138">
        <f t="shared" si="95"/>
        <v>0.25189424214312917</v>
      </c>
      <c r="M209" s="138">
        <f t="shared" ca="1" si="95"/>
        <v>0.24755739814628391</v>
      </c>
      <c r="N209" s="138">
        <f t="shared" ca="1" si="95"/>
        <v>0.24407998419297181</v>
      </c>
      <c r="O209" s="138">
        <f t="shared" ca="1" si="95"/>
        <v>0.24097066289561589</v>
      </c>
      <c r="P209" s="138">
        <f t="shared" ca="1" si="95"/>
        <v>0.23835942027379464</v>
      </c>
      <c r="Q209" s="138">
        <f t="shared" ca="1" si="95"/>
        <v>0.23607494692878281</v>
      </c>
      <c r="R209" s="138">
        <f t="shared" ca="1" si="95"/>
        <v>0.23400627029226906</v>
      </c>
      <c r="S209" s="138">
        <f t="shared" ca="1" si="95"/>
        <v>0.23207643129418787</v>
      </c>
      <c r="T209" s="126" t="s">
        <v>48</v>
      </c>
    </row>
    <row r="210" spans="4:21" outlineLevel="1">
      <c r="D210" s="135"/>
      <c r="I210" s="152"/>
      <c r="J210" s="152"/>
      <c r="K210" s="307"/>
      <c r="L210" s="152"/>
      <c r="T210" s="126" t="s">
        <v>48</v>
      </c>
    </row>
    <row r="211" spans="4:21" outlineLevel="1">
      <c r="D211" s="149" t="s">
        <v>220</v>
      </c>
      <c r="F211" s="308">
        <f>-K211/'Model '!I72</f>
        <v>0.96424980528216386</v>
      </c>
      <c r="I211" s="155">
        <v>-858.75300000000004</v>
      </c>
      <c r="J211" s="155">
        <v>-1112.337</v>
      </c>
      <c r="K211" s="223">
        <v>-1361.81</v>
      </c>
      <c r="L211" s="141">
        <f>(L341)*$F$211</f>
        <v>-1240.3631563372146</v>
      </c>
      <c r="M211" s="141">
        <f t="shared" ref="M211:S211" si="96">(M341)*$F$211</f>
        <v>-1610.7079827013961</v>
      </c>
      <c r="N211" s="141">
        <f t="shared" si="96"/>
        <v>-1981.373014706606</v>
      </c>
      <c r="O211" s="141">
        <f t="shared" si="96"/>
        <v>-2348.9152987836019</v>
      </c>
      <c r="P211" s="141">
        <f t="shared" si="96"/>
        <v>-2711.5286862001808</v>
      </c>
      <c r="Q211" s="141">
        <f t="shared" si="96"/>
        <v>-3067.244750969141</v>
      </c>
      <c r="R211" s="141">
        <f t="shared" si="96"/>
        <v>-3413.9222544452837</v>
      </c>
      <c r="S211" s="141">
        <f t="shared" si="96"/>
        <v>-3749.2360226353762</v>
      </c>
      <c r="T211" s="126" t="s">
        <v>48</v>
      </c>
      <c r="U211" s="149"/>
    </row>
    <row r="212" spans="4:21" outlineLevel="1">
      <c r="D212" s="135" t="s">
        <v>71</v>
      </c>
      <c r="I212" s="160">
        <f>-I211/I$21</f>
        <v>0.29304975429975433</v>
      </c>
      <c r="J212" s="160">
        <f>-J211/J$21</f>
        <v>0.26205314863241219</v>
      </c>
      <c r="K212" s="306">
        <f>-K211/K$21</f>
        <v>0.24403885095783379</v>
      </c>
      <c r="L212" s="309">
        <f>AVERAGE(K212)</f>
        <v>0.24403885095783379</v>
      </c>
      <c r="M212" s="309">
        <f>L212</f>
        <v>0.24403885095783379</v>
      </c>
      <c r="N212" s="309">
        <f t="shared" ref="N212:S212" si="97">M212</f>
        <v>0.24403885095783379</v>
      </c>
      <c r="O212" s="309">
        <f t="shared" si="97"/>
        <v>0.24403885095783379</v>
      </c>
      <c r="P212" s="309">
        <f t="shared" si="97"/>
        <v>0.24403885095783379</v>
      </c>
      <c r="Q212" s="309">
        <f t="shared" si="97"/>
        <v>0.24403885095783379</v>
      </c>
      <c r="R212" s="309">
        <f t="shared" si="97"/>
        <v>0.24403885095783379</v>
      </c>
      <c r="S212" s="309">
        <f t="shared" si="97"/>
        <v>0.24403885095783379</v>
      </c>
      <c r="T212" s="126" t="s">
        <v>48</v>
      </c>
    </row>
    <row r="213" spans="4:21" outlineLevel="1">
      <c r="D213" s="135" t="s">
        <v>219</v>
      </c>
      <c r="I213" s="160">
        <f>I211/I$204</f>
        <v>0.42546224732461357</v>
      </c>
      <c r="J213" s="160">
        <f>J211/J$204</f>
        <v>0.43898220134969806</v>
      </c>
      <c r="K213" s="306">
        <f>K211/K$204</f>
        <v>0.41678704780559461</v>
      </c>
      <c r="L213" s="138">
        <f t="shared" ref="L213:S213" si="98">L211/L$204</f>
        <v>0.3341100408232836</v>
      </c>
      <c r="M213" s="138">
        <f t="shared" ca="1" si="98"/>
        <v>0.35769579975927901</v>
      </c>
      <c r="N213" s="138">
        <f t="shared" ca="1" si="98"/>
        <v>0.37486775732636929</v>
      </c>
      <c r="O213" s="138">
        <f t="shared" ca="1" si="98"/>
        <v>0.38884679668510475</v>
      </c>
      <c r="P213" s="138">
        <f t="shared" ca="1" si="98"/>
        <v>0.40001459940258055</v>
      </c>
      <c r="Q213" s="138">
        <f t="shared" ca="1" si="98"/>
        <v>0.40926531839861013</v>
      </c>
      <c r="R213" s="138">
        <f t="shared" ca="1" si="98"/>
        <v>0.41716692802462269</v>
      </c>
      <c r="S213" s="138">
        <f t="shared" ca="1" si="98"/>
        <v>0.42410095734987241</v>
      </c>
      <c r="T213" s="126" t="s">
        <v>48</v>
      </c>
    </row>
    <row r="214" spans="4:21" outlineLevel="1">
      <c r="D214" s="135"/>
      <c r="I214" s="152"/>
      <c r="J214" s="152"/>
      <c r="K214" s="307"/>
      <c r="L214" s="152"/>
      <c r="T214" s="126" t="s">
        <v>48</v>
      </c>
    </row>
    <row r="215" spans="4:21" outlineLevel="1">
      <c r="D215" s="149" t="s">
        <v>221</v>
      </c>
      <c r="I215" s="155">
        <v>-298.02100000000002</v>
      </c>
      <c r="J215" s="155">
        <v>-379.928</v>
      </c>
      <c r="K215" s="223">
        <v>-471.68099999999998</v>
      </c>
      <c r="L215" s="141">
        <f>L216*-L21</f>
        <v>-636.61800386851723</v>
      </c>
      <c r="M215" s="141">
        <f t="shared" ref="M215:S215" si="99">M216*-M21</f>
        <v>-758.89243955264078</v>
      </c>
      <c r="N215" s="141">
        <f t="shared" si="99"/>
        <v>-878.25709792747318</v>
      </c>
      <c r="O215" s="141">
        <f t="shared" si="99"/>
        <v>-990.9559493491505</v>
      </c>
      <c r="P215" s="141">
        <f t="shared" si="99"/>
        <v>-1099.9476792492085</v>
      </c>
      <c r="Q215" s="141">
        <f t="shared" si="99"/>
        <v>-1204.4665268619758</v>
      </c>
      <c r="R215" s="141">
        <f t="shared" si="99"/>
        <v>-1303.6847821762328</v>
      </c>
      <c r="S215" s="141">
        <f t="shared" si="99"/>
        <v>-1396.7089364924066</v>
      </c>
      <c r="T215" s="126" t="s">
        <v>48</v>
      </c>
    </row>
    <row r="216" spans="4:21" outlineLevel="1">
      <c r="D216" s="135" t="s">
        <v>71</v>
      </c>
      <c r="I216" s="160">
        <f>-I215/I$21</f>
        <v>0.10169976794976796</v>
      </c>
      <c r="J216" s="160">
        <f>-J215/J$21</f>
        <v>8.9506443329328347E-2</v>
      </c>
      <c r="K216" s="306">
        <f>-K215/K$21</f>
        <v>8.452610074727164E-2</v>
      </c>
      <c r="L216" s="160">
        <f>AVERAGE(I216:K216)</f>
        <v>9.1910770675455986E-2</v>
      </c>
      <c r="M216" s="160">
        <f t="shared" ref="M216:S216" si="100">L216</f>
        <v>9.1910770675455986E-2</v>
      </c>
      <c r="N216" s="160">
        <f t="shared" si="100"/>
        <v>9.1910770675455986E-2</v>
      </c>
      <c r="O216" s="160">
        <f t="shared" si="100"/>
        <v>9.1910770675455986E-2</v>
      </c>
      <c r="P216" s="160">
        <f t="shared" si="100"/>
        <v>9.1910770675455986E-2</v>
      </c>
      <c r="Q216" s="160">
        <f t="shared" si="100"/>
        <v>9.1910770675455986E-2</v>
      </c>
      <c r="R216" s="160">
        <f t="shared" si="100"/>
        <v>9.1910770675455986E-2</v>
      </c>
      <c r="S216" s="160">
        <f t="shared" si="100"/>
        <v>9.1910770675455986E-2</v>
      </c>
      <c r="T216" s="126" t="s">
        <v>48</v>
      </c>
    </row>
    <row r="217" spans="4:21" outlineLevel="1">
      <c r="D217" s="135" t="s">
        <v>219</v>
      </c>
      <c r="I217" s="160">
        <f>I215/I$204</f>
        <v>0.14765210067380102</v>
      </c>
      <c r="J217" s="160">
        <f>J215/J$204</f>
        <v>0.14993804017522397</v>
      </c>
      <c r="K217" s="306">
        <f>K215/K$204</f>
        <v>0.14435973556956599</v>
      </c>
      <c r="L217" s="138">
        <f t="shared" ref="L217:S217" si="101">L215/L$204</f>
        <v>0.17148241317442137</v>
      </c>
      <c r="M217" s="138">
        <f t="shared" ca="1" si="101"/>
        <v>0.16853001351727695</v>
      </c>
      <c r="N217" s="138">
        <f t="shared" ca="1" si="101"/>
        <v>0.16616268931309155</v>
      </c>
      <c r="O217" s="138">
        <f t="shared" ca="1" si="101"/>
        <v>0.16404595208690975</v>
      </c>
      <c r="P217" s="138">
        <f t="shared" ca="1" si="101"/>
        <v>0.16226829261218711</v>
      </c>
      <c r="Q217" s="138">
        <f t="shared" ca="1" si="101"/>
        <v>0.16071308833795572</v>
      </c>
      <c r="R217" s="138">
        <f t="shared" ca="1" si="101"/>
        <v>0.15930479230590369</v>
      </c>
      <c r="S217" s="138">
        <f t="shared" ca="1" si="101"/>
        <v>0.15799101297687471</v>
      </c>
      <c r="T217" s="126" t="s">
        <v>48</v>
      </c>
    </row>
    <row r="218" spans="4:21" outlineLevel="1">
      <c r="D218" s="135"/>
      <c r="I218" s="152"/>
      <c r="J218" s="152"/>
      <c r="K218" s="307"/>
      <c r="L218" s="152"/>
      <c r="T218" s="126" t="s">
        <v>48</v>
      </c>
    </row>
    <row r="219" spans="4:21" outlineLevel="1">
      <c r="D219" s="149" t="s">
        <v>222</v>
      </c>
      <c r="I219" s="155">
        <v>-186.09200000000001</v>
      </c>
      <c r="J219" s="155">
        <v>-176.54</v>
      </c>
      <c r="K219" s="223">
        <v>-271.12200000000001</v>
      </c>
      <c r="L219" s="141">
        <f>-L220*L21</f>
        <v>-354.82090047077457</v>
      </c>
      <c r="M219" s="141">
        <f t="shared" ref="M219:S219" si="102">-M220*M21</f>
        <v>-422.97091368176928</v>
      </c>
      <c r="N219" s="141">
        <f t="shared" si="102"/>
        <v>-489.49915402618115</v>
      </c>
      <c r="O219" s="141">
        <f t="shared" si="102"/>
        <v>-552.31218743156433</v>
      </c>
      <c r="P219" s="141">
        <f t="shared" si="102"/>
        <v>-613.05904584902305</v>
      </c>
      <c r="Q219" s="141">
        <f t="shared" si="102"/>
        <v>-671.31293028328923</v>
      </c>
      <c r="R219" s="141">
        <f t="shared" si="102"/>
        <v>-726.6125141464795</v>
      </c>
      <c r="S219" s="141">
        <f t="shared" si="102"/>
        <v>-778.45979775992589</v>
      </c>
      <c r="T219" s="126" t="s">
        <v>48</v>
      </c>
    </row>
    <row r="220" spans="4:21" outlineLevel="1">
      <c r="D220" s="135" t="s">
        <v>71</v>
      </c>
      <c r="I220" s="160">
        <f>-I219/I$21</f>
        <v>6.3503958503958513E-2</v>
      </c>
      <c r="J220" s="160">
        <f>-J219/J$21</f>
        <v>4.1590689565811481E-2</v>
      </c>
      <c r="K220" s="306">
        <f>-K219/K$21</f>
        <v>4.8585559916133544E-2</v>
      </c>
      <c r="L220" s="160">
        <f>AVERAGE(I220:K220)</f>
        <v>5.1226735995301177E-2</v>
      </c>
      <c r="M220" s="160">
        <f t="shared" ref="M220:S220" si="103">L220</f>
        <v>5.1226735995301177E-2</v>
      </c>
      <c r="N220" s="160">
        <f t="shared" si="103"/>
        <v>5.1226735995301177E-2</v>
      </c>
      <c r="O220" s="160">
        <f t="shared" si="103"/>
        <v>5.1226735995301177E-2</v>
      </c>
      <c r="P220" s="160">
        <f t="shared" si="103"/>
        <v>5.1226735995301177E-2</v>
      </c>
      <c r="Q220" s="160">
        <f t="shared" si="103"/>
        <v>5.1226735995301177E-2</v>
      </c>
      <c r="R220" s="160">
        <f t="shared" si="103"/>
        <v>5.1226735995301177E-2</v>
      </c>
      <c r="S220" s="160">
        <f t="shared" si="103"/>
        <v>5.1226735995301177E-2</v>
      </c>
      <c r="T220" s="126" t="s">
        <v>48</v>
      </c>
    </row>
    <row r="221" spans="4:21" outlineLevel="1">
      <c r="D221" s="135" t="s">
        <v>219</v>
      </c>
      <c r="I221" s="160">
        <f>I219/I$204</f>
        <v>9.2197780420134767E-2</v>
      </c>
      <c r="J221" s="160">
        <f>J219/J$204</f>
        <v>6.9671257744978093E-2</v>
      </c>
      <c r="K221" s="306">
        <f>K219/K$204</f>
        <v>8.2977902919752711E-2</v>
      </c>
      <c r="L221" s="138">
        <f t="shared" ref="L221:S221" si="104">L219/L$204</f>
        <v>9.5576222927581903E-2</v>
      </c>
      <c r="M221" s="138">
        <f t="shared" ca="1" si="104"/>
        <v>9.393069437116057E-2</v>
      </c>
      <c r="N221" s="138">
        <f t="shared" ca="1" si="104"/>
        <v>9.261125932419198E-2</v>
      </c>
      <c r="O221" s="138">
        <f t="shared" ca="1" si="104"/>
        <v>9.1431489659982226E-2</v>
      </c>
      <c r="P221" s="138">
        <f t="shared" ca="1" si="104"/>
        <v>9.0440705969105403E-2</v>
      </c>
      <c r="Q221" s="138">
        <f t="shared" ca="1" si="104"/>
        <v>8.9573908332774732E-2</v>
      </c>
      <c r="R221" s="138">
        <f t="shared" ca="1" si="104"/>
        <v>8.8788990433523285E-2</v>
      </c>
      <c r="S221" s="138">
        <f t="shared" ca="1" si="104"/>
        <v>8.80567516942585E-2</v>
      </c>
      <c r="T221" s="126" t="s">
        <v>48</v>
      </c>
    </row>
    <row r="222" spans="4:21" outlineLevel="1">
      <c r="I222" s="152"/>
      <c r="J222" s="152"/>
      <c r="K222" s="307"/>
      <c r="L222" s="152"/>
      <c r="T222" s="126" t="s">
        <v>48</v>
      </c>
    </row>
    <row r="223" spans="4:21" outlineLevel="1">
      <c r="D223" s="149" t="s">
        <v>223</v>
      </c>
      <c r="F223" s="308">
        <v>0.93360836083608356</v>
      </c>
      <c r="G223" s="252"/>
      <c r="I223" s="155">
        <v>-26.294</v>
      </c>
      <c r="J223" s="155">
        <v>-31.905999999999999</v>
      </c>
      <c r="K223" s="223">
        <v>-52.578000000000003</v>
      </c>
      <c r="L223" s="141">
        <f t="shared" ref="L223:S223" si="105">-L225*L95</f>
        <v>-46.447429459008013</v>
      </c>
      <c r="M223" s="141">
        <f t="shared" si="105"/>
        <v>-46.304812248414407</v>
      </c>
      <c r="N223" s="141">
        <f t="shared" si="105"/>
        <v>-45.996113500091745</v>
      </c>
      <c r="O223" s="141">
        <f t="shared" si="105"/>
        <v>-44.921841855928584</v>
      </c>
      <c r="P223" s="141">
        <f t="shared" si="105"/>
        <v>-43.471791225432113</v>
      </c>
      <c r="Q223" s="141">
        <f t="shared" si="105"/>
        <v>-41.598616481572073</v>
      </c>
      <c r="R223" s="141">
        <f t="shared" si="105"/>
        <v>-39.250185496567006</v>
      </c>
      <c r="S223" s="141">
        <f t="shared" si="105"/>
        <v>-36.36914095290151</v>
      </c>
      <c r="T223" s="126" t="s">
        <v>48</v>
      </c>
      <c r="U223" s="149"/>
    </row>
    <row r="224" spans="4:21" outlineLevel="1">
      <c r="D224" s="135" t="s">
        <v>71</v>
      </c>
      <c r="I224" s="160">
        <f>-I223/I$21</f>
        <v>8.9728364728364728E-3</v>
      </c>
      <c r="J224" s="160">
        <f>-J223/J$21</f>
        <v>7.5166678446062151E-3</v>
      </c>
      <c r="K224" s="306">
        <f>-K223/K$21</f>
        <v>9.4220740820386006E-3</v>
      </c>
      <c r="L224" s="138">
        <f t="shared" ref="L224:S224" si="106">-L223/L$21</f>
        <v>6.7057780514058448E-3</v>
      </c>
      <c r="M224" s="138">
        <f t="shared" si="106"/>
        <v>5.6080555793161903E-3</v>
      </c>
      <c r="N224" s="138">
        <f t="shared" si="106"/>
        <v>4.8135543109704406E-3</v>
      </c>
      <c r="O224" s="138">
        <f t="shared" si="106"/>
        <v>4.1664829883216363E-3</v>
      </c>
      <c r="P224" s="138">
        <f t="shared" si="106"/>
        <v>3.6324689887970107E-3</v>
      </c>
      <c r="Q224" s="138">
        <f t="shared" si="106"/>
        <v>3.1743189325610438E-3</v>
      </c>
      <c r="R224" s="138">
        <f t="shared" si="106"/>
        <v>2.7671679898894552E-3</v>
      </c>
      <c r="S224" s="138">
        <f t="shared" si="106"/>
        <v>2.3932801505373905E-3</v>
      </c>
      <c r="T224" s="126" t="s">
        <v>48</v>
      </c>
    </row>
    <row r="225" spans="1:21" outlineLevel="1">
      <c r="D225" t="s">
        <v>224</v>
      </c>
      <c r="I225" s="600">
        <f>-I223/I95</f>
        <v>0.16537106918238995</v>
      </c>
      <c r="J225" s="600">
        <f>-J223/J95</f>
        <v>0.14307623318385651</v>
      </c>
      <c r="K225" s="601">
        <f>-K223/K95</f>
        <v>0.12548448687350836</v>
      </c>
      <c r="L225" s="600">
        <f>K225*(1+L13+L14)</f>
        <v>0.13270694131145147</v>
      </c>
      <c r="M225" s="600">
        <f t="shared" ref="M225:S225" si="107">L225*(1+M13+M14)</f>
        <v>0.14291608718646423</v>
      </c>
      <c r="N225" s="600">
        <f t="shared" si="107"/>
        <v>0.1543493741613817</v>
      </c>
      <c r="O225" s="600">
        <f t="shared" si="107"/>
        <v>0.16515383035267861</v>
      </c>
      <c r="P225" s="600">
        <f t="shared" si="107"/>
        <v>0.17671459847736631</v>
      </c>
      <c r="Q225" s="600">
        <f t="shared" si="107"/>
        <v>0.18908462037078216</v>
      </c>
      <c r="R225" s="600">
        <f t="shared" si="107"/>
        <v>0.20232054379673714</v>
      </c>
      <c r="S225" s="600">
        <f t="shared" si="107"/>
        <v>0.21648298186250897</v>
      </c>
      <c r="T225" s="126" t="s">
        <v>48</v>
      </c>
    </row>
    <row r="226" spans="1:21" outlineLevel="1">
      <c r="D226" s="135" t="s">
        <v>219</v>
      </c>
      <c r="I226" s="160">
        <f>I223/I$204</f>
        <v>1.302715021799445E-2</v>
      </c>
      <c r="J226" s="160">
        <f>J223/J$204</f>
        <v>1.2591657129326334E-2</v>
      </c>
      <c r="K226" s="306">
        <f>K223/K$204</f>
        <v>1.6091693701413969E-2</v>
      </c>
      <c r="L226" s="138">
        <f t="shared" ref="L226:S226" si="108">L223/L$204</f>
        <v>1.2511297577164378E-2</v>
      </c>
      <c r="M226" s="138">
        <f t="shared" ca="1" si="108"/>
        <v>1.0283078638575555E-2</v>
      </c>
      <c r="N226" s="138">
        <f t="shared" ca="1" si="108"/>
        <v>8.7022785641711828E-3</v>
      </c>
      <c r="O226" s="138">
        <f t="shared" ca="1" si="108"/>
        <v>7.4365024213169529E-3</v>
      </c>
      <c r="P226" s="138">
        <f t="shared" ca="1" si="108"/>
        <v>6.4131171618628637E-3</v>
      </c>
      <c r="Q226" s="138">
        <f t="shared" ca="1" si="108"/>
        <v>5.5505420667499739E-3</v>
      </c>
      <c r="R226" s="138">
        <f t="shared" ca="1" si="108"/>
        <v>4.7962074375533757E-3</v>
      </c>
      <c r="S226" s="138">
        <f t="shared" ca="1" si="108"/>
        <v>4.1139547905218741E-3</v>
      </c>
      <c r="T226" s="126" t="s">
        <v>48</v>
      </c>
    </row>
    <row r="227" spans="1:21" outlineLevel="1">
      <c r="I227" s="152"/>
      <c r="J227" s="152"/>
      <c r="K227" s="307"/>
      <c r="L227" s="152"/>
      <c r="T227" s="126" t="s">
        <v>48</v>
      </c>
    </row>
    <row r="228" spans="1:21" outlineLevel="1">
      <c r="D228" s="149" t="s">
        <v>225</v>
      </c>
      <c r="I228" s="155">
        <v>-113.556</v>
      </c>
      <c r="J228" s="155">
        <v>-124.16500000000001</v>
      </c>
      <c r="K228" s="223">
        <v>-160.41900000000001</v>
      </c>
      <c r="L228" s="141">
        <f>L229*-L21</f>
        <v>-223.37934676638807</v>
      </c>
      <c r="M228" s="141">
        <f t="shared" ref="M228:S228" ca="1" si="109">M229*-M21</f>
        <v>-231.00375273734505</v>
      </c>
      <c r="N228" s="141">
        <f t="shared" ca="1" si="109"/>
        <v>-240.24390284683918</v>
      </c>
      <c r="O228" s="141">
        <f t="shared" ca="1" si="109"/>
        <v>-248.65243944647867</v>
      </c>
      <c r="P228" s="141">
        <f t="shared" ca="1" si="109"/>
        <v>-257.35527482710557</v>
      </c>
      <c r="Q228" s="141">
        <f t="shared" ca="1" si="109"/>
        <v>-266.3627094460544</v>
      </c>
      <c r="R228" s="141">
        <f t="shared" ca="1" si="109"/>
        <v>-275.68540427666647</v>
      </c>
      <c r="S228" s="141">
        <f t="shared" ca="1" si="109"/>
        <v>-285.33439342634995</v>
      </c>
      <c r="T228" s="126" t="s">
        <v>48</v>
      </c>
      <c r="U228" s="149"/>
    </row>
    <row r="229" spans="1:21" outlineLevel="1">
      <c r="D229" s="135" t="s">
        <v>71</v>
      </c>
      <c r="I229" s="160">
        <f>-I228/I$21</f>
        <v>3.8751023751023746E-2</v>
      </c>
      <c r="J229" s="160">
        <f>-J228/J$21</f>
        <v>2.9251772799019957E-2</v>
      </c>
      <c r="K229" s="306">
        <f>-K228/K$21</f>
        <v>2.8747379173162734E-2</v>
      </c>
      <c r="L229" s="138">
        <f>AVERAGE(I229:K229)</f>
        <v>3.2250058574402149E-2</v>
      </c>
      <c r="M229" s="138">
        <f t="shared" ref="M229:S229" ca="1" si="110">-M228/M$21</f>
        <v>2.7977262437253618E-2</v>
      </c>
      <c r="N229" s="138">
        <f t="shared" ca="1" si="110"/>
        <v>2.5141843217480971E-2</v>
      </c>
      <c r="O229" s="138">
        <f t="shared" ca="1" si="110"/>
        <v>2.3062414989150799E-2</v>
      </c>
      <c r="P229" s="138">
        <f t="shared" ca="1" si="110"/>
        <v>2.1504406157662317E-2</v>
      </c>
      <c r="Q229" s="138">
        <f t="shared" ca="1" si="110"/>
        <v>2.0325680588377908E-2</v>
      </c>
      <c r="R229" s="138">
        <f t="shared" ca="1" si="110"/>
        <v>1.9436031100052986E-2</v>
      </c>
      <c r="S229" s="138">
        <f t="shared" ca="1" si="110"/>
        <v>1.8776499036291631E-2</v>
      </c>
      <c r="T229" s="126" t="s">
        <v>48</v>
      </c>
    </row>
    <row r="230" spans="1:21" outlineLevel="1">
      <c r="D230" s="135" t="s">
        <v>219</v>
      </c>
      <c r="I230" s="160">
        <f>I228/I$204</f>
        <v>5.6260404280618306E-2</v>
      </c>
      <c r="J230" s="160">
        <f>J228/J$204</f>
        <v>4.9001539129405268E-2</v>
      </c>
      <c r="K230" s="306">
        <f>K228/K$204</f>
        <v>4.9096835404296997E-2</v>
      </c>
      <c r="L230" s="138">
        <f t="shared" ref="L230:S230" si="111">L228/L$204</f>
        <v>6.0170509165709186E-2</v>
      </c>
      <c r="M230" s="138">
        <f t="shared" ca="1" si="111"/>
        <v>5.1299846384444049E-2</v>
      </c>
      <c r="N230" s="138">
        <f t="shared" ca="1" si="111"/>
        <v>4.545317434075604E-2</v>
      </c>
      <c r="O230" s="138">
        <f t="shared" ca="1" si="111"/>
        <v>4.1162703745328939E-2</v>
      </c>
      <c r="P230" s="138">
        <f t="shared" ca="1" si="111"/>
        <v>3.7965988590874744E-2</v>
      </c>
      <c r="Q230" s="138">
        <f t="shared" ca="1" si="111"/>
        <v>3.5541023929215841E-2</v>
      </c>
      <c r="R230" s="138">
        <f t="shared" ca="1" si="111"/>
        <v>3.368759585944648E-2</v>
      </c>
      <c r="S230" s="138">
        <f t="shared" ca="1" si="111"/>
        <v>3.2276066026886346E-2</v>
      </c>
      <c r="T230" s="126" t="s">
        <v>48</v>
      </c>
    </row>
    <row r="231" spans="1:21" outlineLevel="1">
      <c r="I231" s="152"/>
      <c r="J231" s="152"/>
      <c r="K231" s="307"/>
      <c r="L231" s="152"/>
      <c r="T231" s="126" t="s">
        <v>48</v>
      </c>
    </row>
    <row r="232" spans="1:21" outlineLevel="1">
      <c r="D232" s="149" t="s">
        <v>226</v>
      </c>
      <c r="F232" s="308">
        <v>0.93360836083608356</v>
      </c>
      <c r="I232" s="155">
        <v>-77.367000000000004</v>
      </c>
      <c r="J232" s="155">
        <v>-108.949</v>
      </c>
      <c r="K232" s="223">
        <v>-166.833</v>
      </c>
      <c r="L232" s="141">
        <f t="shared" ref="L232:S232" si="112">-L233*L21</f>
        <v>-207.07941084845655</v>
      </c>
      <c r="M232" s="141">
        <f t="shared" si="112"/>
        <v>-246.8528981664893</v>
      </c>
      <c r="N232" s="141">
        <f t="shared" si="112"/>
        <v>-285.67989172021333</v>
      </c>
      <c r="O232" s="141">
        <f t="shared" si="112"/>
        <v>-322.33862837843492</v>
      </c>
      <c r="P232" s="141">
        <f t="shared" si="112"/>
        <v>-357.79151076301719</v>
      </c>
      <c r="Q232" s="141">
        <f t="shared" si="112"/>
        <v>-391.78945184336658</v>
      </c>
      <c r="R232" s="141">
        <f t="shared" si="112"/>
        <v>-424.063213708467</v>
      </c>
      <c r="S232" s="141">
        <f t="shared" si="112"/>
        <v>-454.32215541827094</v>
      </c>
      <c r="T232" s="126" t="s">
        <v>48</v>
      </c>
    </row>
    <row r="233" spans="1:21" outlineLevel="1">
      <c r="D233" s="135" t="s">
        <v>71</v>
      </c>
      <c r="I233" s="160">
        <f>-I232/I$21</f>
        <v>2.6401515151515152E-2</v>
      </c>
      <c r="J233" s="160">
        <f>-J232/J$21</f>
        <v>2.5667067166113035E-2</v>
      </c>
      <c r="K233" s="306">
        <f>-K232/K$21</f>
        <v>2.9896779743024567E-2</v>
      </c>
      <c r="L233" s="138">
        <f>K233</f>
        <v>2.9896779743024567E-2</v>
      </c>
      <c r="M233" s="138">
        <f t="shared" ref="M233:S233" si="113">L233</f>
        <v>2.9896779743024567E-2</v>
      </c>
      <c r="N233" s="138">
        <f t="shared" si="113"/>
        <v>2.9896779743024567E-2</v>
      </c>
      <c r="O233" s="138">
        <f t="shared" si="113"/>
        <v>2.9896779743024567E-2</v>
      </c>
      <c r="P233" s="138">
        <f t="shared" si="113"/>
        <v>2.9896779743024567E-2</v>
      </c>
      <c r="Q233" s="138">
        <f t="shared" si="113"/>
        <v>2.9896779743024567E-2</v>
      </c>
      <c r="R233" s="138">
        <f t="shared" si="113"/>
        <v>2.9896779743024567E-2</v>
      </c>
      <c r="S233" s="138">
        <f t="shared" si="113"/>
        <v>2.9896779743024567E-2</v>
      </c>
      <c r="T233" s="126" t="s">
        <v>48</v>
      </c>
    </row>
    <row r="234" spans="1:21" outlineLevel="1">
      <c r="D234" s="135" t="s">
        <v>219</v>
      </c>
      <c r="I234" s="160">
        <f>I232/I$204</f>
        <v>3.8330856123662306E-2</v>
      </c>
      <c r="J234" s="160">
        <f>J232/J$204</f>
        <v>4.2996566557480562E-2</v>
      </c>
      <c r="K234" s="306">
        <f>K232/K$204</f>
        <v>5.1059864112138087E-2</v>
      </c>
      <c r="L234" s="138">
        <f t="shared" ref="L234:S234" si="114">L232/L$204</f>
        <v>5.5779881931150778E-2</v>
      </c>
      <c r="M234" s="138">
        <f t="shared" ca="1" si="114"/>
        <v>5.4819523949008436E-2</v>
      </c>
      <c r="N234" s="138">
        <f t="shared" ca="1" si="114"/>
        <v>5.4049479591935484E-2</v>
      </c>
      <c r="O234" s="138">
        <f t="shared" ca="1" si="114"/>
        <v>5.3360946287732455E-2</v>
      </c>
      <c r="P234" s="138">
        <f t="shared" ca="1" si="114"/>
        <v>5.2782708357799878E-2</v>
      </c>
      <c r="Q234" s="138">
        <f t="shared" ca="1" si="114"/>
        <v>5.2276830762601756E-2</v>
      </c>
      <c r="R234" s="138">
        <f t="shared" ca="1" si="114"/>
        <v>5.1818739551160321E-2</v>
      </c>
      <c r="S234" s="138">
        <f t="shared" ca="1" si="114"/>
        <v>5.1391392778390776E-2</v>
      </c>
      <c r="T234" s="126" t="s">
        <v>48</v>
      </c>
    </row>
    <row r="235" spans="1:21" outlineLevel="1">
      <c r="D235" s="310"/>
      <c r="I235" s="152"/>
      <c r="J235" s="152"/>
      <c r="K235" s="307"/>
      <c r="L235" s="152"/>
      <c r="T235" s="126" t="s">
        <v>48</v>
      </c>
    </row>
    <row r="236" spans="1:21" outlineLevel="1">
      <c r="D236" s="149" t="s">
        <v>97</v>
      </c>
      <c r="I236" s="155">
        <v>-31.106000000000002</v>
      </c>
      <c r="J236" s="155">
        <v>-45.377000000000002</v>
      </c>
      <c r="K236" s="223">
        <v>-65.522000000000006</v>
      </c>
      <c r="L236" s="141">
        <f t="shared" ref="L236:S236" si="115">K236*(1+L13)</f>
        <v>-68.588767337511442</v>
      </c>
      <c r="M236" s="141">
        <f t="shared" si="115"/>
        <v>-71.524223068797966</v>
      </c>
      <c r="N236" s="141">
        <f t="shared" si="115"/>
        <v>-74.385191991549945</v>
      </c>
      <c r="O236" s="141">
        <f t="shared" si="115"/>
        <v>-76.988673711254236</v>
      </c>
      <c r="P236" s="141">
        <f t="shared" si="115"/>
        <v>-79.683277291148187</v>
      </c>
      <c r="Q236" s="141">
        <f t="shared" si="115"/>
        <v>-82.472191996338424</v>
      </c>
      <c r="R236" s="141">
        <f t="shared" si="115"/>
        <v>-85.358718716210319</v>
      </c>
      <c r="S236" s="141">
        <f t="shared" si="115"/>
        <v>-88.346273871277731</v>
      </c>
      <c r="T236" s="126" t="s">
        <v>48</v>
      </c>
    </row>
    <row r="237" spans="1:21" outlineLevel="1">
      <c r="D237" s="135" t="s">
        <v>71</v>
      </c>
      <c r="I237" s="160">
        <f>-I236/I$21</f>
        <v>1.0614933114933115E-2</v>
      </c>
      <c r="J237" s="160">
        <f>-J236/J$21</f>
        <v>1.0690272575211442E-2</v>
      </c>
      <c r="K237" s="306">
        <f>-K236/K$21</f>
        <v>1.174166263462538E-2</v>
      </c>
      <c r="L237" s="160">
        <f t="shared" ref="L237:S237" si="116">-L236/L$21</f>
        <v>9.9024005406108725E-3</v>
      </c>
      <c r="M237" s="160">
        <f t="shared" si="116"/>
        <v>8.6624218684951751E-3</v>
      </c>
      <c r="N237" s="160">
        <f t="shared" si="116"/>
        <v>7.7845090451517168E-3</v>
      </c>
      <c r="O237" s="160">
        <f t="shared" si="116"/>
        <v>7.1406689053434679E-3</v>
      </c>
      <c r="P237" s="160">
        <f t="shared" si="116"/>
        <v>6.6582725378124038E-3</v>
      </c>
      <c r="Q237" s="160">
        <f t="shared" si="116"/>
        <v>6.29331123499646E-3</v>
      </c>
      <c r="R237" s="160">
        <f t="shared" si="116"/>
        <v>6.0178547209702839E-3</v>
      </c>
      <c r="S237" s="160">
        <f t="shared" si="116"/>
        <v>5.8136480018563851E-3</v>
      </c>
      <c r="T237" s="126" t="s">
        <v>48</v>
      </c>
    </row>
    <row r="238" spans="1:21" outlineLevel="1">
      <c r="D238" s="135" t="s">
        <v>219</v>
      </c>
      <c r="I238" s="160">
        <f>I236/I$204</f>
        <v>1.5411216805390409E-2</v>
      </c>
      <c r="J238" s="160">
        <f>J236/J$204</f>
        <v>1.7907967954536485E-2</v>
      </c>
      <c r="K238" s="306">
        <f>K236/K$204</f>
        <v>2.0053253351288488E-2</v>
      </c>
      <c r="L238" s="138">
        <f t="shared" ref="L238:S238" si="117">L236/L$204</f>
        <v>1.8475392257559509E-2</v>
      </c>
      <c r="M238" s="138">
        <f t="shared" ca="1" si="117"/>
        <v>1.5883645233971427E-2</v>
      </c>
      <c r="N238" s="138">
        <f t="shared" ca="1" si="117"/>
        <v>1.4073377346512806E-2</v>
      </c>
      <c r="O238" s="138">
        <f t="shared" ca="1" si="117"/>
        <v>1.274494621800917E-2</v>
      </c>
      <c r="P238" s="138">
        <f t="shared" ca="1" si="117"/>
        <v>1.1755167631794778E-2</v>
      </c>
      <c r="Q238" s="138">
        <f t="shared" ca="1" si="117"/>
        <v>1.1004341243308995E-2</v>
      </c>
      <c r="R238" s="138">
        <f t="shared" ca="1" si="117"/>
        <v>1.0430476095521184E-2</v>
      </c>
      <c r="S238" s="138">
        <f t="shared" ca="1" si="117"/>
        <v>9.9934330890074103E-3</v>
      </c>
      <c r="T238" s="126" t="s">
        <v>48</v>
      </c>
    </row>
    <row r="239" spans="1:21">
      <c r="D239" s="310"/>
      <c r="K239" s="207"/>
      <c r="T239" s="126" t="s">
        <v>48</v>
      </c>
    </row>
    <row r="240" spans="1:21">
      <c r="A240" s="212" t="s">
        <v>56</v>
      </c>
      <c r="B240" s="212">
        <v>3</v>
      </c>
      <c r="C240" s="212"/>
      <c r="D240" s="212" t="s">
        <v>227</v>
      </c>
      <c r="E240" s="212"/>
      <c r="F240" s="212"/>
      <c r="G240" s="212"/>
      <c r="H240" s="212"/>
      <c r="I240" s="124"/>
      <c r="J240" s="124"/>
      <c r="K240" s="124"/>
      <c r="L240" s="590"/>
      <c r="M240" s="590"/>
      <c r="N240" s="590"/>
      <c r="O240" s="590"/>
      <c r="P240" s="590"/>
      <c r="Q240" s="590"/>
      <c r="R240" s="590"/>
      <c r="S240" s="590"/>
      <c r="T240" s="126" t="s">
        <v>48</v>
      </c>
    </row>
    <row r="241" spans="4:21">
      <c r="K241" s="207"/>
      <c r="T241" s="126" t="s">
        <v>48</v>
      </c>
    </row>
    <row r="242" spans="4:21">
      <c r="D242" s="301" t="s">
        <v>228</v>
      </c>
      <c r="E242" s="237"/>
      <c r="F242" s="239"/>
      <c r="G242" s="239"/>
      <c r="H242" s="239"/>
      <c r="I242" s="302">
        <f>'Model '!G42</f>
        <v>-653.20000000000005</v>
      </c>
      <c r="J242" s="302">
        <f>'Model '!H42</f>
        <v>-664.9</v>
      </c>
      <c r="K242" s="303">
        <f>'Model '!I42</f>
        <v>-1050.0999999999999</v>
      </c>
      <c r="L242" s="304">
        <f>SUM(L245,L249,L253,L257,L261,L266,L270,L274,L278,L282,L286)</f>
        <v>-1322.165346019563</v>
      </c>
      <c r="M242" s="304">
        <f t="shared" ref="M242:S242" si="118">SUM(M245,M249,M253,M257,M261,M266,M270,M274,M278,M282,M286)</f>
        <v>-1561.4204186418513</v>
      </c>
      <c r="N242" s="304">
        <f t="shared" si="118"/>
        <v>-1794.9940033483156</v>
      </c>
      <c r="O242" s="304">
        <f t="shared" si="118"/>
        <v>-2015.460998785705</v>
      </c>
      <c r="P242" s="304">
        <f t="shared" si="118"/>
        <v>-2228.8211781698046</v>
      </c>
      <c r="Q242" s="304">
        <f t="shared" si="118"/>
        <v>-2433.5909574986863</v>
      </c>
      <c r="R242" s="304">
        <f t="shared" si="118"/>
        <v>-2628.1665465216406</v>
      </c>
      <c r="S242" s="304">
        <f t="shared" si="118"/>
        <v>-2810.8164745495314</v>
      </c>
      <c r="T242" s="126" t="s">
        <v>48</v>
      </c>
    </row>
    <row r="243" spans="4:21" outlineLevel="1">
      <c r="D243" s="135" t="s">
        <v>71</v>
      </c>
      <c r="I243" s="311">
        <f t="shared" ref="I243:S243" si="119">-I242/I21</f>
        <v>0.22290472290472291</v>
      </c>
      <c r="J243" s="311">
        <f t="shared" si="119"/>
        <v>0.15664240111197494</v>
      </c>
      <c r="K243" s="305">
        <f t="shared" si="119"/>
        <v>0.18817984696163287</v>
      </c>
      <c r="L243" s="312">
        <f t="shared" si="119"/>
        <v>0.19088564127089491</v>
      </c>
      <c r="M243" s="311">
        <f t="shared" si="119"/>
        <v>0.18910631671382064</v>
      </c>
      <c r="N243" s="311">
        <f t="shared" si="119"/>
        <v>0.18784850426473837</v>
      </c>
      <c r="O243" s="311">
        <f t="shared" si="119"/>
        <v>0.18693320705767374</v>
      </c>
      <c r="P243" s="311">
        <f t="shared" si="119"/>
        <v>0.18623856029515048</v>
      </c>
      <c r="Q243" s="311">
        <f t="shared" si="119"/>
        <v>0.1857031436110276</v>
      </c>
      <c r="R243" s="311">
        <f t="shared" si="119"/>
        <v>0.18528774444312096</v>
      </c>
      <c r="S243" s="311">
        <f t="shared" si="119"/>
        <v>0.18496646055111723</v>
      </c>
      <c r="T243" s="126" t="s">
        <v>48</v>
      </c>
    </row>
    <row r="244" spans="4:21" outlineLevel="1">
      <c r="D244" s="135"/>
      <c r="K244" s="207"/>
      <c r="L244" s="313"/>
      <c r="M244" s="313"/>
      <c r="N244" s="313"/>
      <c r="O244" s="313"/>
      <c r="P244" s="313"/>
      <c r="T244" s="126" t="s">
        <v>48</v>
      </c>
    </row>
    <row r="245" spans="4:21" outlineLevel="1">
      <c r="D245" s="149" t="s">
        <v>218</v>
      </c>
      <c r="I245" s="155">
        <v>-198.827</v>
      </c>
      <c r="J245" s="155">
        <v>-250.21799999999999</v>
      </c>
      <c r="K245" s="223">
        <v>-327.267</v>
      </c>
      <c r="L245" s="141">
        <f>-L246*L21</f>
        <v>-406.21614159154262</v>
      </c>
      <c r="M245" s="141">
        <f t="shared" ref="M245:S245" si="120">-M246*M21</f>
        <v>-484.23757544522039</v>
      </c>
      <c r="N245" s="141">
        <f t="shared" si="120"/>
        <v>-560.40232522102372</v>
      </c>
      <c r="O245" s="141">
        <f t="shared" si="120"/>
        <v>-632.31372626234179</v>
      </c>
      <c r="P245" s="141">
        <f t="shared" si="120"/>
        <v>-701.859670166456</v>
      </c>
      <c r="Q245" s="141">
        <f t="shared" si="120"/>
        <v>-768.55153678482702</v>
      </c>
      <c r="R245" s="141">
        <f t="shared" si="120"/>
        <v>-831.86117710961776</v>
      </c>
      <c r="S245" s="141">
        <f t="shared" si="120"/>
        <v>-891.21845700353811</v>
      </c>
      <c r="T245" s="126" t="s">
        <v>48</v>
      </c>
    </row>
    <row r="246" spans="4:21" outlineLevel="1">
      <c r="D246" s="135" t="s">
        <v>71</v>
      </c>
      <c r="I246" s="160">
        <f>-I245/I$21</f>
        <v>6.7849781599781597E-2</v>
      </c>
      <c r="J246" s="160">
        <f>-J245/J$21</f>
        <v>5.8948335571418473E-2</v>
      </c>
      <c r="K246" s="306">
        <f>-K245/K$21</f>
        <v>5.8646846943712701E-2</v>
      </c>
      <c r="L246" s="160">
        <f>K246</f>
        <v>5.8646846943712701E-2</v>
      </c>
      <c r="M246" s="160">
        <f t="shared" ref="M246:S246" si="121">L246</f>
        <v>5.8646846943712701E-2</v>
      </c>
      <c r="N246" s="160">
        <f t="shared" si="121"/>
        <v>5.8646846943712701E-2</v>
      </c>
      <c r="O246" s="160">
        <f t="shared" si="121"/>
        <v>5.8646846943712701E-2</v>
      </c>
      <c r="P246" s="160">
        <f t="shared" si="121"/>
        <v>5.8646846943712701E-2</v>
      </c>
      <c r="Q246" s="160">
        <f t="shared" si="121"/>
        <v>5.8646846943712701E-2</v>
      </c>
      <c r="R246" s="160">
        <f t="shared" si="121"/>
        <v>5.8646846943712701E-2</v>
      </c>
      <c r="S246" s="160">
        <f t="shared" si="121"/>
        <v>5.8646846943712701E-2</v>
      </c>
      <c r="T246" s="126" t="s">
        <v>48</v>
      </c>
    </row>
    <row r="247" spans="4:21" outlineLevel="1">
      <c r="D247" s="135" t="s">
        <v>229</v>
      </c>
      <c r="I247" s="160">
        <f>I245/I$242</f>
        <v>0.30438916105327618</v>
      </c>
      <c r="J247" s="160">
        <f>J245/J$242</f>
        <v>0.37632425928711083</v>
      </c>
      <c r="K247" s="306">
        <f>K245/K$242</f>
        <v>0.31165317588801067</v>
      </c>
      <c r="L247" s="160">
        <f t="shared" ref="L247:S247" si="122">L245/L$242</f>
        <v>0.30723550788445197</v>
      </c>
      <c r="M247" s="160">
        <f t="shared" si="122"/>
        <v>0.3101263245080515</v>
      </c>
      <c r="N247" s="160">
        <f t="shared" si="122"/>
        <v>0.31220289548358932</v>
      </c>
      <c r="O247" s="160">
        <f t="shared" si="122"/>
        <v>0.3137315614855879</v>
      </c>
      <c r="P247" s="160">
        <f t="shared" si="122"/>
        <v>0.31490174135135762</v>
      </c>
      <c r="Q247" s="160">
        <f t="shared" si="122"/>
        <v>0.31580966161000451</v>
      </c>
      <c r="R247" s="160">
        <f t="shared" si="122"/>
        <v>0.31651767967695199</v>
      </c>
      <c r="S247" s="160">
        <f t="shared" si="122"/>
        <v>0.31706746600962876</v>
      </c>
      <c r="T247" s="126" t="s">
        <v>48</v>
      </c>
    </row>
    <row r="248" spans="4:21" outlineLevel="1">
      <c r="D248" s="135"/>
      <c r="I248" s="152"/>
      <c r="J248" s="152"/>
      <c r="K248" s="307"/>
      <c r="L248" s="152"/>
      <c r="M248" s="313"/>
      <c r="N248" s="314"/>
      <c r="O248" s="314"/>
      <c r="P248" s="314"/>
      <c r="Q248" s="314"/>
      <c r="T248" s="126" t="s">
        <v>48</v>
      </c>
    </row>
    <row r="249" spans="4:21" outlineLevel="1">
      <c r="D249" s="149" t="s">
        <v>220</v>
      </c>
      <c r="F249" s="308">
        <f>-K249/'Model '!I72</f>
        <v>2.1420378106634566E-2</v>
      </c>
      <c r="I249" s="155">
        <v>-22.623999999999999</v>
      </c>
      <c r="J249" s="155">
        <v>-25.23</v>
      </c>
      <c r="K249" s="223">
        <v>-30.251999999999999</v>
      </c>
      <c r="L249" s="141">
        <f>(L341)*$F$249</f>
        <v>-27.554112692309065</v>
      </c>
      <c r="M249" s="141">
        <f t="shared" ref="M249:S249" si="123">(M341)*$F$249</f>
        <v>-35.781157351379875</v>
      </c>
      <c r="N249" s="141">
        <f t="shared" si="123"/>
        <v>-44.015315235535233</v>
      </c>
      <c r="O249" s="141">
        <f t="shared" si="123"/>
        <v>-52.180102671298876</v>
      </c>
      <c r="P249" s="141">
        <f t="shared" si="123"/>
        <v>-60.235396872491648</v>
      </c>
      <c r="Q249" s="141">
        <f t="shared" si="123"/>
        <v>-68.137470136302753</v>
      </c>
      <c r="R249" s="141">
        <f t="shared" si="123"/>
        <v>-75.838755804024572</v>
      </c>
      <c r="S249" s="141">
        <f t="shared" si="123"/>
        <v>-83.287601175468964</v>
      </c>
      <c r="T249" s="126" t="s">
        <v>48</v>
      </c>
      <c r="U249" s="149"/>
    </row>
    <row r="250" spans="4:21" outlineLevel="1">
      <c r="D250" s="135" t="s">
        <v>71</v>
      </c>
      <c r="I250" s="160">
        <f>-I249/I$21</f>
        <v>7.7204477204477198E-3</v>
      </c>
      <c r="J250" s="160">
        <f>-J249/J$21</f>
        <v>5.943882959926497E-3</v>
      </c>
      <c r="K250" s="306">
        <f>-K249/K$21</f>
        <v>5.4212139132304715E-3</v>
      </c>
      <c r="L250" s="160">
        <f>K250</f>
        <v>5.4212139132304715E-3</v>
      </c>
      <c r="M250" s="160">
        <f t="shared" ref="M250:S250" si="124">L250</f>
        <v>5.4212139132304715E-3</v>
      </c>
      <c r="N250" s="160">
        <f t="shared" si="124"/>
        <v>5.4212139132304715E-3</v>
      </c>
      <c r="O250" s="160">
        <f t="shared" si="124"/>
        <v>5.4212139132304715E-3</v>
      </c>
      <c r="P250" s="160">
        <f t="shared" si="124"/>
        <v>5.4212139132304715E-3</v>
      </c>
      <c r="Q250" s="160">
        <f t="shared" si="124"/>
        <v>5.4212139132304715E-3</v>
      </c>
      <c r="R250" s="160">
        <f t="shared" si="124"/>
        <v>5.4212139132304715E-3</v>
      </c>
      <c r="S250" s="160">
        <f t="shared" si="124"/>
        <v>5.4212139132304715E-3</v>
      </c>
      <c r="T250" s="126" t="s">
        <v>48</v>
      </c>
    </row>
    <row r="251" spans="4:21" outlineLevel="1">
      <c r="D251" s="135" t="s">
        <v>229</v>
      </c>
      <c r="I251" s="160">
        <f>I249/I$242</f>
        <v>3.463563992651561E-2</v>
      </c>
      <c r="J251" s="160">
        <f>J249/J$242</f>
        <v>3.7945555722665066E-2</v>
      </c>
      <c r="K251" s="306">
        <f>K249/K$242</f>
        <v>2.8808684887153605E-2</v>
      </c>
      <c r="L251" s="160">
        <f t="shared" ref="L251:S251" si="125">L249/L$242</f>
        <v>2.0840141344849142E-2</v>
      </c>
      <c r="M251" s="160">
        <f t="shared" si="125"/>
        <v>2.2915773947994676E-2</v>
      </c>
      <c r="N251" s="160">
        <f t="shared" si="125"/>
        <v>2.4521148902687525E-2</v>
      </c>
      <c r="O251" s="160">
        <f t="shared" si="125"/>
        <v>2.5889909406699937E-2</v>
      </c>
      <c r="P251" s="160">
        <f t="shared" si="125"/>
        <v>2.7025675035066705E-2</v>
      </c>
      <c r="Q251" s="160">
        <f t="shared" si="125"/>
        <v>2.7998735747414336E-2</v>
      </c>
      <c r="R251" s="160">
        <f t="shared" si="125"/>
        <v>2.8856145324730891E-2</v>
      </c>
      <c r="S251" s="160">
        <f t="shared" si="125"/>
        <v>2.9631106096607338E-2</v>
      </c>
      <c r="T251" s="126" t="s">
        <v>48</v>
      </c>
    </row>
    <row r="252" spans="4:21" outlineLevel="1">
      <c r="D252" s="135"/>
      <c r="I252" s="152"/>
      <c r="J252" s="152"/>
      <c r="K252" s="307"/>
      <c r="L252" s="152"/>
      <c r="M252" s="313"/>
      <c r="N252" s="314"/>
      <c r="O252" s="314"/>
      <c r="P252" s="314"/>
      <c r="Q252" s="314"/>
      <c r="T252" s="126" t="s">
        <v>48</v>
      </c>
    </row>
    <row r="253" spans="4:21" outlineLevel="1">
      <c r="D253" s="149" t="s">
        <v>221</v>
      </c>
      <c r="I253" s="155">
        <v>-12.393000000000001</v>
      </c>
      <c r="J253" s="155">
        <v>-14.099</v>
      </c>
      <c r="K253" s="223">
        <v>-2.5979999999999999</v>
      </c>
      <c r="L253" s="141">
        <f>-L254*L$21</f>
        <v>-13.115704239127718</v>
      </c>
      <c r="M253" s="141">
        <f t="shared" ref="M253:S253" si="126">-M254*M$21</f>
        <v>-15.634821393675594</v>
      </c>
      <c r="N253" s="141">
        <f t="shared" si="126"/>
        <v>-18.093990858465283</v>
      </c>
      <c r="O253" s="141">
        <f t="shared" si="126"/>
        <v>-20.415830320048276</v>
      </c>
      <c r="P253" s="141">
        <f t="shared" si="126"/>
        <v>-22.661295081009218</v>
      </c>
      <c r="Q253" s="141">
        <f t="shared" si="126"/>
        <v>-24.814608817619533</v>
      </c>
      <c r="R253" s="141">
        <f t="shared" si="126"/>
        <v>-26.858718918050847</v>
      </c>
      <c r="S253" s="141">
        <f t="shared" si="126"/>
        <v>-28.775217175548917</v>
      </c>
      <c r="T253" s="126" t="s">
        <v>48</v>
      </c>
    </row>
    <row r="254" spans="4:21" outlineLevel="1">
      <c r="D254" s="135" t="s">
        <v>71</v>
      </c>
      <c r="I254" s="160">
        <f>-I253/I$21</f>
        <v>4.2291154791154794E-3</v>
      </c>
      <c r="J254" s="160">
        <f>-J253/J$21</f>
        <v>3.3215539378519095E-3</v>
      </c>
      <c r="K254" s="306">
        <f>-K253/K$21</f>
        <v>4.6556636739960211E-4</v>
      </c>
      <c r="L254" s="160">
        <f>AVERAGE(J254:K254)</f>
        <v>1.8935601526257559E-3</v>
      </c>
      <c r="M254" s="160">
        <f>L254</f>
        <v>1.8935601526257559E-3</v>
      </c>
      <c r="N254" s="160">
        <f t="shared" ref="N254:S254" si="127">M254</f>
        <v>1.8935601526257559E-3</v>
      </c>
      <c r="O254" s="160">
        <f t="shared" si="127"/>
        <v>1.8935601526257559E-3</v>
      </c>
      <c r="P254" s="160">
        <f t="shared" si="127"/>
        <v>1.8935601526257559E-3</v>
      </c>
      <c r="Q254" s="160">
        <f t="shared" si="127"/>
        <v>1.8935601526257559E-3</v>
      </c>
      <c r="R254" s="160">
        <f t="shared" si="127"/>
        <v>1.8935601526257559E-3</v>
      </c>
      <c r="S254" s="160">
        <f t="shared" si="127"/>
        <v>1.8935601526257559E-3</v>
      </c>
      <c r="T254" s="126" t="s">
        <v>48</v>
      </c>
    </row>
    <row r="255" spans="4:21" outlineLevel="1">
      <c r="D255" s="135" t="s">
        <v>229</v>
      </c>
      <c r="I255" s="160">
        <f>I253/I$242</f>
        <v>1.8972749540722596E-2</v>
      </c>
      <c r="J255" s="160">
        <f>J253/J$242</f>
        <v>2.1204692434952627E-2</v>
      </c>
      <c r="K255" s="306">
        <f>K253/K$242</f>
        <v>2.4740500904675746E-3</v>
      </c>
      <c r="L255" s="160">
        <f t="shared" ref="L255:S255" si="128">L253/L$242</f>
        <v>9.919866890032417E-3</v>
      </c>
      <c r="M255" s="160">
        <f t="shared" si="128"/>
        <v>1.0013204135805406E-2</v>
      </c>
      <c r="N255" s="160">
        <f t="shared" si="128"/>
        <v>1.0080251424079088E-2</v>
      </c>
      <c r="O255" s="160">
        <f t="shared" si="128"/>
        <v>1.012960822975419E-2</v>
      </c>
      <c r="P255" s="160">
        <f t="shared" si="128"/>
        <v>1.016739041380499E-2</v>
      </c>
      <c r="Q255" s="160">
        <f t="shared" si="128"/>
        <v>1.0196704890424433E-2</v>
      </c>
      <c r="R255" s="160">
        <f t="shared" si="128"/>
        <v>1.0219565024750112E-2</v>
      </c>
      <c r="S255" s="160">
        <f t="shared" si="128"/>
        <v>1.0237316251734473E-2</v>
      </c>
      <c r="T255" s="126" t="s">
        <v>48</v>
      </c>
    </row>
    <row r="256" spans="4:21" outlineLevel="1">
      <c r="D256" s="135"/>
      <c r="I256" s="152"/>
      <c r="J256" s="152"/>
      <c r="K256" s="307"/>
      <c r="L256" s="152"/>
      <c r="M256" s="313"/>
      <c r="N256" s="314"/>
      <c r="O256" s="314"/>
      <c r="P256" s="314"/>
      <c r="Q256" s="314"/>
      <c r="T256" s="126" t="s">
        <v>48</v>
      </c>
    </row>
    <row r="257" spans="4:21" outlineLevel="1">
      <c r="D257" s="149" t="s">
        <v>222</v>
      </c>
      <c r="I257" s="155">
        <v>-73.777000000000001</v>
      </c>
      <c r="J257" s="155">
        <v>-110.167</v>
      </c>
      <c r="K257" s="223">
        <v>-148.73500000000001</v>
      </c>
      <c r="L257" s="141">
        <f t="shared" ref="L257:S257" si="129">-L258*L$21</f>
        <v>-179.58979892226805</v>
      </c>
      <c r="M257" s="141">
        <f t="shared" si="129"/>
        <v>-214.08339034507807</v>
      </c>
      <c r="N257" s="141">
        <f t="shared" si="129"/>
        <v>-247.75613422869083</v>
      </c>
      <c r="O257" s="141">
        <f t="shared" si="129"/>
        <v>-279.54845543638595</v>
      </c>
      <c r="P257" s="141">
        <f t="shared" si="129"/>
        <v>-310.29499847789282</v>
      </c>
      <c r="Q257" s="141">
        <f t="shared" si="129"/>
        <v>-339.77974240957838</v>
      </c>
      <c r="R257" s="141">
        <f t="shared" si="129"/>
        <v>-367.76919041926084</v>
      </c>
      <c r="S257" s="141">
        <f t="shared" si="129"/>
        <v>-394.01128389924054</v>
      </c>
      <c r="T257" s="126" t="s">
        <v>48</v>
      </c>
    </row>
    <row r="258" spans="4:21" outlineLevel="1">
      <c r="D258" s="135" t="s">
        <v>71</v>
      </c>
      <c r="I258" s="160">
        <f>-I257/I$21</f>
        <v>2.5176426426426427E-2</v>
      </c>
      <c r="J258" s="160">
        <f>-J257/J$21</f>
        <v>2.5954013240040524E-2</v>
      </c>
      <c r="K258" s="306">
        <f>-K257/K$21</f>
        <v>2.6653584932709713E-2</v>
      </c>
      <c r="L258" s="160">
        <f>AVERAGE(I258:K258)</f>
        <v>2.5928008199725554E-2</v>
      </c>
      <c r="M258" s="160">
        <f>L258</f>
        <v>2.5928008199725554E-2</v>
      </c>
      <c r="N258" s="160">
        <f t="shared" ref="N258:S258" si="130">M258</f>
        <v>2.5928008199725554E-2</v>
      </c>
      <c r="O258" s="160">
        <f t="shared" si="130"/>
        <v>2.5928008199725554E-2</v>
      </c>
      <c r="P258" s="160">
        <f t="shared" si="130"/>
        <v>2.5928008199725554E-2</v>
      </c>
      <c r="Q258" s="160">
        <f t="shared" si="130"/>
        <v>2.5928008199725554E-2</v>
      </c>
      <c r="R258" s="160">
        <f t="shared" si="130"/>
        <v>2.5928008199725554E-2</v>
      </c>
      <c r="S258" s="160">
        <f t="shared" si="130"/>
        <v>2.5928008199725554E-2</v>
      </c>
      <c r="T258" s="126" t="s">
        <v>48</v>
      </c>
    </row>
    <row r="259" spans="4:21" outlineLevel="1">
      <c r="D259" s="135" t="s">
        <v>229</v>
      </c>
      <c r="I259" s="160">
        <f>I257/I$242</f>
        <v>0.11294703000612369</v>
      </c>
      <c r="J259" s="160">
        <f>J257/J$242</f>
        <v>0.16568957738005716</v>
      </c>
      <c r="K259" s="306">
        <f>K257/K$242</f>
        <v>0.14163889153413964</v>
      </c>
      <c r="L259" s="160">
        <f t="shared" ref="L259:S259" si="131">L257/L$242</f>
        <v>0.13583006048595286</v>
      </c>
      <c r="M259" s="160">
        <f t="shared" si="131"/>
        <v>0.13710810220561306</v>
      </c>
      <c r="N259" s="160">
        <f t="shared" si="131"/>
        <v>0.13802616263148271</v>
      </c>
      <c r="O259" s="160">
        <f t="shared" si="131"/>
        <v>0.13870199205284106</v>
      </c>
      <c r="P259" s="160">
        <f t="shared" si="131"/>
        <v>0.13921933330366656</v>
      </c>
      <c r="Q259" s="160">
        <f t="shared" si="131"/>
        <v>0.13962072852161383</v>
      </c>
      <c r="R259" s="160">
        <f t="shared" si="131"/>
        <v>0.13993374617221299</v>
      </c>
      <c r="S259" s="160">
        <f t="shared" si="131"/>
        <v>0.14017680893320714</v>
      </c>
      <c r="T259" s="126" t="s">
        <v>48</v>
      </c>
    </row>
    <row r="260" spans="4:21" outlineLevel="1">
      <c r="I260" s="152"/>
      <c r="J260" s="152"/>
      <c r="K260" s="307"/>
      <c r="L260" s="152"/>
      <c r="M260" s="313"/>
      <c r="N260" s="314"/>
      <c r="O260" s="314"/>
      <c r="P260" s="314"/>
      <c r="Q260" s="314"/>
      <c r="T260" s="126" t="s">
        <v>48</v>
      </c>
    </row>
    <row r="261" spans="4:21" outlineLevel="1">
      <c r="D261" s="149" t="s">
        <v>223</v>
      </c>
      <c r="I261" s="155">
        <v>-17.821999999999999</v>
      </c>
      <c r="J261" s="155">
        <v>-26.651</v>
      </c>
      <c r="K261" s="223">
        <v>-35.177</v>
      </c>
      <c r="L261" s="141">
        <f t="shared" ref="L261:S261" si="132">L262*L95</f>
        <v>-30.759457572233892</v>
      </c>
      <c r="M261" s="141">
        <f t="shared" si="132"/>
        <v>-29.693117003122065</v>
      </c>
      <c r="N261" s="141">
        <f t="shared" si="132"/>
        <v>-28.402749449406166</v>
      </c>
      <c r="O261" s="141">
        <f t="shared" si="132"/>
        <v>-26.832020218110166</v>
      </c>
      <c r="P261" s="141">
        <f t="shared" si="132"/>
        <v>-25.116546572547914</v>
      </c>
      <c r="Q261" s="141">
        <f t="shared" si="132"/>
        <v>-23.248120547029117</v>
      </c>
      <c r="R261" s="141">
        <f t="shared" si="132"/>
        <v>-21.218136930172633</v>
      </c>
      <c r="S261" s="141">
        <f t="shared" si="132"/>
        <v>-19.017575512466081</v>
      </c>
      <c r="T261" s="126" t="s">
        <v>48</v>
      </c>
    </row>
    <row r="262" spans="4:21" outlineLevel="1">
      <c r="D262" t="s">
        <v>230</v>
      </c>
      <c r="I262" s="141">
        <f>I261/I95</f>
        <v>-0.11208805031446541</v>
      </c>
      <c r="J262" s="141">
        <f>J261/J95</f>
        <v>-0.11951121076233184</v>
      </c>
      <c r="K262" s="315">
        <f>K261/K95</f>
        <v>-8.3954653937947488E-2</v>
      </c>
      <c r="L262" s="141">
        <f t="shared" ref="L262:S262" si="133">K262*(1+L13)</f>
        <v>-8.7884164492096836E-2</v>
      </c>
      <c r="M262" s="141">
        <f t="shared" si="133"/>
        <v>-9.1645422849142177E-2</v>
      </c>
      <c r="N262" s="141">
        <f t="shared" si="133"/>
        <v>-9.5311239763107944E-2</v>
      </c>
      <c r="O262" s="141">
        <f t="shared" si="133"/>
        <v>-9.8647133154816782E-2</v>
      </c>
      <c r="P262" s="141">
        <f t="shared" si="133"/>
        <v>-0.10209978281523542</v>
      </c>
      <c r="Q262" s="141">
        <f t="shared" si="133"/>
        <v>-0.10567327521376872</v>
      </c>
      <c r="R262" s="141">
        <f t="shared" si="133"/>
        <v>-0.10937183984625069</v>
      </c>
      <c r="S262" s="141">
        <f t="shared" si="133"/>
        <v>-0.11319985424086954</v>
      </c>
      <c r="T262" s="126" t="s">
        <v>48</v>
      </c>
    </row>
    <row r="263" spans="4:21" outlineLevel="1">
      <c r="D263" s="135" t="s">
        <v>71</v>
      </c>
      <c r="I263" s="160">
        <f>-I261/I$21</f>
        <v>6.0817635817635813E-3</v>
      </c>
      <c r="J263" s="160">
        <f>-J261/J$21</f>
        <v>6.2786533795085638E-3</v>
      </c>
      <c r="K263" s="306">
        <f>-K261/K$21</f>
        <v>6.303782950737415E-3</v>
      </c>
      <c r="L263" s="160">
        <f t="shared" ref="L263:S263" si="134">-L261/L$21</f>
        <v>4.4408506103244018E-3</v>
      </c>
      <c r="M263" s="160">
        <f t="shared" si="134"/>
        <v>3.5961845516898567E-3</v>
      </c>
      <c r="N263" s="160">
        <f t="shared" si="134"/>
        <v>2.9723854180708042E-3</v>
      </c>
      <c r="O263" s="160">
        <f t="shared" si="134"/>
        <v>2.4886592170375128E-3</v>
      </c>
      <c r="P263" s="160">
        <f t="shared" si="134"/>
        <v>2.0987190534049421E-3</v>
      </c>
      <c r="Q263" s="160">
        <f t="shared" si="134"/>
        <v>1.7740241248549102E-3</v>
      </c>
      <c r="R263" s="160">
        <f t="shared" si="134"/>
        <v>1.4958948238193784E-3</v>
      </c>
      <c r="S263" s="160">
        <f t="shared" si="134"/>
        <v>1.2514561739105333E-3</v>
      </c>
      <c r="T263" s="126" t="s">
        <v>48</v>
      </c>
    </row>
    <row r="264" spans="4:21" outlineLevel="1">
      <c r="D264" s="135" t="s">
        <v>229</v>
      </c>
      <c r="I264" s="160">
        <f>I261/I$242</f>
        <v>2.7284139620330678E-2</v>
      </c>
      <c r="J264" s="160">
        <f>J261/J$242</f>
        <v>4.0082719205895623E-2</v>
      </c>
      <c r="K264" s="306">
        <f>K261/K$242</f>
        <v>3.3498714408151609E-2</v>
      </c>
      <c r="L264" s="160">
        <f t="shared" ref="L264:S264" si="135">L261/L$242</f>
        <v>2.3264456041626407E-2</v>
      </c>
      <c r="M264" s="160">
        <f t="shared" si="135"/>
        <v>1.9016734153476499E-2</v>
      </c>
      <c r="N264" s="160">
        <f t="shared" si="135"/>
        <v>1.582331160796344E-2</v>
      </c>
      <c r="O264" s="160">
        <f t="shared" si="135"/>
        <v>1.3313093249770742E-2</v>
      </c>
      <c r="P264" s="160">
        <f t="shared" si="135"/>
        <v>1.126898237442824E-2</v>
      </c>
      <c r="Q264" s="160">
        <f t="shared" si="135"/>
        <v>9.5530107372375321E-3</v>
      </c>
      <c r="R264" s="160">
        <f t="shared" si="135"/>
        <v>8.0733608599708739E-3</v>
      </c>
      <c r="S264" s="160">
        <f t="shared" si="135"/>
        <v>6.7658545780773134E-3</v>
      </c>
      <c r="T264" s="126" t="s">
        <v>48</v>
      </c>
    </row>
    <row r="265" spans="4:21" outlineLevel="1">
      <c r="I265" s="152"/>
      <c r="J265" s="152"/>
      <c r="K265" s="307"/>
      <c r="L265" s="152"/>
      <c r="M265" s="313"/>
      <c r="N265" s="314"/>
      <c r="O265" s="314"/>
      <c r="P265" s="314"/>
      <c r="Q265" s="314"/>
      <c r="T265" s="126" t="s">
        <v>48</v>
      </c>
    </row>
    <row r="266" spans="4:21" outlineLevel="1">
      <c r="D266" s="149" t="s">
        <v>225</v>
      </c>
      <c r="I266" s="155">
        <v>-2.9449999999999998</v>
      </c>
      <c r="J266" s="155">
        <v>-5.2380000000000004</v>
      </c>
      <c r="K266" s="223">
        <v>-7.73</v>
      </c>
      <c r="L266" s="141">
        <f t="shared" ref="L266:S266" si="136">K266*(1+L14)</f>
        <v>-7.8131083048717</v>
      </c>
      <c r="M266" s="141">
        <f t="shared" si="136"/>
        <v>-8.0797860907714707</v>
      </c>
      <c r="N266" s="141">
        <f t="shared" si="136"/>
        <v>-8.402977534402341</v>
      </c>
      <c r="O266" s="141">
        <f t="shared" si="136"/>
        <v>-8.6970817481064273</v>
      </c>
      <c r="P266" s="141">
        <f t="shared" si="136"/>
        <v>-9.0014796092901577</v>
      </c>
      <c r="Q266" s="141">
        <f t="shared" si="136"/>
        <v>-9.3165313956153177</v>
      </c>
      <c r="R266" s="141">
        <f t="shared" si="136"/>
        <v>-9.6426099944618588</v>
      </c>
      <c r="S266" s="141">
        <f t="shared" si="136"/>
        <v>-9.9801013442680304</v>
      </c>
      <c r="T266" s="126" t="s">
        <v>48</v>
      </c>
      <c r="U266" s="149"/>
    </row>
    <row r="267" spans="4:21" outlineLevel="1">
      <c r="D267" s="135" t="s">
        <v>71</v>
      </c>
      <c r="I267" s="160">
        <f>-I266/I$21</f>
        <v>1.0049822549822549E-3</v>
      </c>
      <c r="J267" s="160">
        <f>-J266/J$21</f>
        <v>1.2340094706339672E-3</v>
      </c>
      <c r="K267" s="306">
        <f>-K266/K$21</f>
        <v>1.3852301847570919E-3</v>
      </c>
      <c r="L267" s="160">
        <f t="shared" ref="L267:S267" si="137">-L266/L$21</f>
        <v>1.1280058077337643E-3</v>
      </c>
      <c r="M267" s="160">
        <f t="shared" si="137"/>
        <v>9.7855681225840398E-4</v>
      </c>
      <c r="N267" s="160">
        <f t="shared" si="137"/>
        <v>8.7938274905834113E-4</v>
      </c>
      <c r="O267" s="160">
        <f t="shared" si="137"/>
        <v>8.0665087748947074E-4</v>
      </c>
      <c r="P267" s="160">
        <f t="shared" si="137"/>
        <v>7.5215661955300799E-4</v>
      </c>
      <c r="Q267" s="160">
        <f t="shared" si="137"/>
        <v>7.1092849946108197E-4</v>
      </c>
      <c r="R267" s="160">
        <f t="shared" si="137"/>
        <v>6.7981135319721692E-4</v>
      </c>
      <c r="S267" s="160">
        <f t="shared" si="137"/>
        <v>6.5674299204701613E-4</v>
      </c>
      <c r="T267" s="126" t="s">
        <v>48</v>
      </c>
    </row>
    <row r="268" spans="4:21" outlineLevel="1">
      <c r="D268" s="135" t="s">
        <v>229</v>
      </c>
      <c r="I268" s="160">
        <f>I266/I$242</f>
        <v>4.5085731781996322E-3</v>
      </c>
      <c r="J268" s="160">
        <f>J266/J$242</f>
        <v>7.8778763723868252E-3</v>
      </c>
      <c r="K268" s="306">
        <f>K266/K$242</f>
        <v>7.3612036948862026E-3</v>
      </c>
      <c r="L268" s="160">
        <f t="shared" ref="L268:S268" si="138">L266/L$242</f>
        <v>5.9093277012541639E-3</v>
      </c>
      <c r="M268" s="160">
        <f t="shared" si="138"/>
        <v>5.1746384217259047E-3</v>
      </c>
      <c r="N268" s="160">
        <f t="shared" si="138"/>
        <v>4.681340170901817E-3</v>
      </c>
      <c r="O268" s="160">
        <f t="shared" si="138"/>
        <v>4.3151823594434879E-3</v>
      </c>
      <c r="P268" s="160">
        <f t="shared" si="138"/>
        <v>4.0386728632405217E-3</v>
      </c>
      <c r="Q268" s="160">
        <f t="shared" si="138"/>
        <v>3.8283062183922284E-3</v>
      </c>
      <c r="R268" s="160">
        <f t="shared" si="138"/>
        <v>3.6689493697512373E-3</v>
      </c>
      <c r="S268" s="160">
        <f t="shared" si="138"/>
        <v>3.5506058238353919E-3</v>
      </c>
      <c r="T268" s="126" t="s">
        <v>48</v>
      </c>
    </row>
    <row r="269" spans="4:21" outlineLevel="1">
      <c r="I269" s="152"/>
      <c r="J269" s="152"/>
      <c r="K269" s="307"/>
      <c r="L269" s="152"/>
      <c r="M269" s="313"/>
      <c r="N269" s="314"/>
      <c r="O269" s="314"/>
      <c r="P269" s="314"/>
      <c r="Q269" s="314"/>
      <c r="T269" s="126" t="s">
        <v>48</v>
      </c>
    </row>
    <row r="270" spans="4:21" outlineLevel="1">
      <c r="D270" s="149" t="s">
        <v>226</v>
      </c>
      <c r="I270" s="155">
        <v>-0.501</v>
      </c>
      <c r="J270" s="155">
        <v>-1.1080000000000001</v>
      </c>
      <c r="K270" s="223">
        <v>-2.8090000000000002</v>
      </c>
      <c r="L270" s="141">
        <f>-L271*L$21</f>
        <v>-3.4866367269863545</v>
      </c>
      <c r="M270" s="141">
        <f t="shared" ref="M270:S270" si="139">-M271*M$21</f>
        <v>-4.1563107475719336</v>
      </c>
      <c r="N270" s="141">
        <f t="shared" si="139"/>
        <v>-4.8100484666827263</v>
      </c>
      <c r="O270" s="141">
        <f t="shared" si="139"/>
        <v>-5.4272788184293494</v>
      </c>
      <c r="P270" s="141">
        <f t="shared" si="139"/>
        <v>-6.024205964846975</v>
      </c>
      <c r="Q270" s="141">
        <f t="shared" si="139"/>
        <v>-6.5966359786613964</v>
      </c>
      <c r="R270" s="141">
        <f t="shared" si="139"/>
        <v>-7.1400356482655338</v>
      </c>
      <c r="S270" s="141">
        <f t="shared" si="139"/>
        <v>-7.6495113950472806</v>
      </c>
      <c r="T270" s="126" t="s">
        <v>48</v>
      </c>
    </row>
    <row r="271" spans="4:21" outlineLevel="1">
      <c r="D271" s="135" t="s">
        <v>71</v>
      </c>
      <c r="I271" s="160">
        <f>-I270/I$21</f>
        <v>1.7096642096642097E-4</v>
      </c>
      <c r="J271" s="160">
        <f>-J270/J$21</f>
        <v>2.6103140386835353E-4</v>
      </c>
      <c r="K271" s="306">
        <f>-K270/K$21</f>
        <v>5.0337795459025499E-4</v>
      </c>
      <c r="L271" s="160">
        <f>K271</f>
        <v>5.0337795459025499E-4</v>
      </c>
      <c r="M271" s="160">
        <f t="shared" ref="M271:S271" si="140">L271</f>
        <v>5.0337795459025499E-4</v>
      </c>
      <c r="N271" s="160">
        <f t="shared" si="140"/>
        <v>5.0337795459025499E-4</v>
      </c>
      <c r="O271" s="160">
        <f t="shared" si="140"/>
        <v>5.0337795459025499E-4</v>
      </c>
      <c r="P271" s="160">
        <f t="shared" si="140"/>
        <v>5.0337795459025499E-4</v>
      </c>
      <c r="Q271" s="160">
        <f t="shared" si="140"/>
        <v>5.0337795459025499E-4</v>
      </c>
      <c r="R271" s="160">
        <f t="shared" si="140"/>
        <v>5.0337795459025499E-4</v>
      </c>
      <c r="S271" s="160">
        <f t="shared" si="140"/>
        <v>5.0337795459025499E-4</v>
      </c>
      <c r="T271" s="126" t="s">
        <v>48</v>
      </c>
    </row>
    <row r="272" spans="4:21" outlineLevel="1">
      <c r="D272" s="135" t="s">
        <v>229</v>
      </c>
      <c r="I272" s="160">
        <f>I270/I$242</f>
        <v>7.6699326393141448E-4</v>
      </c>
      <c r="J272" s="160">
        <f>J270/J$242</f>
        <v>1.6664160024063772E-3</v>
      </c>
      <c r="K272" s="306">
        <f>K270/K$242</f>
        <v>2.6749833349204843E-3</v>
      </c>
      <c r="L272" s="160">
        <f t="shared" ref="L272:S272" si="141">L270/L$242</f>
        <v>2.6370655814592541E-3</v>
      </c>
      <c r="M272" s="160">
        <f t="shared" si="141"/>
        <v>2.6618780553588251E-3</v>
      </c>
      <c r="N272" s="160">
        <f t="shared" si="141"/>
        <v>2.6797016913205499E-3</v>
      </c>
      <c r="O272" s="160">
        <f t="shared" si="141"/>
        <v>2.6928225461565519E-3</v>
      </c>
      <c r="P272" s="160">
        <f t="shared" si="141"/>
        <v>2.7028664407226016E-3</v>
      </c>
      <c r="Q272" s="160">
        <f t="shared" si="141"/>
        <v>2.7106593071177442E-3</v>
      </c>
      <c r="R272" s="160">
        <f t="shared" si="141"/>
        <v>2.7167363718693244E-3</v>
      </c>
      <c r="S272" s="160">
        <f t="shared" si="141"/>
        <v>2.7214553010876351E-3</v>
      </c>
      <c r="T272" s="126" t="s">
        <v>48</v>
      </c>
    </row>
    <row r="273" spans="4:20" outlineLevel="1">
      <c r="D273" s="310"/>
      <c r="I273" s="152"/>
      <c r="J273" s="152"/>
      <c r="K273" s="307"/>
      <c r="L273" s="152"/>
      <c r="M273" s="313"/>
      <c r="N273" s="314"/>
      <c r="O273" s="314"/>
      <c r="P273" s="314"/>
      <c r="Q273" s="314"/>
      <c r="T273" s="126" t="s">
        <v>48</v>
      </c>
    </row>
    <row r="274" spans="4:20" outlineLevel="1">
      <c r="D274" s="149" t="s">
        <v>231</v>
      </c>
      <c r="I274" s="155">
        <v>-224.92699999999999</v>
      </c>
      <c r="J274" s="155">
        <v>-247.09700000000001</v>
      </c>
      <c r="K274" s="223">
        <v>-315.87099999999998</v>
      </c>
      <c r="L274" s="141">
        <f t="shared" ref="L274:S274" si="142">L275*-L21</f>
        <v>-442.3114152911221</v>
      </c>
      <c r="M274" s="141">
        <f t="shared" si="142"/>
        <v>-527.26562389458775</v>
      </c>
      <c r="N274" s="141">
        <f t="shared" si="142"/>
        <v>-610.19816846713752</v>
      </c>
      <c r="O274" s="141">
        <f t="shared" si="142"/>
        <v>-688.49942317733451</v>
      </c>
      <c r="P274" s="141">
        <f t="shared" si="142"/>
        <v>-764.22503259173448</v>
      </c>
      <c r="Q274" s="141">
        <f t="shared" si="142"/>
        <v>-836.8429590896917</v>
      </c>
      <c r="R274" s="141">
        <f t="shared" si="142"/>
        <v>-905.77812376315069</v>
      </c>
      <c r="S274" s="141">
        <f t="shared" si="142"/>
        <v>-970.40973188893111</v>
      </c>
      <c r="T274" s="126" t="s">
        <v>48</v>
      </c>
    </row>
    <row r="275" spans="4:20" outlineLevel="1">
      <c r="D275" s="135" t="s">
        <v>71</v>
      </c>
      <c r="I275" s="316">
        <f>-I274/I$21</f>
        <v>7.6756415506415501E-2</v>
      </c>
      <c r="J275" s="316">
        <f>-J274/J$21</f>
        <v>5.8213065705467998E-2</v>
      </c>
      <c r="K275" s="317">
        <f>-K274/K$21</f>
        <v>5.6604662831747393E-2</v>
      </c>
      <c r="L275" s="316">
        <f>AVERAGE(I275:K275)</f>
        <v>6.3858048014543631E-2</v>
      </c>
      <c r="M275" s="316">
        <f>L275</f>
        <v>6.3858048014543631E-2</v>
      </c>
      <c r="N275" s="316">
        <f t="shared" ref="N275:S275" si="143">M275</f>
        <v>6.3858048014543631E-2</v>
      </c>
      <c r="O275" s="316">
        <f t="shared" si="143"/>
        <v>6.3858048014543631E-2</v>
      </c>
      <c r="P275" s="316">
        <f t="shared" si="143"/>
        <v>6.3858048014543631E-2</v>
      </c>
      <c r="Q275" s="316">
        <f t="shared" si="143"/>
        <v>6.3858048014543631E-2</v>
      </c>
      <c r="R275" s="316">
        <f t="shared" si="143"/>
        <v>6.3858048014543631E-2</v>
      </c>
      <c r="S275" s="316">
        <f t="shared" si="143"/>
        <v>6.3858048014543631E-2</v>
      </c>
      <c r="T275" s="126" t="s">
        <v>48</v>
      </c>
    </row>
    <row r="276" spans="4:20" outlineLevel="1">
      <c r="D276" s="135" t="s">
        <v>229</v>
      </c>
      <c r="I276" s="316">
        <f>I274/I$242</f>
        <v>0.34434629516227799</v>
      </c>
      <c r="J276" s="316">
        <f>J274/J$242</f>
        <v>0.37163032034892468</v>
      </c>
      <c r="K276" s="317">
        <f>K274/K$242</f>
        <v>0.30080087610703743</v>
      </c>
      <c r="L276" s="316">
        <f t="shared" ref="L276:S276" si="144">L274/L$242</f>
        <v>0.33453562871143167</v>
      </c>
      <c r="M276" s="316">
        <f t="shared" si="144"/>
        <v>0.33768331552447095</v>
      </c>
      <c r="N276" s="316">
        <f t="shared" si="144"/>
        <v>0.33994440501132395</v>
      </c>
      <c r="O276" s="316">
        <f t="shared" si="144"/>
        <v>0.34160890416244644</v>
      </c>
      <c r="P276" s="316">
        <f t="shared" si="144"/>
        <v>0.34288306306353272</v>
      </c>
      <c r="Q276" s="316">
        <f t="shared" si="144"/>
        <v>0.34387165867423447</v>
      </c>
      <c r="R276" s="316">
        <f t="shared" si="144"/>
        <v>0.34464258932218034</v>
      </c>
      <c r="S276" s="316">
        <f t="shared" si="144"/>
        <v>0.3452412281895606</v>
      </c>
      <c r="T276" s="126" t="s">
        <v>48</v>
      </c>
    </row>
    <row r="277" spans="4:20" outlineLevel="1">
      <c r="D277" s="310"/>
      <c r="I277" s="152"/>
      <c r="J277" s="152"/>
      <c r="K277" s="307"/>
      <c r="L277" s="152"/>
      <c r="M277" s="313"/>
      <c r="N277" s="314"/>
      <c r="O277" s="314"/>
      <c r="P277" s="314"/>
      <c r="Q277" s="314"/>
      <c r="T277" s="126" t="s">
        <v>48</v>
      </c>
    </row>
    <row r="278" spans="4:20" outlineLevel="1">
      <c r="D278" s="149" t="s">
        <v>232</v>
      </c>
      <c r="I278" s="155">
        <v>-49.003</v>
      </c>
      <c r="J278" s="155">
        <v>-72.87</v>
      </c>
      <c r="K278" s="223">
        <v>-97.043999999999997</v>
      </c>
      <c r="L278" s="141">
        <f t="shared" ref="L278:S278" si="145">-L279*L$21</f>
        <v>-120.45467231529503</v>
      </c>
      <c r="M278" s="141">
        <f t="shared" si="145"/>
        <v>-143.59025282569266</v>
      </c>
      <c r="N278" s="141">
        <f t="shared" si="145"/>
        <v>-166.17527354957582</v>
      </c>
      <c r="O278" s="141">
        <f t="shared" si="145"/>
        <v>-187.49905505719394</v>
      </c>
      <c r="P278" s="141">
        <f t="shared" si="145"/>
        <v>-208.12141105468487</v>
      </c>
      <c r="Q278" s="141">
        <f t="shared" si="145"/>
        <v>-227.89745173129813</v>
      </c>
      <c r="R278" s="141">
        <f t="shared" si="145"/>
        <v>-246.67056584203644</v>
      </c>
      <c r="S278" s="141">
        <f t="shared" si="145"/>
        <v>-264.27169235349527</v>
      </c>
      <c r="T278" s="126" t="s">
        <v>48</v>
      </c>
    </row>
    <row r="279" spans="4:20" outlineLevel="1">
      <c r="D279" s="135" t="s">
        <v>71</v>
      </c>
      <c r="I279" s="316">
        <f>-I278/I$21</f>
        <v>1.6722290472290471E-2</v>
      </c>
      <c r="J279" s="316">
        <f>-J278/J$21</f>
        <v>1.7167290974627183E-2</v>
      </c>
      <c r="K279" s="317">
        <f>-K278/K$21</f>
        <v>1.7390462878339872E-2</v>
      </c>
      <c r="L279" s="316">
        <f>K279</f>
        <v>1.7390462878339872E-2</v>
      </c>
      <c r="M279" s="316">
        <f t="shared" ref="M279:S279" si="146">L279</f>
        <v>1.7390462878339872E-2</v>
      </c>
      <c r="N279" s="316">
        <f t="shared" si="146"/>
        <v>1.7390462878339872E-2</v>
      </c>
      <c r="O279" s="316">
        <f t="shared" si="146"/>
        <v>1.7390462878339872E-2</v>
      </c>
      <c r="P279" s="316">
        <f t="shared" si="146"/>
        <v>1.7390462878339872E-2</v>
      </c>
      <c r="Q279" s="316">
        <f t="shared" si="146"/>
        <v>1.7390462878339872E-2</v>
      </c>
      <c r="R279" s="316">
        <f t="shared" si="146"/>
        <v>1.7390462878339872E-2</v>
      </c>
      <c r="S279" s="316">
        <f t="shared" si="146"/>
        <v>1.7390462878339872E-2</v>
      </c>
      <c r="T279" s="126" t="s">
        <v>48</v>
      </c>
    </row>
    <row r="280" spans="4:20" outlineLevel="1">
      <c r="D280" s="135" t="s">
        <v>229</v>
      </c>
      <c r="I280" s="316">
        <f>I278/I$242</f>
        <v>7.5019902020820567E-2</v>
      </c>
      <c r="J280" s="316">
        <f>J278/J$242</f>
        <v>0.10959542788389233</v>
      </c>
      <c r="K280" s="317">
        <f>K278/K$242</f>
        <v>9.2414055804209125E-2</v>
      </c>
      <c r="L280" s="316">
        <f t="shared" ref="L280:S280" si="147">L278/L$242</f>
        <v>9.1104091237853971E-2</v>
      </c>
      <c r="M280" s="316">
        <f t="shared" si="147"/>
        <v>9.1961300820306791E-2</v>
      </c>
      <c r="N280" s="316">
        <f t="shared" si="147"/>
        <v>9.2577063343720706E-2</v>
      </c>
      <c r="O280" s="316">
        <f t="shared" si="147"/>
        <v>9.3030356414815385E-2</v>
      </c>
      <c r="P280" s="316">
        <f t="shared" si="147"/>
        <v>9.3377348121567866E-2</v>
      </c>
      <c r="Q280" s="316">
        <f t="shared" si="147"/>
        <v>9.3646572374487119E-2</v>
      </c>
      <c r="R280" s="316">
        <f t="shared" si="147"/>
        <v>9.3856519925840751E-2</v>
      </c>
      <c r="S280" s="316">
        <f t="shared" si="147"/>
        <v>9.4019547254805422E-2</v>
      </c>
      <c r="T280" s="126" t="s">
        <v>48</v>
      </c>
    </row>
    <row r="281" spans="4:20" outlineLevel="1">
      <c r="D281" s="310"/>
      <c r="I281" s="152"/>
      <c r="J281" s="152"/>
      <c r="K281" s="307"/>
      <c r="L281" s="152"/>
      <c r="M281" s="313"/>
      <c r="N281" s="314"/>
      <c r="O281" s="314"/>
      <c r="P281" s="314"/>
      <c r="Q281" s="314"/>
      <c r="T281" s="126" t="s">
        <v>48</v>
      </c>
    </row>
    <row r="282" spans="4:20" outlineLevel="1">
      <c r="D282" s="149" t="s">
        <v>233</v>
      </c>
      <c r="I282" s="155">
        <v>-16.166</v>
      </c>
      <c r="J282" s="155">
        <v>-37.018999999999998</v>
      </c>
      <c r="K282" s="223">
        <v>-22.373000000000001</v>
      </c>
      <c r="L282" s="141">
        <f t="shared" ref="L282:S282" si="148">-L283*L$21</f>
        <v>-27.770211282615062</v>
      </c>
      <c r="M282" s="141">
        <f t="shared" si="148"/>
        <v>-33.104001550525766</v>
      </c>
      <c r="N282" s="141">
        <f t="shared" si="148"/>
        <v>-38.310863063400724</v>
      </c>
      <c r="O282" s="141">
        <f t="shared" si="148"/>
        <v>-43.226952297871073</v>
      </c>
      <c r="P282" s="141">
        <f t="shared" si="148"/>
        <v>-47.981331453015798</v>
      </c>
      <c r="Q282" s="141">
        <f t="shared" si="148"/>
        <v>-52.540596920822864</v>
      </c>
      <c r="R282" s="141">
        <f t="shared" si="148"/>
        <v>-56.868642776306444</v>
      </c>
      <c r="S282" s="141">
        <f t="shared" si="148"/>
        <v>-60.926492859164405</v>
      </c>
      <c r="T282" s="126" t="s">
        <v>48</v>
      </c>
    </row>
    <row r="283" spans="4:20" outlineLevel="1">
      <c r="D283" s="135" t="s">
        <v>71</v>
      </c>
      <c r="I283" s="316">
        <f>-I282/I$21</f>
        <v>5.5166530166530165E-3</v>
      </c>
      <c r="J283" s="316">
        <f>-J282/J$21</f>
        <v>8.7212288265366214E-3</v>
      </c>
      <c r="K283" s="317">
        <f>-K282/K$21</f>
        <v>4.0092826550543878E-3</v>
      </c>
      <c r="L283" s="316">
        <f>K283</f>
        <v>4.0092826550543878E-3</v>
      </c>
      <c r="M283" s="316">
        <f t="shared" ref="M283:S283" si="149">L283</f>
        <v>4.0092826550543878E-3</v>
      </c>
      <c r="N283" s="316">
        <f t="shared" si="149"/>
        <v>4.0092826550543878E-3</v>
      </c>
      <c r="O283" s="316">
        <f t="shared" si="149"/>
        <v>4.0092826550543878E-3</v>
      </c>
      <c r="P283" s="316">
        <f t="shared" si="149"/>
        <v>4.0092826550543878E-3</v>
      </c>
      <c r="Q283" s="316">
        <f t="shared" si="149"/>
        <v>4.0092826550543878E-3</v>
      </c>
      <c r="R283" s="316">
        <f t="shared" si="149"/>
        <v>4.0092826550543878E-3</v>
      </c>
      <c r="S283" s="316">
        <f t="shared" si="149"/>
        <v>4.0092826550543878E-3</v>
      </c>
      <c r="T283" s="126" t="s">
        <v>48</v>
      </c>
    </row>
    <row r="284" spans="4:20" outlineLevel="1">
      <c r="D284" s="135" t="s">
        <v>229</v>
      </c>
      <c r="I284" s="316">
        <f>I282/I$242</f>
        <v>2.4748928352725044E-2</v>
      </c>
      <c r="J284" s="316">
        <f>J282/J$242</f>
        <v>5.5676041510001502E-2</v>
      </c>
      <c r="K284" s="317">
        <f>K282/K$242</f>
        <v>2.1305589943814877E-2</v>
      </c>
      <c r="L284" s="316">
        <f t="shared" ref="L284:S284" si="150">L282/L$242</f>
        <v>2.1003584284082551E-2</v>
      </c>
      <c r="M284" s="316">
        <f t="shared" si="150"/>
        <v>2.1201209587946954E-2</v>
      </c>
      <c r="N284" s="316">
        <f t="shared" si="150"/>
        <v>2.1343170501927612E-2</v>
      </c>
      <c r="O284" s="316">
        <f t="shared" si="150"/>
        <v>2.1447674911057507E-2</v>
      </c>
      <c r="P284" s="316">
        <f t="shared" si="150"/>
        <v>2.1527672081981759E-2</v>
      </c>
      <c r="Q284" s="316">
        <f t="shared" si="150"/>
        <v>2.1589740362458275E-2</v>
      </c>
      <c r="R284" s="316">
        <f t="shared" si="150"/>
        <v>2.163814270125753E-2</v>
      </c>
      <c r="S284" s="316">
        <f t="shared" si="150"/>
        <v>2.1675727821727896E-2</v>
      </c>
      <c r="T284" s="126" t="s">
        <v>48</v>
      </c>
    </row>
    <row r="285" spans="4:20" outlineLevel="1">
      <c r="D285" s="310"/>
      <c r="I285" s="152"/>
      <c r="J285" s="152"/>
      <c r="K285" s="307"/>
      <c r="L285" s="152"/>
      <c r="N285" s="314"/>
      <c r="O285" s="314"/>
      <c r="P285" s="314"/>
      <c r="Q285" s="314"/>
      <c r="T285" s="126" t="s">
        <v>48</v>
      </c>
    </row>
    <row r="286" spans="4:20" outlineLevel="1">
      <c r="D286" s="149" t="s">
        <v>97</v>
      </c>
      <c r="I286" s="155">
        <v>-34.19</v>
      </c>
      <c r="J286" s="155">
        <v>-51.828000000000003</v>
      </c>
      <c r="K286" s="223">
        <v>-60.273000000000003</v>
      </c>
      <c r="L286" s="141">
        <f t="shared" ref="L286:S286" si="151">K286*(1+L13)</f>
        <v>-63.094087081191461</v>
      </c>
      <c r="M286" s="141">
        <f t="shared" si="151"/>
        <v>-65.794381994225745</v>
      </c>
      <c r="N286" s="141">
        <f t="shared" si="151"/>
        <v>-68.426157273994832</v>
      </c>
      <c r="O286" s="141">
        <f t="shared" si="151"/>
        <v>-70.821072778584693</v>
      </c>
      <c r="P286" s="141">
        <f t="shared" si="151"/>
        <v>-73.299810325835196</v>
      </c>
      <c r="Q286" s="141">
        <f t="shared" si="151"/>
        <v>-75.865303687239475</v>
      </c>
      <c r="R286" s="141">
        <f t="shared" si="151"/>
        <v>-78.520589316292899</v>
      </c>
      <c r="S286" s="141">
        <f t="shared" si="151"/>
        <v>-81.268809942363191</v>
      </c>
      <c r="T286" s="126" t="s">
        <v>48</v>
      </c>
    </row>
    <row r="287" spans="4:20" outlineLevel="1">
      <c r="D287" s="135" t="s">
        <v>71</v>
      </c>
      <c r="I287" s="316">
        <f>-I286/I$21</f>
        <v>1.1667349167349166E-2</v>
      </c>
      <c r="J287" s="316">
        <f>-J286/J$21</f>
        <v>1.2210050180224752E-2</v>
      </c>
      <c r="K287" s="317">
        <f>-K286/K$21</f>
        <v>1.0801032202569755E-2</v>
      </c>
      <c r="L287" s="316">
        <f t="shared" ref="L287:S287" si="152">-L286/L$21</f>
        <v>9.1091143094569633E-3</v>
      </c>
      <c r="M287" s="316">
        <f t="shared" si="152"/>
        <v>7.9684709453284337E-3</v>
      </c>
      <c r="N287" s="316">
        <f t="shared" si="152"/>
        <v>7.1608881547942579E-3</v>
      </c>
      <c r="O287" s="316">
        <f t="shared" si="152"/>
        <v>6.5686263687275539E-3</v>
      </c>
      <c r="P287" s="316">
        <f t="shared" si="152"/>
        <v>6.1248750140650001E-3</v>
      </c>
      <c r="Q287" s="316">
        <f t="shared" si="152"/>
        <v>5.7891509426901125E-3</v>
      </c>
      <c r="R287" s="316">
        <f t="shared" si="152"/>
        <v>5.5357613869699007E-3</v>
      </c>
      <c r="S287" s="316">
        <f t="shared" si="152"/>
        <v>5.3479137696634685E-3</v>
      </c>
      <c r="T287" s="126" t="s">
        <v>48</v>
      </c>
    </row>
    <row r="288" spans="4:20" outlineLevel="1">
      <c r="D288" s="135" t="s">
        <v>229</v>
      </c>
      <c r="I288" s="316">
        <f>I286/I$242</f>
        <v>5.2342314758113892E-2</v>
      </c>
      <c r="J288" s="316">
        <f>J286/J$242</f>
        <v>7.7948563693788553E-2</v>
      </c>
      <c r="K288" s="317">
        <f>K286/K$242</f>
        <v>5.7397390724692895E-2</v>
      </c>
      <c r="L288" s="316">
        <f t="shared" ref="L288:S288" si="153">L286/L$242</f>
        <v>4.7720269837005627E-2</v>
      </c>
      <c r="M288" s="316">
        <f t="shared" si="153"/>
        <v>4.2137518639249485E-2</v>
      </c>
      <c r="N288" s="316">
        <f t="shared" si="153"/>
        <v>3.8120549231003116E-2</v>
      </c>
      <c r="O288" s="316">
        <f t="shared" si="153"/>
        <v>3.5138895181426821E-2</v>
      </c>
      <c r="P288" s="316">
        <f t="shared" si="153"/>
        <v>3.2887254950630586E-2</v>
      </c>
      <c r="Q288" s="316">
        <f t="shared" si="153"/>
        <v>3.1174221556615242E-2</v>
      </c>
      <c r="R288" s="316">
        <f t="shared" si="153"/>
        <v>2.9876565250483964E-2</v>
      </c>
      <c r="S288" s="316">
        <f t="shared" si="153"/>
        <v>2.8912883739728164E-2</v>
      </c>
      <c r="T288" s="126" t="s">
        <v>48</v>
      </c>
    </row>
    <row r="289" spans="1:20" outlineLevel="1">
      <c r="D289" s="135"/>
      <c r="K289" s="207"/>
      <c r="T289" s="126" t="s">
        <v>48</v>
      </c>
    </row>
    <row r="290" spans="1:20" outlineLevel="1">
      <c r="D290" s="149" t="s">
        <v>234</v>
      </c>
      <c r="I290" s="155" t="s">
        <v>235</v>
      </c>
      <c r="J290" s="155">
        <v>176.59899999999999</v>
      </c>
      <c r="K290" s="223" t="s">
        <v>235</v>
      </c>
      <c r="L290" s="155">
        <v>0</v>
      </c>
      <c r="M290" s="155">
        <v>0</v>
      </c>
      <c r="N290" s="155">
        <v>0</v>
      </c>
      <c r="O290" s="155">
        <v>0</v>
      </c>
      <c r="P290" s="155">
        <v>0</v>
      </c>
      <c r="Q290" s="155">
        <v>0</v>
      </c>
      <c r="R290" s="155">
        <v>0</v>
      </c>
      <c r="S290" s="155">
        <v>0</v>
      </c>
      <c r="T290" s="126" t="s">
        <v>48</v>
      </c>
    </row>
    <row r="291" spans="1:20">
      <c r="D291" s="310"/>
      <c r="K291" s="207"/>
      <c r="T291" s="126" t="s">
        <v>48</v>
      </c>
    </row>
    <row r="292" spans="1:20">
      <c r="A292" s="212" t="s">
        <v>56</v>
      </c>
      <c r="B292" s="212">
        <v>4</v>
      </c>
      <c r="C292" s="212"/>
      <c r="D292" s="212" t="s">
        <v>236</v>
      </c>
      <c r="E292" s="212"/>
      <c r="F292" s="212"/>
      <c r="G292" s="212"/>
      <c r="H292" s="212"/>
      <c r="I292" s="124"/>
      <c r="J292" s="124"/>
      <c r="K292" s="124"/>
      <c r="L292" s="590"/>
      <c r="M292" s="590"/>
      <c r="N292" s="590"/>
      <c r="O292" s="590"/>
      <c r="P292" s="590"/>
      <c r="Q292" s="590"/>
      <c r="R292" s="590"/>
      <c r="S292" s="590"/>
      <c r="T292" s="126" t="s">
        <v>48</v>
      </c>
    </row>
    <row r="293" spans="1:20" ht="15.75" outlineLevel="1">
      <c r="A293" s="318"/>
      <c r="B293" s="319"/>
      <c r="C293" s="319"/>
      <c r="D293" s="320"/>
      <c r="K293" s="207"/>
      <c r="T293" s="126" t="s">
        <v>48</v>
      </c>
    </row>
    <row r="294" spans="1:20" ht="15.75" outlineLevel="1">
      <c r="A294" s="318"/>
      <c r="B294" s="319"/>
      <c r="C294" s="319"/>
      <c r="D294" s="321" t="s">
        <v>58</v>
      </c>
      <c r="E294" s="322"/>
      <c r="F294" s="323"/>
      <c r="G294" s="323"/>
      <c r="H294" s="323"/>
      <c r="I294" s="324">
        <f>'Model '!G21</f>
        <v>3151.8</v>
      </c>
      <c r="J294" s="324">
        <f>'Model '!H21</f>
        <v>4539.3</v>
      </c>
      <c r="K294" s="325">
        <f>'Model '!I21</f>
        <v>5946.1</v>
      </c>
      <c r="L294" s="324">
        <f>'Model '!N21</f>
        <v>7380.5435636632019</v>
      </c>
      <c r="M294" s="324">
        <f>'Model '!O21</f>
        <v>8798.1154730423059</v>
      </c>
      <c r="N294" s="324">
        <f>'Model '!P21</f>
        <v>10181.953278042834</v>
      </c>
      <c r="O294" s="324">
        <f>'Model '!Q21</f>
        <v>11488.511963845074</v>
      </c>
      <c r="P294" s="324">
        <f>'Model '!R21</f>
        <v>12752.092644438784</v>
      </c>
      <c r="Q294" s="324">
        <f>'Model '!S21</f>
        <v>13963.81757735354</v>
      </c>
      <c r="R294" s="324">
        <f>'Model '!T21</f>
        <v>15114.090820032323</v>
      </c>
      <c r="S294" s="324">
        <f>'Model '!U21</f>
        <v>16192.553601844018</v>
      </c>
      <c r="T294" s="126" t="s">
        <v>48</v>
      </c>
    </row>
    <row r="295" spans="1:20" ht="15.75" outlineLevel="1">
      <c r="A295" s="318"/>
      <c r="B295" s="319"/>
      <c r="C295" s="319"/>
      <c r="D295" s="326" t="s">
        <v>237</v>
      </c>
      <c r="I295" s="152">
        <f>'Model '!G23</f>
        <v>-221.40000000000009</v>
      </c>
      <c r="J295" s="152">
        <f>'Model '!H23</f>
        <v>-294.60000000000036</v>
      </c>
      <c r="K295" s="307">
        <f>'Model '!I23</f>
        <v>-365.80000000000018</v>
      </c>
      <c r="L295" s="152">
        <f>'Model '!N23</f>
        <v>-454.06477135207552</v>
      </c>
      <c r="M295" s="152">
        <f>'Model '!O23</f>
        <v>-541.27643257393197</v>
      </c>
      <c r="N295" s="152">
        <f>'Model '!P23</f>
        <v>-626.41270893296632</v>
      </c>
      <c r="O295" s="152">
        <f>'Model '!Q23</f>
        <v>-706.79463010306608</v>
      </c>
      <c r="P295" s="152">
        <f>'Model '!R23</f>
        <v>-784.53246443324019</v>
      </c>
      <c r="Q295" s="152">
        <f>'Model '!S23</f>
        <v>-859.08003668989193</v>
      </c>
      <c r="R295" s="152">
        <f>'Model '!T23</f>
        <v>-929.84698663390361</v>
      </c>
      <c r="S295" s="152">
        <f>'Model '!U23</f>
        <v>-996.19602342381734</v>
      </c>
      <c r="T295" s="126" t="s">
        <v>48</v>
      </c>
    </row>
    <row r="296" spans="1:20" ht="15.75" outlineLevel="1">
      <c r="A296" s="318"/>
      <c r="B296" s="319"/>
      <c r="C296" s="319"/>
      <c r="D296" s="326" t="s">
        <v>238</v>
      </c>
      <c r="I296" s="152">
        <f>'Model '!G36</f>
        <v>-2018.4</v>
      </c>
      <c r="J296" s="152">
        <f>'Model '!H36</f>
        <v>-2533.9</v>
      </c>
      <c r="K296" s="307">
        <f>'Model '!I36</f>
        <v>-3267.4</v>
      </c>
      <c r="L296" s="152">
        <f>'Model '!N36</f>
        <v>-3712.4390314066118</v>
      </c>
      <c r="M296" s="152">
        <f ca="1">'Model '!O36</f>
        <v>-4503.0106134468597</v>
      </c>
      <c r="N296" s="152">
        <f ca="1">'Model '!P36</f>
        <v>-5285.5252978761064</v>
      </c>
      <c r="O296" s="152">
        <f ca="1">'Model '!Q36</f>
        <v>-6040.7217413335065</v>
      </c>
      <c r="P296" s="152">
        <f ca="1">'Model '!R36</f>
        <v>-6778.574307662353</v>
      </c>
      <c r="Q296" s="152">
        <f ca="1">'Model '!S36</f>
        <v>-7494.5142260545808</v>
      </c>
      <c r="R296" s="152">
        <f ca="1">'Model '!T36</f>
        <v>-8183.5879718724536</v>
      </c>
      <c r="S296" s="152">
        <f ca="1">'Model '!U36</f>
        <v>-8840.4328206747068</v>
      </c>
      <c r="T296" s="126" t="s">
        <v>48</v>
      </c>
    </row>
    <row r="297" spans="1:20" ht="15.75" outlineLevel="1">
      <c r="A297" s="318"/>
      <c r="B297" s="319"/>
      <c r="C297" s="319"/>
      <c r="D297" s="326" t="s">
        <v>239</v>
      </c>
      <c r="I297" s="152">
        <f>'Model '!G42</f>
        <v>-653.20000000000005</v>
      </c>
      <c r="J297" s="152">
        <f>'Model '!H42</f>
        <v>-664.9</v>
      </c>
      <c r="K297" s="307">
        <f>'Model '!I42</f>
        <v>-1050.0999999999999</v>
      </c>
      <c r="L297" s="152">
        <f>'Model '!N42</f>
        <v>-1322.165346019563</v>
      </c>
      <c r="M297" s="152">
        <f>'Model '!O42</f>
        <v>-1561.4204186418513</v>
      </c>
      <c r="N297" s="152">
        <f>'Model '!P42</f>
        <v>-1794.9940033483156</v>
      </c>
      <c r="O297" s="152">
        <f>'Model '!Q42</f>
        <v>-2015.460998785705</v>
      </c>
      <c r="P297" s="152">
        <f>'Model '!R42</f>
        <v>-2228.8211781698046</v>
      </c>
      <c r="Q297" s="152">
        <f>'Model '!S42</f>
        <v>-2433.5909574986863</v>
      </c>
      <c r="R297" s="152">
        <f>'Model '!T42</f>
        <v>-2628.1665465216406</v>
      </c>
      <c r="S297" s="152">
        <f>'Model '!U42</f>
        <v>-2810.8164745495314</v>
      </c>
      <c r="T297" s="126" t="s">
        <v>48</v>
      </c>
    </row>
    <row r="298" spans="1:20" ht="15.75" outlineLevel="1">
      <c r="A298" s="318"/>
      <c r="B298" s="319"/>
      <c r="C298" s="319"/>
      <c r="D298" s="327" t="s">
        <v>240</v>
      </c>
      <c r="E298" s="328"/>
      <c r="F298" s="329"/>
      <c r="G298" s="329"/>
      <c r="H298" s="329"/>
      <c r="I298" s="330">
        <f>'Model '!G64</f>
        <v>-3.7</v>
      </c>
      <c r="J298" s="330">
        <f>'Model '!H64</f>
        <v>472.6</v>
      </c>
      <c r="K298" s="331">
        <f>'Model '!I64</f>
        <v>-55.8</v>
      </c>
      <c r="L298" s="330">
        <f>'Model '!N64</f>
        <v>-45.031889706016173</v>
      </c>
      <c r="M298" s="330">
        <f ca="1">'Model '!O64</f>
        <v>-81.086779563942699</v>
      </c>
      <c r="N298" s="330">
        <f ca="1">'Model '!P64</f>
        <v>-107.70988728713751</v>
      </c>
      <c r="O298" s="330">
        <f ca="1">'Model '!Q64</f>
        <v>-125.79624135263704</v>
      </c>
      <c r="P298" s="330">
        <f ca="1">'Model '!R64</f>
        <v>-139.78448332302281</v>
      </c>
      <c r="Q298" s="330">
        <f ca="1">'Model '!S64</f>
        <v>-156.56825950110795</v>
      </c>
      <c r="R298" s="330">
        <f ca="1">'Model '!T64</f>
        <v>-168.21586111452902</v>
      </c>
      <c r="S298" s="330">
        <f ca="1">'Model '!U64</f>
        <v>-175.87288505067741</v>
      </c>
      <c r="T298" s="126" t="s">
        <v>48</v>
      </c>
    </row>
    <row r="299" spans="1:20" ht="15.75" outlineLevel="1">
      <c r="A299" s="318"/>
      <c r="B299" s="319"/>
      <c r="C299" s="319"/>
      <c r="D299" s="326"/>
      <c r="K299" s="207"/>
      <c r="T299" s="126" t="s">
        <v>48</v>
      </c>
    </row>
    <row r="300" spans="1:20" ht="15.75" outlineLevel="1">
      <c r="A300" s="318"/>
      <c r="B300" s="319"/>
      <c r="C300" s="319"/>
      <c r="D300" s="326" t="s">
        <v>241</v>
      </c>
      <c r="F300" s="332">
        <v>365</v>
      </c>
      <c r="G300" s="252"/>
      <c r="H300" s="252"/>
      <c r="K300" s="207"/>
      <c r="T300" s="126" t="s">
        <v>48</v>
      </c>
    </row>
    <row r="301" spans="1:20" ht="15.75" outlineLevel="1">
      <c r="A301" s="318"/>
      <c r="B301" s="319"/>
      <c r="C301" s="319"/>
      <c r="D301" s="326"/>
      <c r="K301" s="207"/>
      <c r="T301" s="126" t="s">
        <v>48</v>
      </c>
    </row>
    <row r="302" spans="1:20" ht="15.75" outlineLevel="1">
      <c r="A302" s="318"/>
      <c r="B302" s="319"/>
      <c r="C302" s="319"/>
      <c r="D302" s="326" t="s">
        <v>105</v>
      </c>
      <c r="I302" s="152">
        <f>'Model '!G89</f>
        <v>271.7</v>
      </c>
      <c r="J302" s="152">
        <f>'Model '!H89</f>
        <v>349</v>
      </c>
      <c r="K302" s="307">
        <f>'Model '!I89</f>
        <v>554.1</v>
      </c>
      <c r="L302" s="163">
        <f>L303*L294/$F$300</f>
        <v>630.48524785951304</v>
      </c>
      <c r="M302" s="163">
        <f t="shared" ref="M302:S302" si="154">M303*M294/$F$300</f>
        <v>751.58177265259576</v>
      </c>
      <c r="N302" s="163">
        <f t="shared" si="154"/>
        <v>869.79655100288812</v>
      </c>
      <c r="O302" s="163">
        <f t="shared" si="154"/>
        <v>981.40973636726847</v>
      </c>
      <c r="P302" s="163">
        <f t="shared" si="154"/>
        <v>1089.35151216233</v>
      </c>
      <c r="Q302" s="163">
        <f t="shared" si="154"/>
        <v>1192.8634944542041</v>
      </c>
      <c r="R302" s="163">
        <f t="shared" si="154"/>
        <v>1291.1259468414567</v>
      </c>
      <c r="S302" s="163">
        <f t="shared" si="154"/>
        <v>1383.253968095263</v>
      </c>
      <c r="T302" s="126" t="s">
        <v>48</v>
      </c>
    </row>
    <row r="303" spans="1:20" ht="15.75" outlineLevel="1">
      <c r="A303" s="318"/>
      <c r="B303" s="319"/>
      <c r="C303" s="319"/>
      <c r="D303" s="333" t="s">
        <v>242</v>
      </c>
      <c r="I303" s="163">
        <f>I302/I294*$F$300</f>
        <v>31.464718573513547</v>
      </c>
      <c r="J303" s="163">
        <f>J302/J294*$F$300</f>
        <v>28.062696891591212</v>
      </c>
      <c r="K303" s="207">
        <f>K302/K294*$F$300</f>
        <v>34.013302837153766</v>
      </c>
      <c r="L303" s="187">
        <f>AVERAGE(I303:K303)</f>
        <v>31.180239434086175</v>
      </c>
      <c r="M303" s="163">
        <f t="shared" ref="M303:S303" si="155">L303</f>
        <v>31.180239434086175</v>
      </c>
      <c r="N303" s="163">
        <f t="shared" si="155"/>
        <v>31.180239434086175</v>
      </c>
      <c r="O303" s="163">
        <f t="shared" si="155"/>
        <v>31.180239434086175</v>
      </c>
      <c r="P303" s="163">
        <f t="shared" si="155"/>
        <v>31.180239434086175</v>
      </c>
      <c r="Q303" s="163">
        <f t="shared" si="155"/>
        <v>31.180239434086175</v>
      </c>
      <c r="R303" s="163">
        <f t="shared" si="155"/>
        <v>31.180239434086175</v>
      </c>
      <c r="S303" s="163">
        <f t="shared" si="155"/>
        <v>31.180239434086175</v>
      </c>
      <c r="T303" s="126" t="s">
        <v>48</v>
      </c>
    </row>
    <row r="304" spans="1:20" ht="15.75" outlineLevel="1">
      <c r="A304" s="318"/>
      <c r="B304" s="319"/>
      <c r="C304" s="319"/>
      <c r="D304" s="326"/>
      <c r="K304" s="207"/>
      <c r="T304" s="126" t="s">
        <v>48</v>
      </c>
    </row>
    <row r="305" spans="1:20" ht="15.75" outlineLevel="1">
      <c r="A305" s="318"/>
      <c r="B305" s="319"/>
      <c r="C305" s="319"/>
      <c r="D305" s="326" t="s">
        <v>243</v>
      </c>
      <c r="I305" s="152">
        <f>'Model '!G108</f>
        <v>241.2</v>
      </c>
      <c r="J305" s="152">
        <f>'Model '!H108</f>
        <v>399.2</v>
      </c>
      <c r="K305" s="307">
        <f>'Model '!I108</f>
        <v>441.9</v>
      </c>
      <c r="L305" s="163">
        <f>L306*-L296/$F$300</f>
        <v>510.19981659492788</v>
      </c>
      <c r="M305" s="163">
        <f t="shared" ref="M305:S305" ca="1" si="156">M306*-M296/$F$300</f>
        <v>618.84792441564298</v>
      </c>
      <c r="N305" s="163">
        <f t="shared" ca="1" si="156"/>
        <v>726.3887742723399</v>
      </c>
      <c r="O305" s="163">
        <f t="shared" ca="1" si="156"/>
        <v>830.17528327235959</v>
      </c>
      <c r="P305" s="163">
        <f t="shared" ca="1" si="156"/>
        <v>931.57822641306893</v>
      </c>
      <c r="Q305" s="163">
        <f t="shared" ca="1" si="156"/>
        <v>1029.9697183585417</v>
      </c>
      <c r="R305" s="163">
        <f t="shared" ca="1" si="156"/>
        <v>1124.6689971244623</v>
      </c>
      <c r="S305" s="163">
        <f t="shared" ca="1" si="156"/>
        <v>1214.9390644724122</v>
      </c>
      <c r="T305" s="126" t="s">
        <v>48</v>
      </c>
    </row>
    <row r="306" spans="1:20" ht="15.75" outlineLevel="1">
      <c r="A306" s="318"/>
      <c r="B306" s="319"/>
      <c r="C306" s="319"/>
      <c r="D306" s="333" t="s">
        <v>244</v>
      </c>
      <c r="I306" s="163">
        <f>I305/-I296*$F$300</f>
        <v>43.617717003567179</v>
      </c>
      <c r="J306" s="163">
        <f>J305/-J296*$F$300</f>
        <v>57.503453174947708</v>
      </c>
      <c r="K306" s="207">
        <f>K305/-K296*$F$300</f>
        <v>49.364479402583086</v>
      </c>
      <c r="L306" s="187">
        <f>AVERAGE(I306:K306)</f>
        <v>50.161883193699317</v>
      </c>
      <c r="M306" s="163">
        <f t="shared" ref="M306:S306" si="157">L306</f>
        <v>50.161883193699317</v>
      </c>
      <c r="N306" s="163">
        <f t="shared" si="157"/>
        <v>50.161883193699317</v>
      </c>
      <c r="O306" s="163">
        <f t="shared" si="157"/>
        <v>50.161883193699317</v>
      </c>
      <c r="P306" s="163">
        <f t="shared" si="157"/>
        <v>50.161883193699317</v>
      </c>
      <c r="Q306" s="163">
        <f t="shared" si="157"/>
        <v>50.161883193699317</v>
      </c>
      <c r="R306" s="163">
        <f t="shared" si="157"/>
        <v>50.161883193699317</v>
      </c>
      <c r="S306" s="163">
        <f t="shared" si="157"/>
        <v>50.161883193699317</v>
      </c>
      <c r="T306" s="126" t="s">
        <v>48</v>
      </c>
    </row>
    <row r="307" spans="1:20" ht="15.75" outlineLevel="1">
      <c r="A307" s="318"/>
      <c r="B307" s="319"/>
      <c r="C307" s="319"/>
      <c r="D307" s="326"/>
      <c r="K307" s="207"/>
      <c r="T307" s="126" t="s">
        <v>48</v>
      </c>
    </row>
    <row r="308" spans="1:20" ht="15.75" outlineLevel="1">
      <c r="A308" s="318"/>
      <c r="B308" s="319"/>
      <c r="C308" s="319"/>
      <c r="D308" s="326" t="s">
        <v>245</v>
      </c>
      <c r="I308" s="152">
        <f>'Model '!G92</f>
        <v>52.5</v>
      </c>
      <c r="J308" s="152">
        <f>'Model '!H92</f>
        <v>33.299999999999997</v>
      </c>
      <c r="K308" s="307">
        <f>'Model '!I92</f>
        <v>6.1</v>
      </c>
      <c r="L308" s="163">
        <f t="shared" ref="L308:S308" si="158">L309*-L295/$F$300</f>
        <v>51.325040346313969</v>
      </c>
      <c r="M308" s="163">
        <f t="shared" si="158"/>
        <v>61.182977612735606</v>
      </c>
      <c r="N308" s="163">
        <f t="shared" si="158"/>
        <v>70.806324533155973</v>
      </c>
      <c r="O308" s="163">
        <f t="shared" si="158"/>
        <v>79.892264706150939</v>
      </c>
      <c r="P308" s="163">
        <f t="shared" si="158"/>
        <v>88.679331519439458</v>
      </c>
      <c r="Q308" s="163">
        <f t="shared" si="158"/>
        <v>97.105788261280935</v>
      </c>
      <c r="R308" s="163">
        <f t="shared" si="158"/>
        <v>105.10490378448387</v>
      </c>
      <c r="S308" s="163">
        <f t="shared" si="158"/>
        <v>112.60464215890384</v>
      </c>
      <c r="T308" s="126" t="s">
        <v>48</v>
      </c>
    </row>
    <row r="309" spans="1:20" ht="15.75" outlineLevel="1">
      <c r="A309" s="318"/>
      <c r="B309" s="319"/>
      <c r="C309" s="319"/>
      <c r="D309" s="333" t="s">
        <v>246</v>
      </c>
      <c r="I309" s="163">
        <f>I308/-I295*$F$300</f>
        <v>86.551490514905112</v>
      </c>
      <c r="J309" s="163">
        <f>J308/-J295*$F$300</f>
        <v>41.257637474541696</v>
      </c>
      <c r="K309" s="207">
        <f>K308/-K295*$F$300</f>
        <v>6.0866593767085808</v>
      </c>
      <c r="L309" s="187">
        <f>J309</f>
        <v>41.257637474541696</v>
      </c>
      <c r="M309" s="163">
        <f t="shared" ref="M309:S309" si="159">L309</f>
        <v>41.257637474541696</v>
      </c>
      <c r="N309" s="163">
        <f t="shared" si="159"/>
        <v>41.257637474541696</v>
      </c>
      <c r="O309" s="163">
        <f t="shared" si="159"/>
        <v>41.257637474541696</v>
      </c>
      <c r="P309" s="163">
        <f t="shared" si="159"/>
        <v>41.257637474541696</v>
      </c>
      <c r="Q309" s="163">
        <f t="shared" si="159"/>
        <v>41.257637474541696</v>
      </c>
      <c r="R309" s="163">
        <f t="shared" si="159"/>
        <v>41.257637474541696</v>
      </c>
      <c r="S309" s="163">
        <f t="shared" si="159"/>
        <v>41.257637474541696</v>
      </c>
      <c r="T309" s="126" t="s">
        <v>48</v>
      </c>
    </row>
    <row r="310" spans="1:20" ht="15.75" outlineLevel="1">
      <c r="A310" s="318"/>
      <c r="B310" s="319"/>
      <c r="C310" s="319"/>
      <c r="D310" s="326"/>
      <c r="K310" s="207"/>
      <c r="T310" s="126" t="s">
        <v>48</v>
      </c>
    </row>
    <row r="311" spans="1:20" outlineLevel="1">
      <c r="D311" s="326" t="s">
        <v>247</v>
      </c>
      <c r="I311" s="152">
        <f>'Model '!G110</f>
        <v>72.400000000000006</v>
      </c>
      <c r="J311" s="152">
        <f>'Model '!H110</f>
        <v>96</v>
      </c>
      <c r="K311" s="307">
        <f>'Model '!I110</f>
        <v>135.5</v>
      </c>
      <c r="L311" s="163">
        <f t="shared" ref="L311:S311" si="160">L312*-L297/$F$300</f>
        <v>169.35038158202354</v>
      </c>
      <c r="M311" s="163">
        <f t="shared" si="160"/>
        <v>199.99551833893545</v>
      </c>
      <c r="N311" s="163">
        <f t="shared" si="160"/>
        <v>229.91293813563885</v>
      </c>
      <c r="O311" s="163">
        <f t="shared" si="160"/>
        <v>258.15159218595585</v>
      </c>
      <c r="P311" s="163">
        <f t="shared" si="160"/>
        <v>285.47996522332608</v>
      </c>
      <c r="Q311" s="163">
        <f t="shared" si="160"/>
        <v>311.70803145589826</v>
      </c>
      <c r="R311" s="163">
        <f t="shared" si="160"/>
        <v>336.63036839869147</v>
      </c>
      <c r="S311" s="163">
        <f t="shared" si="160"/>
        <v>360.02519953730371</v>
      </c>
      <c r="T311" s="126" t="s">
        <v>48</v>
      </c>
    </row>
    <row r="312" spans="1:20" outlineLevel="1">
      <c r="D312" s="333" t="s">
        <v>248</v>
      </c>
      <c r="I312" s="163">
        <f>I311/-I297*$F$300</f>
        <v>40.456215554194735</v>
      </c>
      <c r="J312" s="163">
        <f>J311/-J297*$F$300</f>
        <v>52.699654083320794</v>
      </c>
      <c r="K312" s="207">
        <f>K311/-K297*$F$300</f>
        <v>47.097895438529662</v>
      </c>
      <c r="L312" s="187">
        <f>AVERAGE(I312:K312)</f>
        <v>46.751255025348399</v>
      </c>
      <c r="M312" s="163">
        <f t="shared" ref="M312:S312" si="161">L312</f>
        <v>46.751255025348399</v>
      </c>
      <c r="N312" s="163">
        <f t="shared" si="161"/>
        <v>46.751255025348399</v>
      </c>
      <c r="O312" s="163">
        <f t="shared" si="161"/>
        <v>46.751255025348399</v>
      </c>
      <c r="P312" s="163">
        <f t="shared" si="161"/>
        <v>46.751255025348399</v>
      </c>
      <c r="Q312" s="163">
        <f t="shared" si="161"/>
        <v>46.751255025348399</v>
      </c>
      <c r="R312" s="163">
        <f t="shared" si="161"/>
        <v>46.751255025348399</v>
      </c>
      <c r="S312" s="163">
        <f t="shared" si="161"/>
        <v>46.751255025348399</v>
      </c>
      <c r="T312" s="126" t="s">
        <v>48</v>
      </c>
    </row>
    <row r="313" spans="1:20" outlineLevel="1">
      <c r="D313" s="326"/>
      <c r="K313" s="207"/>
      <c r="T313" s="126" t="s">
        <v>48</v>
      </c>
    </row>
    <row r="314" spans="1:20" outlineLevel="1">
      <c r="D314" s="326" t="s">
        <v>249</v>
      </c>
      <c r="I314" s="152">
        <f>'Model '!G90</f>
        <v>321.60000000000002</v>
      </c>
      <c r="J314" s="152">
        <f>'Model '!H90</f>
        <v>383.8</v>
      </c>
      <c r="K314" s="307">
        <f>'Model '!I90</f>
        <v>610.9</v>
      </c>
      <c r="L314" s="163">
        <f t="shared" ref="L314:S314" si="162">L315*L294/$F$300</f>
        <v>711.7969002797654</v>
      </c>
      <c r="M314" s="163">
        <f t="shared" si="162"/>
        <v>848.51085397654492</v>
      </c>
      <c r="N314" s="163">
        <f t="shared" si="162"/>
        <v>981.97141167027075</v>
      </c>
      <c r="O314" s="163">
        <f t="shared" si="162"/>
        <v>1107.9789901860797</v>
      </c>
      <c r="P314" s="163">
        <f t="shared" si="162"/>
        <v>1229.8416692613848</v>
      </c>
      <c r="Q314" s="163">
        <f t="shared" si="162"/>
        <v>1346.7032586281637</v>
      </c>
      <c r="R314" s="163">
        <f t="shared" si="162"/>
        <v>1457.6383031206228</v>
      </c>
      <c r="S314" s="163">
        <f t="shared" si="162"/>
        <v>1561.6477786476057</v>
      </c>
      <c r="T314" s="126" t="s">
        <v>48</v>
      </c>
    </row>
    <row r="315" spans="1:20" outlineLevel="1">
      <c r="D315" s="333" t="s">
        <v>242</v>
      </c>
      <c r="I315" s="163">
        <f>I314/I294*$F$300</f>
        <v>37.243479916238343</v>
      </c>
      <c r="J315" s="163">
        <f>J314/J294*$F$300</f>
        <v>30.860925693388847</v>
      </c>
      <c r="K315" s="207">
        <f>K314/K294*$F$300</f>
        <v>37.499957955634784</v>
      </c>
      <c r="L315" s="187">
        <f>AVERAGE(I315:K315)</f>
        <v>35.201454521753995</v>
      </c>
      <c r="M315" s="163">
        <f t="shared" ref="M315:S315" si="163">L315</f>
        <v>35.201454521753995</v>
      </c>
      <c r="N315" s="163">
        <f t="shared" si="163"/>
        <v>35.201454521753995</v>
      </c>
      <c r="O315" s="163">
        <f t="shared" si="163"/>
        <v>35.201454521753995</v>
      </c>
      <c r="P315" s="163">
        <f t="shared" si="163"/>
        <v>35.201454521753995</v>
      </c>
      <c r="Q315" s="163">
        <f t="shared" si="163"/>
        <v>35.201454521753995</v>
      </c>
      <c r="R315" s="163">
        <f t="shared" si="163"/>
        <v>35.201454521753995</v>
      </c>
      <c r="S315" s="163">
        <f t="shared" si="163"/>
        <v>35.201454521753995</v>
      </c>
      <c r="T315" s="126" t="s">
        <v>48</v>
      </c>
    </row>
    <row r="316" spans="1:20" outlineLevel="1">
      <c r="D316" s="326"/>
      <c r="K316" s="207"/>
      <c r="T316" s="126" t="s">
        <v>48</v>
      </c>
    </row>
    <row r="317" spans="1:20" outlineLevel="1">
      <c r="D317" s="326" t="s">
        <v>250</v>
      </c>
      <c r="I317" s="152">
        <f>'Model '!G113</f>
        <v>41.6</v>
      </c>
      <c r="J317" s="152">
        <f>'Model '!H113</f>
        <v>4.9000000000000004</v>
      </c>
      <c r="K317" s="307">
        <f>'Model '!I113</f>
        <v>280.39999999999998</v>
      </c>
      <c r="L317" s="163">
        <f t="shared" ref="L317:S317" si="164">L318*L294/$F$300</f>
        <v>151.14179378875306</v>
      </c>
      <c r="M317" s="163">
        <f t="shared" si="164"/>
        <v>180.17141191375796</v>
      </c>
      <c r="N317" s="163">
        <f t="shared" si="164"/>
        <v>208.51020923353963</v>
      </c>
      <c r="O317" s="163">
        <f t="shared" si="164"/>
        <v>235.26645310081554</v>
      </c>
      <c r="P317" s="163">
        <f t="shared" si="164"/>
        <v>261.14257577584482</v>
      </c>
      <c r="Q317" s="163">
        <f t="shared" si="164"/>
        <v>285.95677521245022</v>
      </c>
      <c r="R317" s="163">
        <f t="shared" si="164"/>
        <v>309.51254176894309</v>
      </c>
      <c r="S317" s="163">
        <f t="shared" si="164"/>
        <v>331.59774429791861</v>
      </c>
      <c r="T317" s="126" t="s">
        <v>48</v>
      </c>
    </row>
    <row r="318" spans="1:20" outlineLevel="1">
      <c r="D318" s="333" t="s">
        <v>242</v>
      </c>
      <c r="I318" s="163">
        <f>I317/I294*$F$300</f>
        <v>4.8175645662795867</v>
      </c>
      <c r="J318" s="163">
        <f>J317/J294*$F$300</f>
        <v>0.39400348071288527</v>
      </c>
      <c r="K318" s="207">
        <f>K317/K294*$F$300</f>
        <v>17.212290408839404</v>
      </c>
      <c r="L318" s="187">
        <f>AVERAGE(I318:K318)</f>
        <v>7.4746194852772918</v>
      </c>
      <c r="M318" s="163">
        <f t="shared" ref="M318:S318" si="165">L318</f>
        <v>7.4746194852772918</v>
      </c>
      <c r="N318" s="163">
        <f t="shared" si="165"/>
        <v>7.4746194852772918</v>
      </c>
      <c r="O318" s="163">
        <f t="shared" si="165"/>
        <v>7.4746194852772918</v>
      </c>
      <c r="P318" s="163">
        <f t="shared" si="165"/>
        <v>7.4746194852772918</v>
      </c>
      <c r="Q318" s="163">
        <f t="shared" si="165"/>
        <v>7.4746194852772918</v>
      </c>
      <c r="R318" s="163">
        <f t="shared" si="165"/>
        <v>7.4746194852772918</v>
      </c>
      <c r="S318" s="163">
        <f t="shared" si="165"/>
        <v>7.4746194852772918</v>
      </c>
      <c r="T318" s="126" t="s">
        <v>48</v>
      </c>
    </row>
    <row r="319" spans="1:20">
      <c r="K319" s="207"/>
      <c r="T319" s="126" t="s">
        <v>48</v>
      </c>
    </row>
    <row r="320" spans="1:20">
      <c r="A320" s="212" t="s">
        <v>56</v>
      </c>
      <c r="B320" s="212">
        <v>5</v>
      </c>
      <c r="C320" s="212"/>
      <c r="D320" s="212" t="s">
        <v>251</v>
      </c>
      <c r="E320" s="212"/>
      <c r="F320" s="212"/>
      <c r="G320" s="212"/>
      <c r="H320" s="212"/>
      <c r="I320" s="124"/>
      <c r="J320" s="124"/>
      <c r="K320" s="124"/>
      <c r="L320" s="590"/>
      <c r="M320" s="590"/>
      <c r="N320" s="590"/>
      <c r="O320" s="590"/>
      <c r="P320" s="590"/>
      <c r="Q320" s="590"/>
      <c r="R320" s="590"/>
      <c r="S320" s="590"/>
      <c r="T320" s="126" t="s">
        <v>48</v>
      </c>
    </row>
    <row r="321" spans="1:21" outlineLevel="1">
      <c r="D321" s="326"/>
      <c r="K321" s="207"/>
      <c r="T321" s="126" t="s">
        <v>48</v>
      </c>
    </row>
    <row r="322" spans="1:21" outlineLevel="1">
      <c r="D322" s="334" t="s">
        <v>252</v>
      </c>
      <c r="I322" s="137"/>
      <c r="J322" s="192">
        <f t="shared" ref="J322:S322" si="166">I325</f>
        <v>4544.5</v>
      </c>
      <c r="K322" s="230">
        <f t="shared" si="166"/>
        <v>5957.6</v>
      </c>
      <c r="L322" s="192">
        <f t="shared" si="166"/>
        <v>7932.5</v>
      </c>
      <c r="M322" s="192">
        <f t="shared" si="166"/>
        <v>9986.393000852393</v>
      </c>
      <c r="N322" s="192">
        <f t="shared" si="166"/>
        <v>11681.757205782276</v>
      </c>
      <c r="O322" s="192">
        <f t="shared" si="166"/>
        <v>12995.623841511366</v>
      </c>
      <c r="P322" s="192">
        <f t="shared" si="166"/>
        <v>13899.940975092484</v>
      </c>
      <c r="Q322" s="192">
        <f t="shared" si="166"/>
        <v>14383.405495149964</v>
      </c>
      <c r="R322" s="192">
        <f t="shared" si="166"/>
        <v>14435.280879020465</v>
      </c>
      <c r="S322" s="192">
        <f t="shared" si="166"/>
        <v>14045.480664067192</v>
      </c>
      <c r="T322" s="126" t="s">
        <v>48</v>
      </c>
    </row>
    <row r="323" spans="1:21" outlineLevel="1">
      <c r="D323" s="326" t="s">
        <v>253</v>
      </c>
      <c r="I323" s="137"/>
      <c r="J323" s="152">
        <f>-('Model '!H75+'Model '!H77)</f>
        <v>-597.69999999999993</v>
      </c>
      <c r="K323" s="307">
        <f>-('Model '!I75+'Model '!I77)</f>
        <v>-751.9</v>
      </c>
      <c r="L323" s="187">
        <f>L341</f>
        <v>-1286.3504348587894</v>
      </c>
      <c r="M323" s="163">
        <f t="shared" ref="M323:S323" si="167">M341</f>
        <v>-1670.4260388521025</v>
      </c>
      <c r="N323" s="163">
        <f t="shared" si="167"/>
        <v>-2054.8337203208521</v>
      </c>
      <c r="O323" s="163">
        <f t="shared" si="167"/>
        <v>-2436.0028759313568</v>
      </c>
      <c r="P323" s="163">
        <f t="shared" si="167"/>
        <v>-2812.060392801136</v>
      </c>
      <c r="Q323" s="163">
        <f t="shared" si="167"/>
        <v>-3180.9648642569214</v>
      </c>
      <c r="R323" s="163">
        <f t="shared" si="167"/>
        <v>-3540.4956638246699</v>
      </c>
      <c r="S323" s="163">
        <f t="shared" si="167"/>
        <v>-3888.2414101584964</v>
      </c>
      <c r="T323" s="126" t="s">
        <v>48</v>
      </c>
    </row>
    <row r="324" spans="1:21" outlineLevel="1">
      <c r="D324" s="326" t="s">
        <v>254</v>
      </c>
      <c r="I324" s="137"/>
      <c r="J324" s="163">
        <f>J325-SUM(J322:J323)</f>
        <v>2010.8000000000002</v>
      </c>
      <c r="K324" s="207">
        <f>K325-SUM(K322:K323)</f>
        <v>2726.7999999999993</v>
      </c>
      <c r="L324" s="187">
        <f>L329</f>
        <v>3340.243435711182</v>
      </c>
      <c r="M324" s="163">
        <f t="shared" ref="M324:S324" si="168">M329</f>
        <v>3365.7902437819857</v>
      </c>
      <c r="N324" s="163">
        <f t="shared" si="168"/>
        <v>3368.7003560499425</v>
      </c>
      <c r="O324" s="163">
        <f t="shared" si="168"/>
        <v>3340.3200095124762</v>
      </c>
      <c r="P324" s="163">
        <f t="shared" si="168"/>
        <v>3295.5249128586138</v>
      </c>
      <c r="Q324" s="163">
        <f t="shared" si="168"/>
        <v>3232.8402481274234</v>
      </c>
      <c r="R324" s="163">
        <f t="shared" si="168"/>
        <v>3150.6954488713973</v>
      </c>
      <c r="S324" s="163">
        <f t="shared" si="168"/>
        <v>3047.4188627389531</v>
      </c>
      <c r="T324" s="126" t="s">
        <v>48</v>
      </c>
    </row>
    <row r="325" spans="1:21" outlineLevel="1">
      <c r="D325" s="334" t="s">
        <v>255</v>
      </c>
      <c r="I325" s="150">
        <f>'Model '!G99+'Model '!G97</f>
        <v>4544.5</v>
      </c>
      <c r="J325" s="150">
        <f>'Model '!H99+'Model '!H97</f>
        <v>5957.6</v>
      </c>
      <c r="K325" s="347">
        <f>'Model '!I99+'Model '!I97</f>
        <v>7932.5</v>
      </c>
      <c r="L325" s="192">
        <f>SUM(L322:L324)</f>
        <v>9986.393000852393</v>
      </c>
      <c r="M325" s="192">
        <f t="shared" ref="M325:S325" si="169">SUM(M322:M324)</f>
        <v>11681.757205782276</v>
      </c>
      <c r="N325" s="192">
        <f t="shared" si="169"/>
        <v>12995.623841511366</v>
      </c>
      <c r="O325" s="192">
        <f t="shared" si="169"/>
        <v>13899.940975092484</v>
      </c>
      <c r="P325" s="192">
        <f t="shared" si="169"/>
        <v>14383.405495149964</v>
      </c>
      <c r="Q325" s="192">
        <f t="shared" si="169"/>
        <v>14435.280879020465</v>
      </c>
      <c r="R325" s="192">
        <f t="shared" si="169"/>
        <v>14045.480664067192</v>
      </c>
      <c r="S325" s="192">
        <f t="shared" si="169"/>
        <v>13204.65811664765</v>
      </c>
      <c r="T325" s="126" t="s">
        <v>48</v>
      </c>
    </row>
    <row r="326" spans="1:21" ht="15.75">
      <c r="A326" s="318"/>
      <c r="B326" s="319"/>
      <c r="C326" s="319"/>
      <c r="D326" s="320"/>
      <c r="K326" s="207"/>
      <c r="T326" s="126" t="s">
        <v>48</v>
      </c>
    </row>
    <row r="327" spans="1:21">
      <c r="B327" s="335">
        <v>5.0999999999999996</v>
      </c>
      <c r="C327" s="212"/>
      <c r="D327" s="212" t="s">
        <v>256</v>
      </c>
      <c r="E327" s="212"/>
      <c r="F327" s="212"/>
      <c r="G327" s="212"/>
      <c r="H327" s="212"/>
      <c r="I327" s="124"/>
      <c r="J327" s="124"/>
      <c r="K327" s="593"/>
      <c r="L327" s="590"/>
      <c r="M327" s="590"/>
      <c r="N327" s="590"/>
      <c r="O327" s="590"/>
      <c r="P327" s="590"/>
      <c r="Q327" s="590"/>
      <c r="R327" s="590"/>
      <c r="S327" s="590"/>
      <c r="T327" s="126" t="s">
        <v>48</v>
      </c>
    </row>
    <row r="328" spans="1:21" ht="15.75" outlineLevel="1">
      <c r="A328" s="318"/>
      <c r="B328" s="319"/>
      <c r="C328" s="319"/>
      <c r="D328" s="320"/>
      <c r="K328" s="207"/>
      <c r="T328" s="126" t="s">
        <v>48</v>
      </c>
    </row>
    <row r="329" spans="1:21" ht="15.75" outlineLevel="1">
      <c r="A329" s="318"/>
      <c r="B329" s="319"/>
      <c r="C329" s="319"/>
      <c r="D329" s="326" t="s">
        <v>257</v>
      </c>
      <c r="I329" s="137"/>
      <c r="J329" s="163">
        <f>J324</f>
        <v>2010.8000000000002</v>
      </c>
      <c r="K329" s="207">
        <f>K324</f>
        <v>2726.7999999999993</v>
      </c>
      <c r="L329" s="163">
        <f>SUM(L331,L333)</f>
        <v>3340.243435711182</v>
      </c>
      <c r="M329" s="163">
        <f t="shared" ref="M329:S329" si="170">SUM(M331,M333)</f>
        <v>3365.7902437819857</v>
      </c>
      <c r="N329" s="163">
        <f t="shared" si="170"/>
        <v>3368.7003560499425</v>
      </c>
      <c r="O329" s="163">
        <f t="shared" si="170"/>
        <v>3340.3200095124762</v>
      </c>
      <c r="P329" s="163">
        <f t="shared" si="170"/>
        <v>3295.5249128586138</v>
      </c>
      <c r="Q329" s="163">
        <f t="shared" si="170"/>
        <v>3232.8402481274234</v>
      </c>
      <c r="R329" s="163">
        <f t="shared" si="170"/>
        <v>3150.6954488713973</v>
      </c>
      <c r="S329" s="163">
        <f t="shared" si="170"/>
        <v>3047.4188627389531</v>
      </c>
      <c r="T329" s="126" t="s">
        <v>48</v>
      </c>
    </row>
    <row r="330" spans="1:21" ht="15.75" outlineLevel="1">
      <c r="A330" s="318"/>
      <c r="B330" s="319"/>
      <c r="C330" s="319"/>
      <c r="D330" s="336" t="s">
        <v>71</v>
      </c>
      <c r="F330" s="308">
        <f>AVERAGE(J330:K330)</f>
        <v>0.48118386621599801</v>
      </c>
      <c r="G330" s="532"/>
      <c r="H330" s="338"/>
      <c r="I330" s="137"/>
      <c r="J330" s="339">
        <f>J329/'Model '!H25</f>
        <v>0.47372016868094335</v>
      </c>
      <c r="K330" s="340">
        <f>K329/'Model '!I25</f>
        <v>0.48864756375105267</v>
      </c>
      <c r="L330" s="339">
        <f t="shared" ref="L330:S330" si="171">L329/L21</f>
        <v>0.48224264245479026</v>
      </c>
      <c r="M330" s="339">
        <f t="shared" si="171"/>
        <v>0.4076366545703014</v>
      </c>
      <c r="N330" s="339">
        <f t="shared" si="171"/>
        <v>0.35253896225818115</v>
      </c>
      <c r="O330" s="339">
        <f t="shared" si="171"/>
        <v>0.30981335404321458</v>
      </c>
      <c r="P330" s="339">
        <f t="shared" si="171"/>
        <v>0.27537149287659457</v>
      </c>
      <c r="Q330" s="339">
        <f t="shared" si="171"/>
        <v>0.24669248339358241</v>
      </c>
      <c r="R330" s="339">
        <f t="shared" si="171"/>
        <v>0.22212643027559395</v>
      </c>
      <c r="S330" s="339">
        <f t="shared" si="171"/>
        <v>0.20053613815105817</v>
      </c>
      <c r="T330" s="126" t="s">
        <v>48</v>
      </c>
    </row>
    <row r="331" spans="1:21" ht="15.75" outlineLevel="1">
      <c r="A331" s="318"/>
      <c r="B331" s="319"/>
      <c r="C331" s="319"/>
      <c r="D331" s="598" t="s">
        <v>258</v>
      </c>
      <c r="F331" s="597"/>
      <c r="G331" s="532"/>
      <c r="H331" s="338"/>
      <c r="I331" s="137"/>
      <c r="J331" s="163">
        <f>J329*J332</f>
        <v>1608.6400000000003</v>
      </c>
      <c r="K331" s="207">
        <f>K329*K332</f>
        <v>2181.4399999999996</v>
      </c>
      <c r="L331" s="163">
        <f>L336*$L$337</f>
        <v>2716.8603444031805</v>
      </c>
      <c r="M331" s="163">
        <f t="shared" ref="M331:S331" si="172">M336*M337</f>
        <v>2622.6747301398323</v>
      </c>
      <c r="N331" s="163">
        <f t="shared" si="172"/>
        <v>2508.7017048300545</v>
      </c>
      <c r="O331" s="163">
        <f t="shared" si="172"/>
        <v>2369.9654494756956</v>
      </c>
      <c r="P331" s="163">
        <f t="shared" si="172"/>
        <v>2218.4444966581145</v>
      </c>
      <c r="Q331" s="163">
        <f t="shared" si="172"/>
        <v>2053.4138694676949</v>
      </c>
      <c r="R331" s="163">
        <f t="shared" si="172"/>
        <v>1874.1135038655398</v>
      </c>
      <c r="S331" s="163">
        <f t="shared" si="172"/>
        <v>1679.7466806811353</v>
      </c>
      <c r="T331" s="126" t="s">
        <v>48</v>
      </c>
    </row>
    <row r="332" spans="1:21" ht="15.75" outlineLevel="1">
      <c r="A332" s="318"/>
      <c r="B332" s="319"/>
      <c r="C332" s="319"/>
      <c r="D332" s="599" t="s">
        <v>259</v>
      </c>
      <c r="F332" s="597"/>
      <c r="G332" s="532"/>
      <c r="H332" s="338"/>
      <c r="I332" s="137"/>
      <c r="J332" s="339">
        <v>0.8</v>
      </c>
      <c r="K332" s="340">
        <v>0.8</v>
      </c>
      <c r="L332" s="341">
        <f>K332</f>
        <v>0.8</v>
      </c>
      <c r="M332" s="341">
        <f t="shared" ref="M332:S332" si="173">L332</f>
        <v>0.8</v>
      </c>
      <c r="N332" s="341">
        <f t="shared" si="173"/>
        <v>0.8</v>
      </c>
      <c r="O332" s="341">
        <f t="shared" si="173"/>
        <v>0.8</v>
      </c>
      <c r="P332" s="341">
        <f t="shared" si="173"/>
        <v>0.8</v>
      </c>
      <c r="Q332" s="341">
        <f t="shared" si="173"/>
        <v>0.8</v>
      </c>
      <c r="R332" s="341">
        <f t="shared" si="173"/>
        <v>0.8</v>
      </c>
      <c r="S332" s="341">
        <f t="shared" si="173"/>
        <v>0.8</v>
      </c>
      <c r="T332" s="126" t="s">
        <v>48</v>
      </c>
      <c r="U332" t="s">
        <v>260</v>
      </c>
    </row>
    <row r="333" spans="1:21" ht="15.75" outlineLevel="1">
      <c r="A333" s="318"/>
      <c r="B333" s="319"/>
      <c r="C333" s="319"/>
      <c r="D333" s="598" t="s">
        <v>261</v>
      </c>
      <c r="F333" s="597"/>
      <c r="G333" s="532"/>
      <c r="H333" s="338"/>
      <c r="I333" s="137"/>
      <c r="J333" s="163">
        <f>J329-J331</f>
        <v>402.15999999999985</v>
      </c>
      <c r="K333" s="207">
        <f>K329-K331</f>
        <v>545.35999999999967</v>
      </c>
      <c r="L333" s="163">
        <f t="shared" ref="L333:S333" si="174">L334*L21</f>
        <v>623.38309130800133</v>
      </c>
      <c r="M333" s="163">
        <f t="shared" si="174"/>
        <v>743.1155136421537</v>
      </c>
      <c r="N333" s="163">
        <f t="shared" si="174"/>
        <v>859.99865121988807</v>
      </c>
      <c r="O333" s="163">
        <f t="shared" si="174"/>
        <v>970.35456003678064</v>
      </c>
      <c r="P333" s="163">
        <f t="shared" si="174"/>
        <v>1077.080416200499</v>
      </c>
      <c r="Q333" s="163">
        <f t="shared" si="174"/>
        <v>1179.4263786597285</v>
      </c>
      <c r="R333" s="163">
        <f t="shared" si="174"/>
        <v>1276.5819450058577</v>
      </c>
      <c r="S333" s="163">
        <f t="shared" si="174"/>
        <v>1367.672182057818</v>
      </c>
      <c r="T333" s="126" t="s">
        <v>48</v>
      </c>
    </row>
    <row r="334" spans="1:21" ht="15.75" outlineLevel="1">
      <c r="A334" s="318"/>
      <c r="B334" s="319"/>
      <c r="C334" s="319"/>
      <c r="D334" s="599" t="s">
        <v>71</v>
      </c>
      <c r="F334" s="597"/>
      <c r="G334" s="532"/>
      <c r="H334" s="338"/>
      <c r="I334" s="137"/>
      <c r="J334" s="339">
        <f>J333/J21</f>
        <v>9.4744033736188629E-2</v>
      </c>
      <c r="K334" s="340">
        <f>K333/K21</f>
        <v>9.7729512750210495E-2</v>
      </c>
      <c r="L334" s="611">
        <v>0.09</v>
      </c>
      <c r="M334" s="341">
        <f>L334</f>
        <v>0.09</v>
      </c>
      <c r="N334" s="341">
        <f t="shared" ref="N334:S334" si="175">M334</f>
        <v>0.09</v>
      </c>
      <c r="O334" s="341">
        <f t="shared" si="175"/>
        <v>0.09</v>
      </c>
      <c r="P334" s="341">
        <f t="shared" si="175"/>
        <v>0.09</v>
      </c>
      <c r="Q334" s="341">
        <f t="shared" si="175"/>
        <v>0.09</v>
      </c>
      <c r="R334" s="341">
        <f t="shared" si="175"/>
        <v>0.09</v>
      </c>
      <c r="S334" s="341">
        <f t="shared" si="175"/>
        <v>0.09</v>
      </c>
      <c r="T334" s="126" t="s">
        <v>48</v>
      </c>
    </row>
    <row r="335" spans="1:21" ht="15.75" outlineLevel="1">
      <c r="A335" s="318"/>
      <c r="B335" s="319"/>
      <c r="C335" s="319"/>
      <c r="D335" s="320"/>
      <c r="I335"/>
      <c r="K335" s="207"/>
      <c r="T335" s="126" t="s">
        <v>48</v>
      </c>
    </row>
    <row r="336" spans="1:21" ht="15.75" outlineLevel="1">
      <c r="A336" s="318"/>
      <c r="B336" s="319"/>
      <c r="C336" s="319"/>
      <c r="D336" s="336" t="s">
        <v>262</v>
      </c>
      <c r="I336"/>
      <c r="J336" s="163">
        <f t="shared" ref="J336:S336" si="176">J95</f>
        <v>223</v>
      </c>
      <c r="K336" s="207">
        <f t="shared" si="176"/>
        <v>419</v>
      </c>
      <c r="L336" s="163">
        <f t="shared" si="176"/>
        <v>350</v>
      </c>
      <c r="M336" s="163">
        <f t="shared" si="176"/>
        <v>324</v>
      </c>
      <c r="N336" s="163">
        <f t="shared" si="176"/>
        <v>298</v>
      </c>
      <c r="O336" s="163">
        <f t="shared" si="176"/>
        <v>272</v>
      </c>
      <c r="P336" s="163">
        <f t="shared" si="176"/>
        <v>246</v>
      </c>
      <c r="Q336" s="163">
        <f t="shared" si="176"/>
        <v>220</v>
      </c>
      <c r="R336" s="163">
        <f t="shared" si="176"/>
        <v>194</v>
      </c>
      <c r="S336" s="163">
        <f t="shared" si="176"/>
        <v>168</v>
      </c>
      <c r="T336" s="126" t="s">
        <v>48</v>
      </c>
    </row>
    <row r="337" spans="1:21" ht="15.75" outlineLevel="1">
      <c r="A337" s="318"/>
      <c r="B337" s="319"/>
      <c r="C337" s="319"/>
      <c r="D337" s="336" t="s">
        <v>263</v>
      </c>
      <c r="I337"/>
      <c r="J337" s="163">
        <f>J329/J336</f>
        <v>9.0170403587443957</v>
      </c>
      <c r="K337" s="207">
        <f>K329/K336</f>
        <v>6.5078758949880653</v>
      </c>
      <c r="L337" s="187">
        <f>AVERAGE(J337:K337)</f>
        <v>7.76245812686623</v>
      </c>
      <c r="M337" s="141">
        <f t="shared" ref="M337:S337" si="177">L337*(1+M13)</f>
        <v>8.0946750930241738</v>
      </c>
      <c r="N337" s="141">
        <f t="shared" si="177"/>
        <v>8.4184620967451487</v>
      </c>
      <c r="O337" s="141">
        <f t="shared" si="177"/>
        <v>8.713108270131233</v>
      </c>
      <c r="P337" s="141">
        <f t="shared" si="177"/>
        <v>9.0180670595858317</v>
      </c>
      <c r="Q337" s="141">
        <f t="shared" si="177"/>
        <v>9.3336994066713412</v>
      </c>
      <c r="R337" s="141">
        <f t="shared" si="177"/>
        <v>9.6603788859048443</v>
      </c>
      <c r="S337" s="141">
        <f t="shared" si="177"/>
        <v>9.99849214691152</v>
      </c>
      <c r="T337" s="126" t="s">
        <v>48</v>
      </c>
    </row>
    <row r="338" spans="1:21" ht="15.75" outlineLevel="1">
      <c r="A338" s="318"/>
      <c r="B338" s="319"/>
      <c r="C338" s="319"/>
      <c r="D338" s="336"/>
      <c r="I338"/>
      <c r="K338" s="207"/>
      <c r="M338" s="141"/>
      <c r="N338" s="141"/>
      <c r="O338" s="141"/>
      <c r="P338" s="141"/>
      <c r="Q338" s="141"/>
      <c r="R338" s="141"/>
      <c r="S338" s="141"/>
      <c r="T338" s="126" t="s">
        <v>48</v>
      </c>
    </row>
    <row r="339" spans="1:21">
      <c r="B339" s="335">
        <v>5.2</v>
      </c>
      <c r="C339" s="212"/>
      <c r="D339" s="212" t="s">
        <v>264</v>
      </c>
      <c r="E339" s="212"/>
      <c r="F339" s="212"/>
      <c r="G339" s="212"/>
      <c r="H339" s="212"/>
      <c r="I339" s="124"/>
      <c r="J339" s="124"/>
      <c r="K339" s="124"/>
      <c r="L339" s="590"/>
      <c r="M339" s="590"/>
      <c r="N339" s="590"/>
      <c r="O339" s="590"/>
      <c r="P339" s="590"/>
      <c r="Q339" s="590"/>
      <c r="R339" s="590"/>
      <c r="S339" s="590"/>
      <c r="T339" s="126" t="s">
        <v>48</v>
      </c>
    </row>
    <row r="340" spans="1:21" outlineLevel="1">
      <c r="D340" s="326"/>
      <c r="K340" s="207"/>
      <c r="T340" s="126" t="s">
        <v>48</v>
      </c>
    </row>
    <row r="341" spans="1:21" outlineLevel="1">
      <c r="D341" s="326" t="s">
        <v>265</v>
      </c>
      <c r="E341" s="199" t="s">
        <v>266</v>
      </c>
      <c r="F341" s="342">
        <f>AVERAGE(J346:K346)+1</f>
        <v>8.7633533835192114</v>
      </c>
      <c r="I341" s="137"/>
      <c r="J341" s="137"/>
      <c r="K341" s="343"/>
      <c r="L341" s="163">
        <f>L344+L348</f>
        <v>-1286.3504348587894</v>
      </c>
      <c r="M341" s="163">
        <f t="shared" ref="M341:S341" si="178">M344+M348</f>
        <v>-1670.4260388521025</v>
      </c>
      <c r="N341" s="163">
        <f t="shared" si="178"/>
        <v>-2054.8337203208521</v>
      </c>
      <c r="O341" s="163">
        <f t="shared" si="178"/>
        <v>-2436.0028759313568</v>
      </c>
      <c r="P341" s="163">
        <f t="shared" si="178"/>
        <v>-2812.060392801136</v>
      </c>
      <c r="Q341" s="163">
        <f t="shared" si="178"/>
        <v>-3180.9648642569214</v>
      </c>
      <c r="R341" s="163">
        <f t="shared" si="178"/>
        <v>-3540.4956638246699</v>
      </c>
      <c r="S341" s="163">
        <f t="shared" si="178"/>
        <v>-3888.2414101584964</v>
      </c>
      <c r="T341" s="126" t="s">
        <v>48</v>
      </c>
    </row>
    <row r="342" spans="1:21" outlineLevel="1">
      <c r="D342" s="326"/>
      <c r="E342" s="199" t="s">
        <v>267</v>
      </c>
      <c r="F342" s="344">
        <f>1/F341</f>
        <v>0.11411156850990953</v>
      </c>
      <c r="K342" s="207"/>
      <c r="T342" s="126" t="s">
        <v>48</v>
      </c>
    </row>
    <row r="343" spans="1:21" outlineLevel="1">
      <c r="D343" s="326" t="s">
        <v>268</v>
      </c>
      <c r="I343" s="137"/>
      <c r="J343" s="137"/>
      <c r="K343" s="343"/>
      <c r="L343" s="163">
        <f>K345</f>
        <v>7932.5</v>
      </c>
      <c r="M343" s="163">
        <f>L345</f>
        <v>7027.3099827951428</v>
      </c>
      <c r="N343" s="163">
        <f t="shared" ref="N343:S343" si="179">M345</f>
        <v>6122.1199655902856</v>
      </c>
      <c r="O343" s="163">
        <f t="shared" si="179"/>
        <v>5216.9299483854284</v>
      </c>
      <c r="P343" s="163">
        <f t="shared" si="179"/>
        <v>4311.7399311805711</v>
      </c>
      <c r="Q343" s="163">
        <f t="shared" si="179"/>
        <v>3406.5499139757139</v>
      </c>
      <c r="R343" s="163">
        <f t="shared" si="179"/>
        <v>2501.3598967708567</v>
      </c>
      <c r="S343" s="163">
        <f t="shared" si="179"/>
        <v>1596.1698795659995</v>
      </c>
      <c r="T343" s="126" t="s">
        <v>48</v>
      </c>
    </row>
    <row r="344" spans="1:21" outlineLevel="1">
      <c r="D344" s="326" t="s">
        <v>269</v>
      </c>
      <c r="I344" s="152">
        <f>-('Model '!G75+'Model '!G77)</f>
        <v>-447.8</v>
      </c>
      <c r="J344" s="163">
        <f>J323</f>
        <v>-597.69999999999993</v>
      </c>
      <c r="K344" s="207">
        <f>K323</f>
        <v>-751.9</v>
      </c>
      <c r="L344" s="187">
        <f t="shared" ref="L344:S344" si="180">-MIN($F$345/$F$341,L343)</f>
        <v>-905.19001720485733</v>
      </c>
      <c r="M344" s="163">
        <f t="shared" si="180"/>
        <v>-905.19001720485733</v>
      </c>
      <c r="N344" s="163">
        <f t="shared" si="180"/>
        <v>-905.19001720485733</v>
      </c>
      <c r="O344" s="163">
        <f t="shared" si="180"/>
        <v>-905.19001720485733</v>
      </c>
      <c r="P344" s="163">
        <f t="shared" si="180"/>
        <v>-905.19001720485733</v>
      </c>
      <c r="Q344" s="163">
        <f t="shared" si="180"/>
        <v>-905.19001720485733</v>
      </c>
      <c r="R344" s="163">
        <f t="shared" si="180"/>
        <v>-905.19001720485733</v>
      </c>
      <c r="S344" s="163">
        <f t="shared" si="180"/>
        <v>-905.19001720485733</v>
      </c>
      <c r="T344" s="126" t="s">
        <v>48</v>
      </c>
    </row>
    <row r="345" spans="1:21" outlineLevel="1">
      <c r="D345" s="326" t="s">
        <v>270</v>
      </c>
      <c r="F345" s="342">
        <f>K325</f>
        <v>7932.5</v>
      </c>
      <c r="I345" s="163">
        <f>I325</f>
        <v>4544.5</v>
      </c>
      <c r="J345" s="163">
        <f>J325</f>
        <v>5957.6</v>
      </c>
      <c r="K345" s="207">
        <f>K325</f>
        <v>7932.5</v>
      </c>
      <c r="L345" s="163">
        <f>SUM(L343:L344)</f>
        <v>7027.3099827951428</v>
      </c>
      <c r="M345" s="163">
        <f t="shared" ref="M345:S345" si="181">SUM(M343:M344)</f>
        <v>6122.1199655902856</v>
      </c>
      <c r="N345" s="163">
        <f t="shared" si="181"/>
        <v>5216.9299483854284</v>
      </c>
      <c r="O345" s="163">
        <f t="shared" si="181"/>
        <v>4311.7399311805711</v>
      </c>
      <c r="P345" s="163">
        <f t="shared" si="181"/>
        <v>3406.5499139757139</v>
      </c>
      <c r="Q345" s="163">
        <f t="shared" si="181"/>
        <v>2501.3598967708567</v>
      </c>
      <c r="R345" s="163">
        <f t="shared" si="181"/>
        <v>1596.1698795659995</v>
      </c>
      <c r="S345" s="163">
        <f t="shared" si="181"/>
        <v>690.97986236114218</v>
      </c>
      <c r="T345" s="126" t="s">
        <v>48</v>
      </c>
    </row>
    <row r="346" spans="1:21" outlineLevel="1">
      <c r="D346" s="326" t="s">
        <v>271</v>
      </c>
      <c r="I346" s="137"/>
      <c r="J346" s="163">
        <f>I345/-J344</f>
        <v>7.603312698678268</v>
      </c>
      <c r="K346" s="207">
        <f>J345/-K344</f>
        <v>7.9233940683601549</v>
      </c>
      <c r="T346" s="126" t="s">
        <v>48</v>
      </c>
    </row>
    <row r="347" spans="1:21" outlineLevel="1">
      <c r="D347" s="326"/>
      <c r="K347" s="207"/>
      <c r="T347" s="126" t="s">
        <v>48</v>
      </c>
    </row>
    <row r="348" spans="1:21" outlineLevel="1">
      <c r="D348" s="326" t="s">
        <v>272</v>
      </c>
      <c r="I348" s="137"/>
      <c r="J348" s="137"/>
      <c r="K348" s="343"/>
      <c r="L348" s="163">
        <f>SUM(L350:L357)</f>
        <v>-381.16041765393214</v>
      </c>
      <c r="M348" s="163">
        <f t="shared" ref="M348:S348" si="182">SUM(M350:M357)</f>
        <v>-765.23602164724525</v>
      </c>
      <c r="N348" s="163">
        <f t="shared" si="182"/>
        <v>-1149.6437031159949</v>
      </c>
      <c r="O348" s="163">
        <f t="shared" si="182"/>
        <v>-1530.8128587264994</v>
      </c>
      <c r="P348" s="163">
        <f t="shared" si="182"/>
        <v>-1906.8703755962788</v>
      </c>
      <c r="Q348" s="163">
        <f t="shared" si="182"/>
        <v>-2275.7748470520642</v>
      </c>
      <c r="R348" s="163">
        <f t="shared" si="182"/>
        <v>-2635.3056466198127</v>
      </c>
      <c r="S348" s="163">
        <f t="shared" si="182"/>
        <v>-2983.0513929536392</v>
      </c>
      <c r="T348" s="126" t="s">
        <v>48</v>
      </c>
    </row>
    <row r="349" spans="1:21" outlineLevel="1">
      <c r="D349" s="326"/>
      <c r="K349" s="207"/>
      <c r="T349" s="126" t="s">
        <v>48</v>
      </c>
      <c r="U349" s="199" t="s">
        <v>273</v>
      </c>
    </row>
    <row r="350" spans="1:21" outlineLevel="1">
      <c r="D350" s="154">
        <v>2025</v>
      </c>
      <c r="F350" s="187" cm="1">
        <f t="array" ref="F350:F357">TRANSPOSE(L324:S324)</f>
        <v>3340.243435711182</v>
      </c>
      <c r="H350"/>
      <c r="I350" s="137"/>
      <c r="J350" s="137"/>
      <c r="K350" s="343"/>
      <c r="L350" s="345">
        <f>-IF(L$8=$D350,($F350/$F$341)/2,IF(L$8&gt;$D350,MIN($F350/$F$341,SUM($F350,K350:$K350)),0))</f>
        <v>-381.16041765393214</v>
      </c>
      <c r="M350" s="345">
        <f>-IF(M$8=$D350,($F350/$F$341)/2,IF(M$8&gt;$D350,MIN($F350/$F$341,SUM($F350,$K350:L350)),0))</f>
        <v>-381.16041765393214</v>
      </c>
      <c r="N350" s="345">
        <f>-IF(N$8=$D350,($F350/$F$341)/2,IF(N$8&gt;$D350,MIN($F350/$F$341,SUM($F350,$K350:M350)),0))</f>
        <v>-381.16041765393214</v>
      </c>
      <c r="O350" s="345">
        <f>-IF(O$8=$D350,($F350/$F$341)/2,IF(O$8&gt;$D350,MIN($F350/$F$341,SUM($F350,$K350:N350)),0))</f>
        <v>-381.16041765393214</v>
      </c>
      <c r="P350" s="345">
        <f>-IF(P$8=$D350,($F350/$F$341)/2,IF(P$8&gt;$D350,MIN($F350/$F$341,SUM($F350,$K350:O350)),0))</f>
        <v>-381.16041765393214</v>
      </c>
      <c r="Q350" s="345">
        <f>-IF(Q$8=$D350,($F350/$F$341)/2,IF(Q$8&gt;$D350,MIN($F350/$F$341,SUM($F350,$K350:P350)),0))</f>
        <v>-381.16041765393214</v>
      </c>
      <c r="R350" s="345">
        <f>-IF(R$8=$D350,($F350/$F$341)/2,IF(R$8&gt;$D350,MIN($F350/$F$341,SUM($F350,$K350:Q350)),0))</f>
        <v>-381.16041765393214</v>
      </c>
      <c r="S350" s="345">
        <f>-IF(S$8=$D350,($F350/$F$341)/2,IF(S$8&gt;$D350,MIN($F350/$F$341,SUM($F350,$K350:R350)),0))</f>
        <v>-381.16041765393214</v>
      </c>
      <c r="T350" s="126" t="s">
        <v>48</v>
      </c>
      <c r="U350" s="345">
        <f>SUM(L350:S350)</f>
        <v>-3049.2833412314571</v>
      </c>
    </row>
    <row r="351" spans="1:21" outlineLevel="1">
      <c r="D351" s="326">
        <v>2026</v>
      </c>
      <c r="F351" s="187">
        <v>3365.7902437819857</v>
      </c>
      <c r="I351" s="137"/>
      <c r="J351" s="137"/>
      <c r="K351" s="343"/>
      <c r="L351" s="345"/>
      <c r="M351" s="345">
        <f>-IF(M$8=$D351,($F351/$F$341)/2,IF(M$8&gt;$D351,MIN($F351/$F$341,SUM($F351,$K351:L351)),0))</f>
        <v>-384.07560399331317</v>
      </c>
      <c r="N351" s="345">
        <f>-IF(N$8=$D351,($F351/$F$341)/2,IF(N$8&gt;$D351,MIN($F351/$F$341,SUM($F351,$K351:M351)),0))</f>
        <v>-384.07560399331317</v>
      </c>
      <c r="O351" s="345">
        <f>-IF(O$8=$D351,($F351/$F$341)/2,IF(O$8&gt;$D351,MIN($F351/$F$341,SUM($F351,$K351:N351)),0))</f>
        <v>-384.07560399331317</v>
      </c>
      <c r="P351" s="345">
        <f>-IF(P$8=$D351,($F351/$F$341)/2,IF(P$8&gt;$D351,MIN($F351/$F$341,SUM($F351,$K351:O351)),0))</f>
        <v>-384.07560399331317</v>
      </c>
      <c r="Q351" s="345">
        <f>-IF(Q$8=$D351,($F351/$F$341)/2,IF(Q$8&gt;$D351,MIN($F351/$F$341,SUM($F351,$K351:P351)),0))</f>
        <v>-384.07560399331317</v>
      </c>
      <c r="R351" s="345">
        <f>-IF(R$8=$D351,($F351/$F$341)/2,IF(R$8&gt;$D351,MIN($F351/$F$341,SUM($F351,$K351:Q351)),0))</f>
        <v>-384.07560399331317</v>
      </c>
      <c r="S351" s="345">
        <f>-IF(S$8=$D351,($F351/$F$341)/2,IF(S$8&gt;$D351,MIN($F351/$F$341,SUM($F351,$K351:R351)),0))</f>
        <v>-384.07560399331317</v>
      </c>
      <c r="T351" s="126" t="s">
        <v>48</v>
      </c>
      <c r="U351" s="345">
        <f t="shared" ref="U351:U357" si="183">SUM(L351:S351)</f>
        <v>-2688.5292279531918</v>
      </c>
    </row>
    <row r="352" spans="1:21" outlineLevel="1">
      <c r="D352" s="326">
        <v>2027</v>
      </c>
      <c r="F352" s="187">
        <v>3368.7003560499425</v>
      </c>
      <c r="I352" s="137"/>
      <c r="J352" s="137"/>
      <c r="K352" s="343"/>
      <c r="L352" s="345"/>
      <c r="M352" s="345"/>
      <c r="N352" s="345">
        <f>-IF(N$8=$D352,($F352/$F$341)/2,IF(N$8&gt;$D352,MIN($F352/$F$341,SUM($F352,$K352:M352)),0))</f>
        <v>-384.40768146874962</v>
      </c>
      <c r="O352" s="345">
        <f>-IF(O$8=$D352,($F352/$F$341)/2,IF(O$8&gt;$D352,MIN($F352/$F$341,SUM($F352,$K352:N352)),0))</f>
        <v>-384.40768146874962</v>
      </c>
      <c r="P352" s="345">
        <f>-IF(P$8=$D352,($F352/$F$341)/2,IF(P$8&gt;$D352,MIN($F352/$F$341,SUM($F352,$K352:O352)),0))</f>
        <v>-384.40768146874962</v>
      </c>
      <c r="Q352" s="345">
        <f>-IF(Q$8=$D352,($F352/$F$341)/2,IF(Q$8&gt;$D352,MIN($F352/$F$341,SUM($F352,$K352:P352)),0))</f>
        <v>-384.40768146874962</v>
      </c>
      <c r="R352" s="345">
        <f>-IF(R$8=$D352,($F352/$F$341)/2,IF(R$8&gt;$D352,MIN($F352/$F$341,SUM($F352,$K352:Q352)),0))</f>
        <v>-384.40768146874962</v>
      </c>
      <c r="S352" s="345">
        <f>-IF(S$8=$D352,($F352/$F$341)/2,IF(S$8&gt;$D352,MIN($F352/$F$341,SUM($F352,$K352:R352)),0))</f>
        <v>-384.40768146874962</v>
      </c>
      <c r="T352" s="126" t="s">
        <v>48</v>
      </c>
      <c r="U352" s="345">
        <f t="shared" si="183"/>
        <v>-2306.4460888124977</v>
      </c>
    </row>
    <row r="353" spans="1:21" outlineLevel="1">
      <c r="D353" s="326">
        <v>2028</v>
      </c>
      <c r="F353" s="187">
        <v>3340.3200095124762</v>
      </c>
      <c r="I353" s="137"/>
      <c r="J353" s="137"/>
      <c r="K353" s="343"/>
      <c r="L353" s="345"/>
      <c r="M353" s="345"/>
      <c r="N353" s="345"/>
      <c r="O353" s="345">
        <f>-IF(O$8=$D353,($F353/$F$341)/2,IF(O$8&gt;$D353,MIN($F353/$F$341,SUM($F353,$K353:N353)),0))</f>
        <v>-381.16915561050456</v>
      </c>
      <c r="P353" s="345">
        <f>-IF(P$8=$D353,($F353/$F$341)/2,IF(P$8&gt;$D353,MIN($F353/$F$341,SUM($F353,$K353:O353)),0))</f>
        <v>-381.16915561050456</v>
      </c>
      <c r="Q353" s="345">
        <f>-IF(Q$8=$D353,($F353/$F$341)/2,IF(Q$8&gt;$D353,MIN($F353/$F$341,SUM($F353,$K353:P353)),0))</f>
        <v>-381.16915561050456</v>
      </c>
      <c r="R353" s="345">
        <f>-IF(R$8=$D353,($F353/$F$341)/2,IF(R$8&gt;$D353,MIN($F353/$F$341,SUM($F353,$K353:Q353)),0))</f>
        <v>-381.16915561050456</v>
      </c>
      <c r="S353" s="345">
        <f>-IF(S$8=$D353,($F353/$F$341)/2,IF(S$8&gt;$D353,MIN($F353/$F$341,SUM($F353,$K353:R353)),0))</f>
        <v>-381.16915561050456</v>
      </c>
      <c r="T353" s="126" t="s">
        <v>48</v>
      </c>
      <c r="U353" s="345">
        <f t="shared" si="183"/>
        <v>-1905.8457780525227</v>
      </c>
    </row>
    <row r="354" spans="1:21" outlineLevel="1">
      <c r="D354" s="326">
        <v>2029</v>
      </c>
      <c r="F354" s="187">
        <v>3295.5249128586138</v>
      </c>
      <c r="I354" s="137"/>
      <c r="J354" s="137"/>
      <c r="K354" s="343"/>
      <c r="L354" s="345"/>
      <c r="M354" s="345"/>
      <c r="N354" s="345"/>
      <c r="O354" s="345"/>
      <c r="P354" s="345">
        <f>-IF(P$8=$D354,($F354/$F$341)/2,IF(P$8&gt;$D354,MIN($F354/$F$341,SUM($F354,$K354:O354)),0))</f>
        <v>-376.05751686977936</v>
      </c>
      <c r="Q354" s="345">
        <f>-IF(Q$8=$D354,($F354/$F$341)/2,IF(Q$8&gt;$D354,MIN($F354/$F$341,SUM($F354,$K354:P354)),0))</f>
        <v>-376.05751686977936</v>
      </c>
      <c r="R354" s="345">
        <f>-IF(R$8=$D354,($F354/$F$341)/2,IF(R$8&gt;$D354,MIN($F354/$F$341,SUM($F354,$K354:Q354)),0))</f>
        <v>-376.05751686977936</v>
      </c>
      <c r="S354" s="345">
        <f>-IF(S$8=$D354,($F354/$F$341)/2,IF(S$8&gt;$D354,MIN($F354/$F$341,SUM($F354,$K354:R354)),0))</f>
        <v>-376.05751686977936</v>
      </c>
      <c r="T354" s="126" t="s">
        <v>48</v>
      </c>
      <c r="U354" s="345">
        <f t="shared" si="183"/>
        <v>-1504.2300674791175</v>
      </c>
    </row>
    <row r="355" spans="1:21" outlineLevel="1">
      <c r="D355" s="326">
        <v>2030</v>
      </c>
      <c r="F355" s="187">
        <v>3232.8402481274234</v>
      </c>
      <c r="I355" s="137"/>
      <c r="J355" s="137"/>
      <c r="K355" s="343"/>
      <c r="L355" s="345"/>
      <c r="M355" s="345"/>
      <c r="N355" s="345"/>
      <c r="O355" s="345"/>
      <c r="P355" s="345"/>
      <c r="Q355" s="345">
        <f>-IF(Q$8=$D355,($F355/$F$341)/2,IF(Q$8&gt;$D355,MIN($F355/$F$341,SUM($F355,$K355:P355)),0))</f>
        <v>-368.90447145578543</v>
      </c>
      <c r="R355" s="345">
        <f>-IF(R$8=$D355,($F355/$F$341)/2,IF(R$8&gt;$D355,MIN($F355/$F$341,SUM($F355,$K355:Q355)),0))</f>
        <v>-368.90447145578543</v>
      </c>
      <c r="S355" s="345">
        <f>-IF(S$8=$D355,($F355/$F$341)/2,IF(S$8&gt;$D355,MIN($F355/$F$341,SUM($F355,$K355:R355)),0))</f>
        <v>-368.90447145578543</v>
      </c>
      <c r="T355" s="126" t="s">
        <v>48</v>
      </c>
      <c r="U355" s="345">
        <f t="shared" si="183"/>
        <v>-1106.7134143673563</v>
      </c>
    </row>
    <row r="356" spans="1:21" outlineLevel="1">
      <c r="D356" s="326">
        <v>2031</v>
      </c>
      <c r="F356" s="187">
        <v>3150.6954488713973</v>
      </c>
      <c r="I356" s="137"/>
      <c r="J356" s="137"/>
      <c r="K356" s="343"/>
      <c r="L356" s="345"/>
      <c r="M356" s="345"/>
      <c r="N356" s="345"/>
      <c r="O356" s="345"/>
      <c r="P356" s="345"/>
      <c r="Q356" s="345"/>
      <c r="R356" s="345">
        <f>-IF(R$8=$D356,($F356/$F$341)/2,IF(R$8&gt;$D356,MIN($F356/$F$341,SUM($F356,$K356:Q356)),0))</f>
        <v>-359.5307995677486</v>
      </c>
      <c r="S356" s="345">
        <f>-IF(S$8=$D356,($F356/$F$341)/2,IF(S$8&gt;$D356,MIN($F356/$F$341,SUM($F356,$K356:R356)),0))</f>
        <v>-359.5307995677486</v>
      </c>
      <c r="T356" s="126" t="s">
        <v>48</v>
      </c>
      <c r="U356" s="345">
        <f t="shared" si="183"/>
        <v>-719.0615991354972</v>
      </c>
    </row>
    <row r="357" spans="1:21" outlineLevel="1">
      <c r="D357" s="326">
        <v>2032</v>
      </c>
      <c r="F357" s="187">
        <v>3047.4188627389531</v>
      </c>
      <c r="I357" s="137"/>
      <c r="J357" s="137"/>
      <c r="K357" s="343"/>
      <c r="L357" s="345"/>
      <c r="M357" s="345"/>
      <c r="N357" s="345"/>
      <c r="O357" s="345"/>
      <c r="P357" s="345"/>
      <c r="Q357" s="345"/>
      <c r="R357" s="345"/>
      <c r="S357" s="345">
        <f>-IF(S$8=$D357,($F357/$F$341)/2,IF(S$8&gt;$D357,MIN($F357/$F$341,SUM($F357,$K357:R357)),0))</f>
        <v>-347.74574633382662</v>
      </c>
      <c r="T357" s="126" t="s">
        <v>48</v>
      </c>
      <c r="U357" s="345">
        <f t="shared" si="183"/>
        <v>-347.74574633382662</v>
      </c>
    </row>
    <row r="358" spans="1:21">
      <c r="D358" s="326"/>
      <c r="K358" s="207"/>
      <c r="T358" s="126" t="s">
        <v>48</v>
      </c>
    </row>
    <row r="359" spans="1:21" ht="15.75">
      <c r="A359" s="205" t="s">
        <v>56</v>
      </c>
      <c r="B359" s="123">
        <v>6</v>
      </c>
      <c r="C359" s="123"/>
      <c r="D359" s="206" t="s">
        <v>274</v>
      </c>
      <c r="E359" s="121"/>
      <c r="F359" s="346"/>
      <c r="G359" s="346"/>
      <c r="H359" s="346"/>
      <c r="I359" s="124"/>
      <c r="J359" s="124"/>
      <c r="K359" s="124"/>
      <c r="L359" s="590"/>
      <c r="M359" s="590"/>
      <c r="N359" s="590"/>
      <c r="O359" s="590"/>
      <c r="P359" s="590"/>
      <c r="Q359" s="590"/>
      <c r="R359" s="590"/>
      <c r="S359" s="590"/>
      <c r="T359" s="126" t="s">
        <v>48</v>
      </c>
    </row>
    <row r="360" spans="1:21" outlineLevel="1">
      <c r="D360" s="326"/>
      <c r="K360" s="207"/>
      <c r="T360" s="126" t="s">
        <v>48</v>
      </c>
    </row>
    <row r="361" spans="1:21" outlineLevel="1">
      <c r="D361" s="334" t="s">
        <v>275</v>
      </c>
      <c r="I361" s="137"/>
      <c r="J361" s="192">
        <f>I365</f>
        <v>3067.4</v>
      </c>
      <c r="K361" s="230">
        <f>J365</f>
        <v>3755</v>
      </c>
      <c r="L361" s="192">
        <f t="shared" ref="L361:S361" si="184">K365</f>
        <v>4934.2</v>
      </c>
      <c r="M361" s="192">
        <f t="shared" si="184"/>
        <v>5499.906498644109</v>
      </c>
      <c r="N361" s="192">
        <f t="shared" si="184"/>
        <v>6174.2675475274791</v>
      </c>
      <c r="O361" s="192">
        <f t="shared" si="184"/>
        <v>6954.6974831541502</v>
      </c>
      <c r="P361" s="192">
        <f t="shared" si="184"/>
        <v>7296.1871217313301</v>
      </c>
      <c r="Q361" s="192">
        <f t="shared" si="184"/>
        <v>7076.8579853750116</v>
      </c>
      <c r="R361" s="192">
        <f t="shared" si="184"/>
        <v>6836.6878317482051</v>
      </c>
      <c r="S361" s="192">
        <f t="shared" si="184"/>
        <v>6576.7335968788157</v>
      </c>
      <c r="T361" s="126" t="s">
        <v>48</v>
      </c>
    </row>
    <row r="362" spans="1:21" outlineLevel="1">
      <c r="D362" s="326" t="s">
        <v>253</v>
      </c>
      <c r="I362" s="137"/>
      <c r="J362" s="152">
        <f>-'Model '!H73</f>
        <v>-559.70000000000005</v>
      </c>
      <c r="K362" s="307">
        <f>-'Model '!I73</f>
        <v>-660.3</v>
      </c>
      <c r="L362" s="187">
        <f>L374</f>
        <v>-819.5892598181166</v>
      </c>
      <c r="M362" s="163">
        <f t="shared" ref="M362:S362" si="185">M374</f>
        <v>-977.00675921030529</v>
      </c>
      <c r="N362" s="163">
        <f t="shared" si="185"/>
        <v>-1130.6781781953023</v>
      </c>
      <c r="O362" s="163">
        <f t="shared" si="185"/>
        <v>-1275.7679614841222</v>
      </c>
      <c r="P362" s="163">
        <f t="shared" si="185"/>
        <v>-1416.0851543568733</v>
      </c>
      <c r="Q362" s="163">
        <f t="shared" si="185"/>
        <v>-1550.6439076931717</v>
      </c>
      <c r="R362" s="163">
        <f t="shared" si="185"/>
        <v>-1678.3786182092315</v>
      </c>
      <c r="S362" s="163">
        <f t="shared" si="185"/>
        <v>-1798.1389726414095</v>
      </c>
      <c r="T362" s="126" t="s">
        <v>48</v>
      </c>
    </row>
    <row r="363" spans="1:21" outlineLevel="1">
      <c r="D363" s="326" t="s">
        <v>276</v>
      </c>
      <c r="I363" s="137"/>
      <c r="J363" s="163">
        <f>J365-J362-J364-J361</f>
        <v>1306.3959999999993</v>
      </c>
      <c r="K363" s="207">
        <f>K365-K362-K364-K361</f>
        <v>1858.2169999999996</v>
      </c>
      <c r="L363" s="187">
        <f>L369</f>
        <v>1385.2957584622254</v>
      </c>
      <c r="M363" s="163">
        <f t="shared" ref="M363:S363" si="186">M369</f>
        <v>1651.367808093675</v>
      </c>
      <c r="N363" s="163">
        <f t="shared" si="186"/>
        <v>1911.1081138219736</v>
      </c>
      <c r="O363" s="163">
        <f t="shared" si="186"/>
        <v>1617.2576000613014</v>
      </c>
      <c r="P363" s="163">
        <f t="shared" si="186"/>
        <v>1196.7560180005546</v>
      </c>
      <c r="Q363" s="163">
        <f t="shared" si="186"/>
        <v>1310.4737540663652</v>
      </c>
      <c r="R363" s="163">
        <f t="shared" si="186"/>
        <v>1418.4243833398423</v>
      </c>
      <c r="S363" s="163">
        <f t="shared" si="186"/>
        <v>1519.6357578420202</v>
      </c>
      <c r="T363" s="126" t="s">
        <v>48</v>
      </c>
    </row>
    <row r="364" spans="1:21" outlineLevel="1">
      <c r="D364" s="326" t="s">
        <v>277</v>
      </c>
      <c r="I364" s="137"/>
      <c r="J364" s="155">
        <v>-59.095999999999997</v>
      </c>
      <c r="K364" s="223">
        <v>-18.716999999999999</v>
      </c>
      <c r="L364" s="170">
        <v>0</v>
      </c>
      <c r="M364" s="155">
        <v>0</v>
      </c>
      <c r="N364" s="155">
        <v>0</v>
      </c>
      <c r="O364" s="155">
        <v>0</v>
      </c>
      <c r="P364" s="155">
        <v>0</v>
      </c>
      <c r="Q364" s="155">
        <v>0</v>
      </c>
      <c r="R364" s="155">
        <v>0</v>
      </c>
      <c r="S364" s="155">
        <v>0</v>
      </c>
      <c r="T364" s="126" t="s">
        <v>48</v>
      </c>
    </row>
    <row r="365" spans="1:21" outlineLevel="1">
      <c r="D365" s="334" t="s">
        <v>278</v>
      </c>
      <c r="I365" s="150">
        <f>'Model '!G98</f>
        <v>3067.4</v>
      </c>
      <c r="J365" s="150">
        <f>'Model '!H98</f>
        <v>3755</v>
      </c>
      <c r="K365" s="347">
        <f>'Model '!I98</f>
        <v>4934.2</v>
      </c>
      <c r="L365" s="192">
        <f>SUM(L361:L363)</f>
        <v>5499.906498644109</v>
      </c>
      <c r="M365" s="192">
        <f t="shared" ref="M365:S365" si="187">SUM(M361:M363)</f>
        <v>6174.2675475274791</v>
      </c>
      <c r="N365" s="192">
        <f t="shared" si="187"/>
        <v>6954.6974831541502</v>
      </c>
      <c r="O365" s="192">
        <f t="shared" si="187"/>
        <v>7296.1871217313301</v>
      </c>
      <c r="P365" s="192">
        <f t="shared" si="187"/>
        <v>7076.8579853750116</v>
      </c>
      <c r="Q365" s="192">
        <f t="shared" si="187"/>
        <v>6836.6878317482051</v>
      </c>
      <c r="R365" s="192">
        <f t="shared" si="187"/>
        <v>6576.7335968788157</v>
      </c>
      <c r="S365" s="192">
        <f t="shared" si="187"/>
        <v>6298.2303820794268</v>
      </c>
      <c r="T365" s="126" t="s">
        <v>48</v>
      </c>
    </row>
    <row r="366" spans="1:21">
      <c r="B366" s="319"/>
      <c r="C366" s="319"/>
      <c r="D366" s="320"/>
      <c r="K366" s="207"/>
      <c r="T366" s="126" t="s">
        <v>48</v>
      </c>
    </row>
    <row r="367" spans="1:21">
      <c r="B367" s="335">
        <v>6.2</v>
      </c>
      <c r="C367" s="212"/>
      <c r="D367" s="212" t="s">
        <v>279</v>
      </c>
      <c r="E367" s="212"/>
      <c r="F367" s="212"/>
      <c r="G367" s="212"/>
      <c r="H367" s="212"/>
      <c r="I367" s="124"/>
      <c r="J367" s="124"/>
      <c r="K367" s="124"/>
      <c r="L367" s="590"/>
      <c r="M367" s="590"/>
      <c r="N367" s="590"/>
      <c r="O367" s="590"/>
      <c r="P367" s="590"/>
      <c r="Q367" s="590"/>
      <c r="R367" s="590"/>
      <c r="S367" s="590"/>
      <c r="T367" s="126" t="s">
        <v>48</v>
      </c>
    </row>
    <row r="368" spans="1:21" outlineLevel="1">
      <c r="B368" s="319"/>
      <c r="C368" s="319"/>
      <c r="D368" s="320"/>
      <c r="K368" s="207"/>
      <c r="T368" s="126" t="s">
        <v>48</v>
      </c>
    </row>
    <row r="369" spans="2:20" outlineLevel="1">
      <c r="B369" s="319"/>
      <c r="C369" s="319"/>
      <c r="D369" s="326" t="s">
        <v>279</v>
      </c>
      <c r="I369" s="137"/>
      <c r="J369" s="163">
        <f>J363</f>
        <v>1306.3959999999993</v>
      </c>
      <c r="K369" s="207">
        <f>K363</f>
        <v>1858.2169999999996</v>
      </c>
      <c r="L369" s="163">
        <f>L370*'Model '!N25</f>
        <v>1385.2957584622254</v>
      </c>
      <c r="M369" s="163">
        <f>M370*'Model '!O25</f>
        <v>1651.367808093675</v>
      </c>
      <c r="N369" s="163">
        <f>N370*'Model '!P25</f>
        <v>1911.1081138219736</v>
      </c>
      <c r="O369" s="163">
        <f>O370*'Model '!Q25</f>
        <v>1617.2576000613014</v>
      </c>
      <c r="P369" s="163">
        <f>P370*'Model '!R25</f>
        <v>1196.7560180005546</v>
      </c>
      <c r="Q369" s="163">
        <f>Q370*'Model '!S25</f>
        <v>1310.4737540663652</v>
      </c>
      <c r="R369" s="163">
        <f>R370*'Model '!T25</f>
        <v>1418.4243833398423</v>
      </c>
      <c r="S369" s="163">
        <f>S370*'Model '!U25</f>
        <v>1519.6357578420202</v>
      </c>
      <c r="T369" s="126" t="s">
        <v>48</v>
      </c>
    </row>
    <row r="370" spans="2:20" outlineLevel="1">
      <c r="B370" s="319"/>
      <c r="C370" s="319"/>
      <c r="D370" s="336" t="s">
        <v>71</v>
      </c>
      <c r="F370" s="337">
        <v>-0.05</v>
      </c>
      <c r="G370" s="338"/>
      <c r="H370" s="338"/>
      <c r="I370" s="137"/>
      <c r="J370" s="339">
        <f>J369/'Model '!H25</f>
        <v>0.30777110278700481</v>
      </c>
      <c r="K370" s="340">
        <f>K369/'Model '!I25</f>
        <v>0.33299589627797782</v>
      </c>
      <c r="L370" s="518">
        <v>0.2</v>
      </c>
      <c r="M370" s="341">
        <f>L370</f>
        <v>0.2</v>
      </c>
      <c r="N370" s="341">
        <f>M370</f>
        <v>0.2</v>
      </c>
      <c r="O370" s="341">
        <f>N370+$F$370</f>
        <v>0.15000000000000002</v>
      </c>
      <c r="P370" s="341">
        <f>O370+$F$370</f>
        <v>0.10000000000000002</v>
      </c>
      <c r="Q370" s="341">
        <f>P370</f>
        <v>0.10000000000000002</v>
      </c>
      <c r="R370" s="341">
        <f t="shared" ref="R370:S370" si="188">Q370</f>
        <v>0.10000000000000002</v>
      </c>
      <c r="S370" s="341">
        <f t="shared" si="188"/>
        <v>0.10000000000000002</v>
      </c>
      <c r="T370" s="126" t="s">
        <v>48</v>
      </c>
    </row>
    <row r="371" spans="2:20">
      <c r="D371" s="326"/>
      <c r="K371" s="207"/>
      <c r="T371" s="126" t="s">
        <v>48</v>
      </c>
    </row>
    <row r="372" spans="2:20">
      <c r="B372" s="348">
        <v>6.3</v>
      </c>
      <c r="C372" s="348"/>
      <c r="D372" s="349" t="s">
        <v>264</v>
      </c>
      <c r="E372" s="350"/>
      <c r="F372" s="351"/>
      <c r="G372" s="351"/>
      <c r="H372" s="351"/>
      <c r="I372" s="124"/>
      <c r="J372" s="124"/>
      <c r="K372" s="124"/>
      <c r="L372" s="590"/>
      <c r="M372" s="590"/>
      <c r="N372" s="590"/>
      <c r="O372" s="590"/>
      <c r="P372" s="590"/>
      <c r="Q372" s="590"/>
      <c r="R372" s="590"/>
      <c r="S372" s="590"/>
      <c r="T372" s="126" t="s">
        <v>48</v>
      </c>
    </row>
    <row r="373" spans="2:20">
      <c r="B373" s="319"/>
      <c r="C373" s="319"/>
      <c r="D373" s="320"/>
      <c r="I373" s="605"/>
      <c r="J373" s="605"/>
      <c r="K373" s="607"/>
      <c r="L373" s="606"/>
      <c r="M373" s="606"/>
      <c r="N373" s="606"/>
      <c r="O373" s="606"/>
      <c r="P373" s="606"/>
      <c r="Q373" s="606"/>
      <c r="R373" s="606"/>
      <c r="S373" s="606"/>
      <c r="T373" s="126" t="s">
        <v>48</v>
      </c>
    </row>
    <row r="374" spans="2:20">
      <c r="B374" s="319"/>
      <c r="C374" s="319"/>
      <c r="D374" s="326" t="s">
        <v>265</v>
      </c>
      <c r="I374" s="163">
        <f>I380</f>
        <v>-469.6</v>
      </c>
      <c r="J374" s="163">
        <f t="shared" ref="J374:K374" si="189">J380</f>
        <v>-559.70000000000005</v>
      </c>
      <c r="K374" s="207">
        <f t="shared" si="189"/>
        <v>-660.3</v>
      </c>
      <c r="L374" s="163">
        <f>-L375*L21</f>
        <v>-819.5892598181166</v>
      </c>
      <c r="M374" s="163">
        <f t="shared" ref="M374:S374" si="190">-M375*M21</f>
        <v>-977.00675921030529</v>
      </c>
      <c r="N374" s="163">
        <f t="shared" si="190"/>
        <v>-1130.6781781953023</v>
      </c>
      <c r="O374" s="163">
        <f t="shared" si="190"/>
        <v>-1275.7679614841222</v>
      </c>
      <c r="P374" s="163">
        <f t="shared" si="190"/>
        <v>-1416.0851543568733</v>
      </c>
      <c r="Q374" s="163">
        <f t="shared" si="190"/>
        <v>-1550.6439076931717</v>
      </c>
      <c r="R374" s="163">
        <f t="shared" si="190"/>
        <v>-1678.3786182092315</v>
      </c>
      <c r="S374" s="163">
        <f t="shared" si="190"/>
        <v>-1798.1389726414095</v>
      </c>
      <c r="T374" s="126" t="s">
        <v>48</v>
      </c>
    </row>
    <row r="375" spans="2:20">
      <c r="B375" s="319"/>
      <c r="C375" s="319"/>
      <c r="D375" s="336" t="s">
        <v>71</v>
      </c>
      <c r="I375" s="608">
        <f>-I374/I21</f>
        <v>0.16025116025116026</v>
      </c>
      <c r="J375" s="608">
        <f t="shared" ref="J375:K375" si="191">-J374/J21</f>
        <v>0.13185855301905908</v>
      </c>
      <c r="K375" s="609">
        <f t="shared" si="191"/>
        <v>0.11832697166818987</v>
      </c>
      <c r="L375" s="608">
        <f>K375</f>
        <v>0.11832697166818987</v>
      </c>
      <c r="M375" s="608">
        <f t="shared" ref="M375:S375" si="192">L375</f>
        <v>0.11832697166818987</v>
      </c>
      <c r="N375" s="608">
        <f t="shared" si="192"/>
        <v>0.11832697166818987</v>
      </c>
      <c r="O375" s="608">
        <f t="shared" si="192"/>
        <v>0.11832697166818987</v>
      </c>
      <c r="P375" s="608">
        <f t="shared" si="192"/>
        <v>0.11832697166818987</v>
      </c>
      <c r="Q375" s="608">
        <f t="shared" si="192"/>
        <v>0.11832697166818987</v>
      </c>
      <c r="R375" s="608">
        <f t="shared" si="192"/>
        <v>0.11832697166818987</v>
      </c>
      <c r="S375" s="608">
        <f t="shared" si="192"/>
        <v>0.11832697166818987</v>
      </c>
      <c r="T375" s="126" t="s">
        <v>48</v>
      </c>
    </row>
    <row r="376" spans="2:20" hidden="1" outlineLevel="1">
      <c r="D376" s="326"/>
      <c r="K376" s="207"/>
      <c r="T376" s="126" t="s">
        <v>48</v>
      </c>
    </row>
    <row r="377" spans="2:20" hidden="1" outlineLevel="1">
      <c r="D377" s="326" t="s">
        <v>265</v>
      </c>
      <c r="E377" s="199" t="s">
        <v>266</v>
      </c>
      <c r="F377" s="342">
        <f>AVERAGE(J382:K382)</f>
        <v>5.5836224870147024</v>
      </c>
      <c r="I377" s="137"/>
      <c r="J377" s="137"/>
      <c r="K377" s="343"/>
      <c r="L377" s="163">
        <f>L380+L384</f>
        <v>-1041.7698200277687</v>
      </c>
      <c r="M377" s="163">
        <f t="shared" ref="M377:S377" si="193">M380+M384</f>
        <v>-1230.2099907961092</v>
      </c>
      <c r="N377" s="163">
        <f t="shared" si="193"/>
        <v>-1448.2895352563492</v>
      </c>
      <c r="O377" s="163">
        <f t="shared" si="193"/>
        <v>-1632.8373366839162</v>
      </c>
      <c r="P377" s="163">
        <f t="shared" si="193"/>
        <v>-1769.4010430216331</v>
      </c>
      <c r="Q377" s="163">
        <f t="shared" si="193"/>
        <v>-1550.9919695120989</v>
      </c>
      <c r="R377" s="163">
        <f t="shared" si="193"/>
        <v>-1197.1083416053066</v>
      </c>
      <c r="S377" s="163">
        <f t="shared" si="193"/>
        <v>-1370.5163614964044</v>
      </c>
      <c r="T377" s="126" t="s">
        <v>48</v>
      </c>
    </row>
    <row r="378" spans="2:20" hidden="1" outlineLevel="1">
      <c r="D378" s="326"/>
      <c r="E378" s="199" t="s">
        <v>267</v>
      </c>
      <c r="F378" s="344">
        <f>1/F377</f>
        <v>0.17909520250081457</v>
      </c>
      <c r="K378" s="207"/>
      <c r="T378" s="126" t="s">
        <v>48</v>
      </c>
    </row>
    <row r="379" spans="2:20" hidden="1" outlineLevel="1">
      <c r="D379" s="326" t="s">
        <v>280</v>
      </c>
      <c r="I379" s="137"/>
      <c r="J379" s="137"/>
      <c r="K379" s="343"/>
      <c r="L379" s="163">
        <f>K381</f>
        <v>4934.2</v>
      </c>
      <c r="M379" s="163">
        <f>L381</f>
        <v>4050.5084518204803</v>
      </c>
      <c r="N379" s="163">
        <f t="shared" ref="N379:S379" si="194">M381</f>
        <v>3166.8169036409608</v>
      </c>
      <c r="O379" s="163">
        <f t="shared" si="194"/>
        <v>2283.1253554614414</v>
      </c>
      <c r="P379" s="163">
        <f t="shared" si="194"/>
        <v>1399.4338072819221</v>
      </c>
      <c r="Q379" s="163">
        <f t="shared" si="194"/>
        <v>515.74225910240284</v>
      </c>
      <c r="R379" s="163">
        <f t="shared" si="194"/>
        <v>0</v>
      </c>
      <c r="S379" s="163">
        <f t="shared" si="194"/>
        <v>0</v>
      </c>
      <c r="T379" s="126" t="s">
        <v>48</v>
      </c>
    </row>
    <row r="380" spans="2:20" hidden="1" outlineLevel="1">
      <c r="D380" s="326" t="s">
        <v>269</v>
      </c>
      <c r="I380" s="152">
        <f>-('Model '!G108+'Model '!G109)</f>
        <v>-469.6</v>
      </c>
      <c r="J380" s="163">
        <f>J362</f>
        <v>-559.70000000000005</v>
      </c>
      <c r="K380" s="207">
        <f>K362</f>
        <v>-660.3</v>
      </c>
      <c r="L380" s="187">
        <f>-MIN($K$365/$F$377,L379)</f>
        <v>-883.69154817951926</v>
      </c>
      <c r="M380" s="163">
        <f t="shared" ref="M380:Q380" si="195">-MIN($K$365/$F$377,M379)</f>
        <v>-883.69154817951926</v>
      </c>
      <c r="N380" s="163">
        <f t="shared" si="195"/>
        <v>-883.69154817951926</v>
      </c>
      <c r="O380" s="163">
        <f t="shared" si="195"/>
        <v>-883.69154817951926</v>
      </c>
      <c r="P380" s="163">
        <f t="shared" si="195"/>
        <v>-883.69154817951926</v>
      </c>
      <c r="Q380" s="163">
        <f t="shared" si="195"/>
        <v>-515.74225910240284</v>
      </c>
      <c r="R380" s="163">
        <f t="shared" ref="R380" si="196">-MIN($K$365/$F$377,R379)</f>
        <v>0</v>
      </c>
      <c r="S380" s="163">
        <f t="shared" ref="S380" si="197">-MIN($K$365/$F$377,S379)</f>
        <v>0</v>
      </c>
      <c r="T380" s="126" t="s">
        <v>48</v>
      </c>
    </row>
    <row r="381" spans="2:20" hidden="1" outlineLevel="1">
      <c r="D381" s="326" t="s">
        <v>281</v>
      </c>
      <c r="I381" s="163">
        <f>I365</f>
        <v>3067.4</v>
      </c>
      <c r="J381" s="163">
        <f>J365</f>
        <v>3755</v>
      </c>
      <c r="K381" s="207">
        <f>K365</f>
        <v>4934.2</v>
      </c>
      <c r="L381" s="163">
        <f t="shared" ref="L381:S381" si="198">SUM(L379:L380)</f>
        <v>4050.5084518204803</v>
      </c>
      <c r="M381" s="163">
        <f t="shared" si="198"/>
        <v>3166.8169036409608</v>
      </c>
      <c r="N381" s="163">
        <f t="shared" si="198"/>
        <v>2283.1253554614414</v>
      </c>
      <c r="O381" s="163">
        <f t="shared" si="198"/>
        <v>1399.4338072819221</v>
      </c>
      <c r="P381" s="163">
        <f t="shared" si="198"/>
        <v>515.74225910240284</v>
      </c>
      <c r="Q381" s="163">
        <f t="shared" si="198"/>
        <v>0</v>
      </c>
      <c r="R381" s="163">
        <f t="shared" si="198"/>
        <v>0</v>
      </c>
      <c r="S381" s="163">
        <f t="shared" si="198"/>
        <v>0</v>
      </c>
      <c r="T381" s="126" t="s">
        <v>48</v>
      </c>
    </row>
    <row r="382" spans="2:20" hidden="1" outlineLevel="1">
      <c r="D382" s="326" t="s">
        <v>271</v>
      </c>
      <c r="I382" s="137"/>
      <c r="J382" s="163">
        <f>I381/-J380</f>
        <v>5.4804359478291937</v>
      </c>
      <c r="K382" s="207">
        <f>J381/-K380</f>
        <v>5.686809026200212</v>
      </c>
      <c r="T382" s="126" t="s">
        <v>48</v>
      </c>
    </row>
    <row r="383" spans="2:20" hidden="1" outlineLevel="1">
      <c r="D383" s="326"/>
      <c r="K383" s="207"/>
      <c r="T383" s="126" t="s">
        <v>48</v>
      </c>
    </row>
    <row r="384" spans="2:20" hidden="1" outlineLevel="1">
      <c r="D384" s="326" t="s">
        <v>282</v>
      </c>
      <c r="I384" s="137"/>
      <c r="J384" s="137"/>
      <c r="K384" s="343"/>
      <c r="L384" s="163">
        <f>SUM(L386:L393)</f>
        <v>-158.07827184824933</v>
      </c>
      <c r="M384" s="163">
        <f t="shared" ref="M384:S384" si="199">SUM(M386:M393)</f>
        <v>-346.51844261658982</v>
      </c>
      <c r="N384" s="163">
        <f t="shared" si="199"/>
        <v>-564.5979870768299</v>
      </c>
      <c r="O384" s="163">
        <f t="shared" si="199"/>
        <v>-749.14578850439693</v>
      </c>
      <c r="P384" s="163">
        <f t="shared" si="199"/>
        <v>-885.70949484211371</v>
      </c>
      <c r="Q384" s="163">
        <f t="shared" si="199"/>
        <v>-1035.249710409696</v>
      </c>
      <c r="R384" s="163">
        <f t="shared" si="199"/>
        <v>-1197.1083416053066</v>
      </c>
      <c r="S384" s="163">
        <f t="shared" si="199"/>
        <v>-1370.5163614964044</v>
      </c>
      <c r="T384" s="126" t="s">
        <v>48</v>
      </c>
    </row>
    <row r="385" spans="1:21" hidden="1" outlineLevel="1">
      <c r="D385" s="326"/>
      <c r="K385" s="207"/>
      <c r="T385" s="126" t="s">
        <v>48</v>
      </c>
      <c r="U385" s="199" t="s">
        <v>273</v>
      </c>
    </row>
    <row r="386" spans="1:21" hidden="1" outlineLevel="1">
      <c r="D386" s="154">
        <v>2025</v>
      </c>
      <c r="F386" s="187" cm="1">
        <f t="array" ref="F386:F393">TRANSPOSE(L363:S363)</f>
        <v>1385.2957584622254</v>
      </c>
      <c r="H386"/>
      <c r="I386" s="137"/>
      <c r="J386" s="137"/>
      <c r="K386" s="343"/>
      <c r="L386" s="345">
        <f>-IF(L$8=$D386,($F386/$F$341)/2,IF(L$8&gt;$D386,MIN($F386/$F$341,SUM($F386,K386:$K386)),0))</f>
        <v>-158.07827184824933</v>
      </c>
      <c r="M386" s="345">
        <f>-IF(M$8=$D386,($F386/$F$341)/2,IF(M$8&gt;$D386,MIN($F386/$F$341,SUM($F386,$K386:L386)),0))</f>
        <v>-158.07827184824933</v>
      </c>
      <c r="N386" s="345">
        <f>-IF(N$8=$D386,($F386/$F$341)/2,IF(N$8&gt;$D386,MIN($F386/$F$341,SUM($F386,$K386:M386)),0))</f>
        <v>-158.07827184824933</v>
      </c>
      <c r="O386" s="345">
        <f>-IF(O$8=$D386,($F386/$F$341)/2,IF(O$8&gt;$D386,MIN($F386/$F$341,SUM($F386,$K386:N386)),0))</f>
        <v>-158.07827184824933</v>
      </c>
      <c r="P386" s="345">
        <f>-IF(P$8=$D386,($F386/$F$341)/2,IF(P$8&gt;$D386,MIN($F386/$F$341,SUM($F386,$K386:O386)),0))</f>
        <v>-158.07827184824933</v>
      </c>
      <c r="Q386" s="345">
        <f>-IF(Q$8=$D386,($F386/$F$341)/2,IF(Q$8&gt;$D386,MIN($F386/$F$341,SUM($F386,$K386:P386)),0))</f>
        <v>-158.07827184824933</v>
      </c>
      <c r="R386" s="345">
        <f>-IF(R$8=$D386,($F386/$F$341)/2,IF(R$8&gt;$D386,MIN($F386/$F$341,SUM($F386,$K386:Q386)),0))</f>
        <v>-158.07827184824933</v>
      </c>
      <c r="S386" s="345">
        <f>-IF(S$8=$D386,($F386/$F$341)/2,IF(S$8&gt;$D386,MIN($F386/$F$341,SUM($F386,$K386:R386)),0))</f>
        <v>-158.07827184824933</v>
      </c>
      <c r="T386" s="126" t="s">
        <v>48</v>
      </c>
      <c r="U386" s="352">
        <f>SUM(L386:S386)</f>
        <v>-1264.6261747859946</v>
      </c>
    </row>
    <row r="387" spans="1:21" hidden="1" outlineLevel="1">
      <c r="D387" s="326">
        <v>2026</v>
      </c>
      <c r="F387" s="187">
        <v>1651.367808093675</v>
      </c>
      <c r="I387" s="137"/>
      <c r="J387" s="137"/>
      <c r="K387" s="343"/>
      <c r="L387" s="345"/>
      <c r="M387" s="345">
        <f>-IF(M$8=$D387,($F387/$F$341)/2,IF(M$8&gt;$D387,MIN($F387/$F$341,SUM($F387,$K387:L387)),0))</f>
        <v>-188.44017076834052</v>
      </c>
      <c r="N387" s="345">
        <f>-IF(N$8=$D387,($F387/$F$341)/2,IF(N$8&gt;$D387,MIN($F387/$F$341,SUM($F387,$K387:M387)),0))</f>
        <v>-188.44017076834052</v>
      </c>
      <c r="O387" s="345">
        <f>-IF(O$8=$D387,($F387/$F$341)/2,IF(O$8&gt;$D387,MIN($F387/$F$341,SUM($F387,$K387:N387)),0))</f>
        <v>-188.44017076834052</v>
      </c>
      <c r="P387" s="345">
        <f>-IF(P$8=$D387,($F387/$F$341)/2,IF(P$8&gt;$D387,MIN($F387/$F$341,SUM($F387,$K387:O387)),0))</f>
        <v>-188.44017076834052</v>
      </c>
      <c r="Q387" s="345">
        <f>-IF(Q$8=$D387,($F387/$F$341)/2,IF(Q$8&gt;$D387,MIN($F387/$F$341,SUM($F387,$K387:P387)),0))</f>
        <v>-188.44017076834052</v>
      </c>
      <c r="R387" s="345">
        <f>-IF(R$8=$D387,($F387/$F$341)/2,IF(R$8&gt;$D387,MIN($F387/$F$341,SUM($F387,$K387:Q387)),0))</f>
        <v>-188.44017076834052</v>
      </c>
      <c r="S387" s="345">
        <f>-IF(S$8=$D387,($F387/$F$341)/2,IF(S$8&gt;$D387,MIN($F387/$F$341,SUM($F387,$K387:R387)),0))</f>
        <v>-188.44017076834052</v>
      </c>
      <c r="T387" s="126" t="s">
        <v>48</v>
      </c>
      <c r="U387" s="352">
        <f t="shared" ref="U387:U393" si="200">SUM(L387:S387)</f>
        <v>-1319.0811953783837</v>
      </c>
    </row>
    <row r="388" spans="1:21" hidden="1" outlineLevel="1">
      <c r="D388" s="326">
        <v>2027</v>
      </c>
      <c r="F388" s="187">
        <v>1911.1081138219736</v>
      </c>
      <c r="I388" s="137"/>
      <c r="J388" s="137"/>
      <c r="K388" s="343"/>
      <c r="L388" s="345"/>
      <c r="M388" s="345"/>
      <c r="N388" s="345">
        <f>-IF(N$8=$D388,($F388/$F$341)/2,IF(N$8&gt;$D388,MIN($F388/$F$341,SUM($F388,$K388:M388)),0))</f>
        <v>-218.07954446024013</v>
      </c>
      <c r="O388" s="345">
        <f>-IF(O$8=$D388,($F388/$F$341)/2,IF(O$8&gt;$D388,MIN($F388/$F$341,SUM($F388,$K388:N388)),0))</f>
        <v>-218.07954446024013</v>
      </c>
      <c r="P388" s="345">
        <f>-IF(P$8=$D388,($F388/$F$341)/2,IF(P$8&gt;$D388,MIN($F388/$F$341,SUM($F388,$K388:O388)),0))</f>
        <v>-218.07954446024013</v>
      </c>
      <c r="Q388" s="345">
        <f>-IF(Q$8=$D388,($F388/$F$341)/2,IF(Q$8&gt;$D388,MIN($F388/$F$341,SUM($F388,$K388:P388)),0))</f>
        <v>-218.07954446024013</v>
      </c>
      <c r="R388" s="345">
        <f>-IF(R$8=$D388,($F388/$F$341)/2,IF(R$8&gt;$D388,MIN($F388/$F$341,SUM($F388,$K388:Q388)),0))</f>
        <v>-218.07954446024013</v>
      </c>
      <c r="S388" s="345">
        <f>-IF(S$8=$D388,($F388/$F$341)/2,IF(S$8&gt;$D388,MIN($F388/$F$341,SUM($F388,$K388:R388)),0))</f>
        <v>-218.07954446024013</v>
      </c>
      <c r="T388" s="126" t="s">
        <v>48</v>
      </c>
      <c r="U388" s="352">
        <f t="shared" si="200"/>
        <v>-1308.4772667614409</v>
      </c>
    </row>
    <row r="389" spans="1:21" hidden="1" outlineLevel="1">
      <c r="D389" s="326">
        <v>2028</v>
      </c>
      <c r="F389" s="187">
        <v>1617.2576000613014</v>
      </c>
      <c r="I389" s="137"/>
      <c r="J389" s="137"/>
      <c r="K389" s="343"/>
      <c r="L389" s="345"/>
      <c r="M389" s="345"/>
      <c r="N389" s="345"/>
      <c r="O389" s="345">
        <f>-IF(O$8=$D389,($F389/$F$341)/2,IF(O$8&gt;$D389,MIN($F389/$F$341,SUM($F389,$K389:N389)),0))</f>
        <v>-184.54780142756707</v>
      </c>
      <c r="P389" s="345">
        <f>-IF(P$8=$D389,($F389/$F$341)/2,IF(P$8&gt;$D389,MIN($F389/$F$341,SUM($F389,$K389:O389)),0))</f>
        <v>-184.54780142756707</v>
      </c>
      <c r="Q389" s="345">
        <f>-IF(Q$8=$D389,($F389/$F$341)/2,IF(Q$8&gt;$D389,MIN($F389/$F$341,SUM($F389,$K389:P389)),0))</f>
        <v>-184.54780142756707</v>
      </c>
      <c r="R389" s="345">
        <f>-IF(R$8=$D389,($F389/$F$341)/2,IF(R$8&gt;$D389,MIN($F389/$F$341,SUM($F389,$K389:Q389)),0))</f>
        <v>-184.54780142756707</v>
      </c>
      <c r="S389" s="345">
        <f>-IF(S$8=$D389,($F389/$F$341)/2,IF(S$8&gt;$D389,MIN($F389/$F$341,SUM($F389,$K389:R389)),0))</f>
        <v>-184.54780142756707</v>
      </c>
      <c r="T389" s="126" t="s">
        <v>48</v>
      </c>
      <c r="U389" s="352">
        <f t="shared" si="200"/>
        <v>-922.7390071378353</v>
      </c>
    </row>
    <row r="390" spans="1:21" hidden="1" outlineLevel="1">
      <c r="D390" s="326">
        <v>2029</v>
      </c>
      <c r="F390" s="187">
        <v>1196.7560180005546</v>
      </c>
      <c r="I390" s="137"/>
      <c r="J390" s="137"/>
      <c r="K390" s="343"/>
      <c r="L390" s="345"/>
      <c r="M390" s="345"/>
      <c r="N390" s="345"/>
      <c r="O390" s="345"/>
      <c r="P390" s="345">
        <f>-IF(P$8=$D390,($F390/$F$341)/2,IF(P$8&gt;$D390,MIN($F390/$F$341,SUM($F390,$K390:O390)),0))</f>
        <v>-136.56370633771681</v>
      </c>
      <c r="Q390" s="345">
        <f>-IF(Q$8=$D390,($F390/$F$341)/2,IF(Q$8&gt;$D390,MIN($F390/$F$341,SUM($F390,$K390:P390)),0))</f>
        <v>-136.56370633771681</v>
      </c>
      <c r="R390" s="345">
        <f>-IF(R$8=$D390,($F390/$F$341)/2,IF(R$8&gt;$D390,MIN($F390/$F$341,SUM($F390,$K390:Q390)),0))</f>
        <v>-136.56370633771681</v>
      </c>
      <c r="S390" s="345">
        <f>-IF(S$8=$D390,($F390/$F$341)/2,IF(S$8&gt;$D390,MIN($F390/$F$341,SUM($F390,$K390:R390)),0))</f>
        <v>-136.56370633771681</v>
      </c>
      <c r="T390" s="126" t="s">
        <v>48</v>
      </c>
      <c r="U390" s="352">
        <f t="shared" si="200"/>
        <v>-546.25482535086724</v>
      </c>
    </row>
    <row r="391" spans="1:21" hidden="1" outlineLevel="1">
      <c r="D391" s="326">
        <v>2030</v>
      </c>
      <c r="F391" s="187">
        <v>1310.4737540663652</v>
      </c>
      <c r="I391" s="137"/>
      <c r="J391" s="137"/>
      <c r="K391" s="343"/>
      <c r="L391" s="345"/>
      <c r="M391" s="345"/>
      <c r="N391" s="345"/>
      <c r="O391" s="345"/>
      <c r="P391" s="345"/>
      <c r="Q391" s="345">
        <f>-IF(Q$8=$D391,($F391/$F$341)/2,IF(Q$8&gt;$D391,MIN($F391/$F$341,SUM($F391,$K391:P391)),0))</f>
        <v>-149.54021556758238</v>
      </c>
      <c r="R391" s="345">
        <f>-IF(R$8=$D391,($F391/$F$341)/2,IF(R$8&gt;$D391,MIN($F391/$F$341,SUM($F391,$K391:Q391)),0))</f>
        <v>-149.54021556758238</v>
      </c>
      <c r="S391" s="345">
        <f>-IF(S$8=$D391,($F391/$F$341)/2,IF(S$8&gt;$D391,MIN($F391/$F$341,SUM($F391,$K391:R391)),0))</f>
        <v>-149.54021556758238</v>
      </c>
      <c r="T391" s="126" t="s">
        <v>48</v>
      </c>
      <c r="U391" s="352">
        <f t="shared" si="200"/>
        <v>-448.62064670274714</v>
      </c>
    </row>
    <row r="392" spans="1:21" hidden="1" outlineLevel="1">
      <c r="D392" s="326">
        <v>2031</v>
      </c>
      <c r="F392" s="187">
        <v>1418.4243833398423</v>
      </c>
      <c r="I392" s="137"/>
      <c r="J392" s="137"/>
      <c r="K392" s="343"/>
      <c r="L392" s="345"/>
      <c r="M392" s="353"/>
      <c r="N392" s="345"/>
      <c r="O392" s="345"/>
      <c r="P392" s="345"/>
      <c r="Q392" s="345"/>
      <c r="R392" s="345">
        <f>-IF(R$8=$D392,($F392/$F$341)/2,IF(R$8&gt;$D392,MIN($F392/$F$341,SUM($F392,$K392:Q392)),0))</f>
        <v>-161.8586311956106</v>
      </c>
      <c r="S392" s="345">
        <f>-IF(S$8=$D392,($F392/$F$341)/2,IF(S$8&gt;$D392,MIN($F392/$F$341,SUM($F392,$K392:R392)),0))</f>
        <v>-161.8586311956106</v>
      </c>
      <c r="T392" s="126" t="s">
        <v>48</v>
      </c>
      <c r="U392" s="352">
        <f t="shared" si="200"/>
        <v>-323.7172623912212</v>
      </c>
    </row>
    <row r="393" spans="1:21" hidden="1" outlineLevel="1">
      <c r="D393" s="326">
        <v>2032</v>
      </c>
      <c r="F393" s="187">
        <v>1519.6357578420202</v>
      </c>
      <c r="I393" s="137"/>
      <c r="J393" s="137"/>
      <c r="K393" s="343"/>
      <c r="L393" s="345"/>
      <c r="M393" s="353"/>
      <c r="N393" s="345"/>
      <c r="O393" s="345"/>
      <c r="P393" s="345"/>
      <c r="Q393" s="345"/>
      <c r="R393" s="345"/>
      <c r="S393" s="345">
        <f>-IF(S$8=$D393,($F393/$F$341)/2,IF(S$8&gt;$D393,MIN($F393/$F$341,SUM($F393,$K393:R393)),0))</f>
        <v>-173.40801989109798</v>
      </c>
      <c r="T393" s="126" t="s">
        <v>48</v>
      </c>
      <c r="U393" s="352">
        <f t="shared" si="200"/>
        <v>-173.40801989109798</v>
      </c>
    </row>
    <row r="394" spans="1:21" collapsed="1">
      <c r="K394" s="207"/>
      <c r="T394" s="126" t="s">
        <v>48</v>
      </c>
    </row>
    <row r="395" spans="1:21" ht="15.75">
      <c r="A395" s="205" t="s">
        <v>56</v>
      </c>
      <c r="B395" s="348">
        <v>7</v>
      </c>
      <c r="C395" s="348"/>
      <c r="D395" s="349" t="s">
        <v>283</v>
      </c>
      <c r="E395" s="350"/>
      <c r="F395" s="351"/>
      <c r="G395" s="351"/>
      <c r="H395" s="351"/>
      <c r="I395" s="124"/>
      <c r="J395" s="124"/>
      <c r="K395" s="124"/>
      <c r="L395" s="590"/>
      <c r="M395" s="590"/>
      <c r="N395" s="590"/>
      <c r="O395" s="590"/>
      <c r="P395" s="590"/>
      <c r="Q395" s="590"/>
      <c r="R395" s="590"/>
      <c r="S395" s="590"/>
      <c r="T395" s="126" t="s">
        <v>48</v>
      </c>
    </row>
    <row r="396" spans="1:21" outlineLevel="1">
      <c r="F396"/>
      <c r="G396"/>
      <c r="H396"/>
      <c r="I396"/>
      <c r="J396"/>
      <c r="K396" s="207"/>
      <c r="L396"/>
      <c r="M396"/>
      <c r="N396"/>
      <c r="O396"/>
      <c r="P396"/>
      <c r="Q396"/>
      <c r="R396"/>
      <c r="S396"/>
      <c r="T396" s="126" t="s">
        <v>48</v>
      </c>
    </row>
    <row r="397" spans="1:21" outlineLevel="1">
      <c r="D397" s="354" t="s">
        <v>284</v>
      </c>
      <c r="E397" s="354"/>
      <c r="F397" s="354"/>
      <c r="G397" s="354"/>
      <c r="H397" s="354"/>
      <c r="I397" s="354"/>
      <c r="J397" s="354"/>
      <c r="K397" s="602"/>
      <c r="L397" s="354">
        <f t="shared" ref="L397:S397" si="201">K402</f>
        <v>5914.5999999999995</v>
      </c>
      <c r="M397" s="354">
        <f t="shared" si="201"/>
        <v>5914.5999999999995</v>
      </c>
      <c r="N397" s="354">
        <f t="shared" ca="1" si="201"/>
        <v>6732.7008092583555</v>
      </c>
      <c r="O397" s="354">
        <f t="shared" ca="1" si="201"/>
        <v>7874.4235821102093</v>
      </c>
      <c r="P397" s="354">
        <f t="shared" ca="1" si="201"/>
        <v>8955.0476319904301</v>
      </c>
      <c r="Q397" s="354">
        <f t="shared" ca="1" si="201"/>
        <v>9999.8268008431733</v>
      </c>
      <c r="R397" s="354">
        <f t="shared" ca="1" si="201"/>
        <v>11001.377956845228</v>
      </c>
      <c r="S397" s="354">
        <f t="shared" ca="1" si="201"/>
        <v>11951.722774461979</v>
      </c>
      <c r="T397" s="126" t="s">
        <v>48</v>
      </c>
    </row>
    <row r="398" spans="1:21" outlineLevel="1">
      <c r="D398" s="355"/>
      <c r="F398"/>
      <c r="G398"/>
      <c r="H398"/>
      <c r="I398"/>
      <c r="J398"/>
      <c r="K398" s="207"/>
      <c r="L398"/>
      <c r="M398"/>
      <c r="N398"/>
      <c r="O398"/>
      <c r="P398"/>
      <c r="Q398"/>
      <c r="R398"/>
      <c r="S398"/>
      <c r="T398" s="126" t="s">
        <v>48</v>
      </c>
    </row>
    <row r="399" spans="1:21" outlineLevel="1">
      <c r="D399" s="356" t="s">
        <v>285</v>
      </c>
      <c r="F399"/>
      <c r="G399"/>
      <c r="H399"/>
      <c r="I399"/>
      <c r="J399"/>
      <c r="K399" s="207"/>
      <c r="L399" s="357">
        <f t="shared" ref="L399:S399" si="202">MAX(L406-L397-L400,0)</f>
        <v>0</v>
      </c>
      <c r="M399" s="357">
        <f t="shared" ca="1" si="202"/>
        <v>818.10080925835609</v>
      </c>
      <c r="N399" s="357">
        <f t="shared" ca="1" si="202"/>
        <v>1141.7227728518537</v>
      </c>
      <c r="O399" s="357">
        <f t="shared" ca="1" si="202"/>
        <v>2683.6240498802208</v>
      </c>
      <c r="P399" s="357">
        <f t="shared" ca="1" si="202"/>
        <v>2647.7791688527432</v>
      </c>
      <c r="Q399" s="357">
        <f t="shared" ca="1" si="202"/>
        <v>1001.551156002055</v>
      </c>
      <c r="R399" s="357">
        <f t="shared" ca="1" si="202"/>
        <v>950.34481761675124</v>
      </c>
      <c r="S399" s="357">
        <f t="shared" ca="1" si="202"/>
        <v>890.52804350322185</v>
      </c>
      <c r="T399" s="126" t="s">
        <v>48</v>
      </c>
    </row>
    <row r="400" spans="1:21" outlineLevel="1">
      <c r="D400" s="356" t="s">
        <v>286</v>
      </c>
      <c r="F400"/>
      <c r="G400"/>
      <c r="H400"/>
      <c r="I400"/>
      <c r="J400"/>
      <c r="K400" s="207"/>
      <c r="L400" s="357">
        <v>0</v>
      </c>
      <c r="M400" s="357">
        <v>0</v>
      </c>
      <c r="N400" s="357">
        <v>0</v>
      </c>
      <c r="O400" s="357">
        <v>-1603</v>
      </c>
      <c r="P400" s="357">
        <v>-1603</v>
      </c>
      <c r="Q400" s="357">
        <v>0</v>
      </c>
      <c r="R400" s="357">
        <v>0</v>
      </c>
      <c r="S400" s="357">
        <v>0</v>
      </c>
      <c r="T400" s="126" t="s">
        <v>48</v>
      </c>
    </row>
    <row r="401" spans="1:20" outlineLevel="1">
      <c r="D401" s="358"/>
      <c r="F401"/>
      <c r="G401"/>
      <c r="H401"/>
      <c r="I401"/>
      <c r="J401"/>
      <c r="K401" s="207"/>
      <c r="L401"/>
      <c r="M401"/>
      <c r="N401"/>
      <c r="O401"/>
      <c r="P401"/>
      <c r="Q401"/>
      <c r="R401"/>
      <c r="S401"/>
      <c r="T401" s="126" t="s">
        <v>48</v>
      </c>
    </row>
    <row r="402" spans="1:20" outlineLevel="1">
      <c r="D402" s="359" t="s">
        <v>287</v>
      </c>
      <c r="E402" s="359"/>
      <c r="F402" s="359"/>
      <c r="G402" s="359"/>
      <c r="H402" s="359"/>
      <c r="I402" s="359"/>
      <c r="J402" s="359"/>
      <c r="K402" s="603">
        <f>'Model '!I106+'Model '!I115</f>
        <v>5914.5999999999995</v>
      </c>
      <c r="L402" s="359">
        <f t="shared" ref="L402:S402" si="203">SUM(L400,L399,L397)</f>
        <v>5914.5999999999995</v>
      </c>
      <c r="M402" s="359">
        <f t="shared" ca="1" si="203"/>
        <v>6732.7008092583555</v>
      </c>
      <c r="N402" s="359">
        <f t="shared" ca="1" si="203"/>
        <v>7874.4235821102093</v>
      </c>
      <c r="O402" s="359">
        <f t="shared" ca="1" si="203"/>
        <v>8955.0476319904301</v>
      </c>
      <c r="P402" s="359">
        <f t="shared" ca="1" si="203"/>
        <v>9999.8268008431733</v>
      </c>
      <c r="Q402" s="359">
        <f t="shared" ca="1" si="203"/>
        <v>11001.377956845228</v>
      </c>
      <c r="R402" s="359">
        <f t="shared" ca="1" si="203"/>
        <v>11951.722774461979</v>
      </c>
      <c r="S402" s="359">
        <f t="shared" ca="1" si="203"/>
        <v>12842.250817965201</v>
      </c>
      <c r="T402" s="126" t="s">
        <v>48</v>
      </c>
    </row>
    <row r="403" spans="1:20" outlineLevel="1">
      <c r="D403" s="360"/>
      <c r="F403"/>
      <c r="G403"/>
      <c r="H403"/>
      <c r="I403"/>
      <c r="J403"/>
      <c r="K403" s="207"/>
      <c r="L403"/>
      <c r="M403"/>
      <c r="N403"/>
      <c r="O403"/>
      <c r="P403"/>
      <c r="Q403"/>
      <c r="R403"/>
      <c r="S403"/>
      <c r="T403" s="126" t="s">
        <v>48</v>
      </c>
    </row>
    <row r="404" spans="1:20" outlineLevel="1">
      <c r="D404" s="356" t="s">
        <v>288</v>
      </c>
      <c r="F404"/>
      <c r="G404"/>
      <c r="H404"/>
      <c r="I404" s="163">
        <f>I405/'Model '!G80</f>
        <v>2.9287488224715248</v>
      </c>
      <c r="J404" s="163">
        <f>J405/'Model '!H80</f>
        <v>1.7345048358534259</v>
      </c>
      <c r="K404" s="207">
        <f>K405/'Model '!I80</f>
        <v>2.2103217609028736</v>
      </c>
      <c r="L404" s="361">
        <f>AVERAGE(I404:K404)-0.9</f>
        <v>1.391191806409275</v>
      </c>
      <c r="M404"/>
      <c r="N404"/>
      <c r="O404"/>
      <c r="P404"/>
      <c r="Q404"/>
      <c r="R404"/>
      <c r="S404"/>
      <c r="T404" s="126" t="s">
        <v>48</v>
      </c>
    </row>
    <row r="405" spans="1:20" outlineLevel="1">
      <c r="D405" s="356" t="s">
        <v>289</v>
      </c>
      <c r="F405"/>
      <c r="G405"/>
      <c r="I405" s="163">
        <f>'Model '!G106+'Model '!G115</f>
        <v>3419.8999999999996</v>
      </c>
      <c r="J405" s="163">
        <f>'Model '!H106+'Model '!H115</f>
        <v>3819.9</v>
      </c>
      <c r="K405" s="207">
        <f>'Model '!I106+'Model '!I115</f>
        <v>5914.5999999999995</v>
      </c>
      <c r="L405"/>
      <c r="M405"/>
      <c r="N405"/>
      <c r="O405"/>
      <c r="P405"/>
      <c r="Q405"/>
      <c r="R405"/>
      <c r="S405"/>
      <c r="T405" s="126" t="s">
        <v>48</v>
      </c>
    </row>
    <row r="406" spans="1:20" outlineLevel="1">
      <c r="D406" s="356" t="s">
        <v>290</v>
      </c>
      <c r="F406"/>
      <c r="G406"/>
      <c r="K406" s="207"/>
      <c r="L406" s="163">
        <f>$L$404*'Model '!N80</f>
        <v>5561.3032521853584</v>
      </c>
      <c r="M406" s="163">
        <f ca="1">$L$404*'Model '!O80</f>
        <v>6732.7008092583555</v>
      </c>
      <c r="N406" s="163">
        <f ca="1">$L$404*'Model '!P80</f>
        <v>7874.4235821102093</v>
      </c>
      <c r="O406" s="163">
        <f ca="1">$L$404*'Model '!Q80</f>
        <v>8955.0476319904301</v>
      </c>
      <c r="P406" s="163">
        <f ca="1">$L$404*'Model '!R80</f>
        <v>9999.8268008431733</v>
      </c>
      <c r="Q406" s="163">
        <f ca="1">$L$404*'Model '!S80</f>
        <v>11001.377956845228</v>
      </c>
      <c r="R406" s="163">
        <f ca="1">$L$404*'Model '!T80</f>
        <v>11951.722774461979</v>
      </c>
      <c r="S406" s="163">
        <f ca="1">$L$404*'Model '!U80</f>
        <v>12842.250817965201</v>
      </c>
      <c r="T406" s="126" t="s">
        <v>48</v>
      </c>
    </row>
    <row r="407" spans="1:20" outlineLevel="1">
      <c r="D407" s="356"/>
      <c r="F407"/>
      <c r="G407"/>
      <c r="K407" s="207"/>
      <c r="T407" s="126" t="s">
        <v>48</v>
      </c>
    </row>
    <row r="408" spans="1:20" s="149" customFormat="1" outlineLevel="1">
      <c r="A408"/>
      <c r="B408"/>
      <c r="C408"/>
      <c r="D408" s="334" t="s">
        <v>291</v>
      </c>
      <c r="F408" s="192"/>
      <c r="G408" s="192"/>
      <c r="H408" s="192"/>
      <c r="I408" s="150">
        <f>'Model '!G106</f>
        <v>488.2</v>
      </c>
      <c r="J408" s="150">
        <f>'Model '!H106</f>
        <v>594.4</v>
      </c>
      <c r="K408" s="347">
        <f>'Model '!I106</f>
        <v>759.7</v>
      </c>
      <c r="L408" s="192">
        <f t="shared" ref="L408:S408" si="204">L402*L409</f>
        <v>759.7</v>
      </c>
      <c r="M408" s="192">
        <f t="shared" ca="1" si="204"/>
        <v>864.78084820504739</v>
      </c>
      <c r="N408" s="192">
        <f t="shared" ca="1" si="204"/>
        <v>1011.4292759153834</v>
      </c>
      <c r="O408" s="192">
        <f t="shared" ca="1" si="204"/>
        <v>1150.22988638676</v>
      </c>
      <c r="P408" s="192">
        <f t="shared" ca="1" si="204"/>
        <v>1284.4264059447062</v>
      </c>
      <c r="Q408" s="192">
        <f t="shared" ca="1" si="204"/>
        <v>1413.0705092170765</v>
      </c>
      <c r="R408" s="192">
        <f t="shared" ca="1" si="204"/>
        <v>1535.1374212556668</v>
      </c>
      <c r="S408" s="192">
        <f t="shared" ca="1" si="204"/>
        <v>1649.5211758036323</v>
      </c>
      <c r="T408" s="126" t="s">
        <v>48</v>
      </c>
    </row>
    <row r="409" spans="1:20" s="149" customFormat="1" outlineLevel="1">
      <c r="A409"/>
      <c r="B409"/>
      <c r="C409"/>
      <c r="D409" s="336" t="s">
        <v>292</v>
      </c>
      <c r="F409" s="192"/>
      <c r="G409" s="192"/>
      <c r="H409" s="192"/>
      <c r="I409" s="362">
        <f>I408/I405</f>
        <v>0.14275271206760431</v>
      </c>
      <c r="J409" s="362">
        <f>J408/J405</f>
        <v>0.15560616770072513</v>
      </c>
      <c r="K409" s="317">
        <f>K408/K405</f>
        <v>0.1284448652487066</v>
      </c>
      <c r="L409" s="362">
        <f>K409</f>
        <v>0.1284448652487066</v>
      </c>
      <c r="M409" s="362">
        <f>L409</f>
        <v>0.1284448652487066</v>
      </c>
      <c r="N409" s="362">
        <f t="shared" ref="N409:S411" si="205">M409</f>
        <v>0.1284448652487066</v>
      </c>
      <c r="O409" s="362">
        <f t="shared" si="205"/>
        <v>0.1284448652487066</v>
      </c>
      <c r="P409" s="362">
        <f t="shared" si="205"/>
        <v>0.1284448652487066</v>
      </c>
      <c r="Q409" s="362">
        <f t="shared" si="205"/>
        <v>0.1284448652487066</v>
      </c>
      <c r="R409" s="362">
        <f t="shared" si="205"/>
        <v>0.1284448652487066</v>
      </c>
      <c r="S409" s="362">
        <f t="shared" si="205"/>
        <v>0.1284448652487066</v>
      </c>
      <c r="T409" s="126" t="s">
        <v>48</v>
      </c>
    </row>
    <row r="410" spans="1:20" s="149" customFormat="1" outlineLevel="1">
      <c r="A410"/>
      <c r="B410"/>
      <c r="C410"/>
      <c r="D410" s="334" t="s">
        <v>293</v>
      </c>
      <c r="F410" s="192"/>
      <c r="G410" s="192"/>
      <c r="H410" s="192"/>
      <c r="I410" s="150">
        <f>'Model '!G115</f>
        <v>2931.7</v>
      </c>
      <c r="J410" s="150">
        <f>'Model '!H115</f>
        <v>3225.5</v>
      </c>
      <c r="K410" s="347">
        <f>'Model '!I115</f>
        <v>5154.8999999999996</v>
      </c>
      <c r="L410" s="192">
        <f t="shared" ref="L410:S410" si="206">L411*L402</f>
        <v>5154.8999999999996</v>
      </c>
      <c r="M410" s="192">
        <f t="shared" ca="1" si="206"/>
        <v>5867.9199610533087</v>
      </c>
      <c r="N410" s="192">
        <f t="shared" ca="1" si="206"/>
        <v>6862.9943061948261</v>
      </c>
      <c r="O410" s="192">
        <f t="shared" ca="1" si="206"/>
        <v>7804.8177456036701</v>
      </c>
      <c r="P410" s="192">
        <f t="shared" ca="1" si="206"/>
        <v>8715.4003948984682</v>
      </c>
      <c r="Q410" s="192">
        <f t="shared" ca="1" si="206"/>
        <v>9588.3074476281527</v>
      </c>
      <c r="R410" s="192">
        <f t="shared" ca="1" si="206"/>
        <v>10416.585353206314</v>
      </c>
      <c r="S410" s="192">
        <f t="shared" ca="1" si="206"/>
        <v>11192.72964216157</v>
      </c>
      <c r="T410" s="126" t="s">
        <v>48</v>
      </c>
    </row>
    <row r="411" spans="1:20" s="149" customFormat="1" outlineLevel="1">
      <c r="A411"/>
      <c r="B411"/>
      <c r="C411"/>
      <c r="D411" s="336" t="s">
        <v>292</v>
      </c>
      <c r="F411" s="192"/>
      <c r="G411" s="192"/>
      <c r="H411" s="192"/>
      <c r="I411" s="362">
        <f>I410/I405</f>
        <v>0.85724728793239569</v>
      </c>
      <c r="J411" s="362">
        <f>J410/J405</f>
        <v>0.84439383229927478</v>
      </c>
      <c r="K411" s="317">
        <f>K410/K405</f>
        <v>0.87155513475129343</v>
      </c>
      <c r="L411" s="362">
        <f>K411</f>
        <v>0.87155513475129343</v>
      </c>
      <c r="M411" s="362">
        <f>L411</f>
        <v>0.87155513475129343</v>
      </c>
      <c r="N411" s="362">
        <f t="shared" si="205"/>
        <v>0.87155513475129343</v>
      </c>
      <c r="O411" s="362">
        <f t="shared" si="205"/>
        <v>0.87155513475129343</v>
      </c>
      <c r="P411" s="362">
        <f t="shared" si="205"/>
        <v>0.87155513475129343</v>
      </c>
      <c r="Q411" s="362">
        <f t="shared" si="205"/>
        <v>0.87155513475129343</v>
      </c>
      <c r="R411" s="362">
        <f t="shared" si="205"/>
        <v>0.87155513475129343</v>
      </c>
      <c r="S411" s="362">
        <f t="shared" si="205"/>
        <v>0.87155513475129343</v>
      </c>
      <c r="T411" s="126" t="s">
        <v>48</v>
      </c>
    </row>
    <row r="412" spans="1:20" outlineLevel="1">
      <c r="D412" s="326"/>
      <c r="K412" s="207"/>
      <c r="T412" s="126" t="s">
        <v>48</v>
      </c>
    </row>
    <row r="413" spans="1:20" outlineLevel="1">
      <c r="D413" s="326" t="s">
        <v>294</v>
      </c>
      <c r="I413" s="137"/>
      <c r="J413" s="137"/>
      <c r="K413" s="207">
        <f>'Model '!I59</f>
        <v>-339.1</v>
      </c>
      <c r="L413" s="163">
        <f t="shared" ref="L413:S413" si="207">-L402*L414</f>
        <v>-718.78282689689104</v>
      </c>
      <c r="M413" s="163">
        <f t="shared" ca="1" si="207"/>
        <v>-818.2040578111297</v>
      </c>
      <c r="N413" s="163">
        <f t="shared" ca="1" si="207"/>
        <v>-956.95405311140564</v>
      </c>
      <c r="O413" s="163">
        <f t="shared" ca="1" si="207"/>
        <v>-1088.2789118314665</v>
      </c>
      <c r="P413" s="163">
        <f t="shared" ca="1" si="207"/>
        <v>-1215.24765434507</v>
      </c>
      <c r="Q413" s="163">
        <f t="shared" ca="1" si="207"/>
        <v>-1336.963031748953</v>
      </c>
      <c r="R413" s="163">
        <f t="shared" ca="1" si="207"/>
        <v>-1452.4554631109013</v>
      </c>
      <c r="S413" s="163">
        <f t="shared" ca="1" si="207"/>
        <v>-1560.6785491252053</v>
      </c>
      <c r="T413" s="126" t="s">
        <v>48</v>
      </c>
    </row>
    <row r="414" spans="1:20" outlineLevel="1">
      <c r="D414" s="326" t="s">
        <v>295</v>
      </c>
      <c r="I414" s="137"/>
      <c r="J414" s="137"/>
      <c r="K414" s="610">
        <f>-K413/K402</f>
        <v>5.7332702126940124E-2</v>
      </c>
      <c r="L414" s="339">
        <f>(1+L415)*(1+$F$415)-1</f>
        <v>0.12152687026965325</v>
      </c>
      <c r="M414" s="339">
        <f t="shared" ref="M414:S414" si="208">(1+M415)*(1+$F$415)-1</f>
        <v>0.12152687026965325</v>
      </c>
      <c r="N414" s="339">
        <f t="shared" si="208"/>
        <v>0.12152687026965325</v>
      </c>
      <c r="O414" s="339">
        <f t="shared" si="208"/>
        <v>0.12152687026965325</v>
      </c>
      <c r="P414" s="339">
        <f t="shared" si="208"/>
        <v>0.12152687026965325</v>
      </c>
      <c r="Q414" s="339">
        <f t="shared" si="208"/>
        <v>0.12152687026965325</v>
      </c>
      <c r="R414" s="339">
        <f t="shared" si="208"/>
        <v>0.12152687026965325</v>
      </c>
      <c r="S414" s="339">
        <f t="shared" si="208"/>
        <v>0.12152687026965325</v>
      </c>
      <c r="T414" s="126" t="s">
        <v>48</v>
      </c>
    </row>
    <row r="415" spans="1:20" outlineLevel="1">
      <c r="D415" s="326" t="s">
        <v>296</v>
      </c>
      <c r="F415" s="337">
        <v>0</v>
      </c>
      <c r="I415" s="362">
        <f>I16</f>
        <v>0.1242156862134729</v>
      </c>
      <c r="J415" s="362">
        <f>J16</f>
        <v>0.13198299273696934</v>
      </c>
      <c r="K415" s="317">
        <f>K16</f>
        <v>0.10838193185851752</v>
      </c>
      <c r="L415" s="316">
        <f>AVERAGE(I415:K415)</f>
        <v>0.12152687026965325</v>
      </c>
      <c r="M415" s="316">
        <f>L415</f>
        <v>0.12152687026965325</v>
      </c>
      <c r="N415" s="316">
        <f t="shared" ref="N415:S415" si="209">M415</f>
        <v>0.12152687026965325</v>
      </c>
      <c r="O415" s="316">
        <f t="shared" si="209"/>
        <v>0.12152687026965325</v>
      </c>
      <c r="P415" s="316">
        <f t="shared" si="209"/>
        <v>0.12152687026965325</v>
      </c>
      <c r="Q415" s="316">
        <f t="shared" si="209"/>
        <v>0.12152687026965325</v>
      </c>
      <c r="R415" s="316">
        <f t="shared" si="209"/>
        <v>0.12152687026965325</v>
      </c>
      <c r="S415" s="316">
        <f t="shared" si="209"/>
        <v>0.12152687026965325</v>
      </c>
      <c r="T415" s="126" t="s">
        <v>48</v>
      </c>
    </row>
    <row r="416" spans="1:20" outlineLevel="1">
      <c r="D416" s="326"/>
      <c r="F416" s="532"/>
      <c r="I416" s="362"/>
      <c r="J416" s="362"/>
      <c r="K416" s="317"/>
      <c r="L416" s="316"/>
      <c r="M416" s="316"/>
      <c r="N416" s="316"/>
      <c r="O416" s="316"/>
      <c r="P416" s="316"/>
      <c r="Q416" s="316"/>
      <c r="R416" s="316"/>
      <c r="S416" s="316"/>
      <c r="T416" s="126" t="s">
        <v>48</v>
      </c>
    </row>
    <row r="417" spans="2:20" outlineLevel="1">
      <c r="D417" s="326" t="s">
        <v>297</v>
      </c>
      <c r="F417" s="532"/>
      <c r="I417" s="163">
        <f>I405-'Model '!G186</f>
        <v>449.89999999999964</v>
      </c>
      <c r="J417" s="163">
        <f>J405-'Model '!H186</f>
        <v>1122.3999999999996</v>
      </c>
      <c r="K417" s="207">
        <f>K405-'Model '!I186</f>
        <v>2826.4999999999991</v>
      </c>
      <c r="L417" s="163">
        <f>L406-'Model '!N186</f>
        <v>5813.9685419708621</v>
      </c>
      <c r="M417" s="163">
        <f ca="1">M406-'Model '!O186</f>
        <v>8591.3260667281647</v>
      </c>
      <c r="N417" s="163">
        <f ca="1">N406-'Model '!P186</f>
        <v>10404.836830805776</v>
      </c>
      <c r="O417" s="163">
        <f ca="1">O406-'Model '!Q186</f>
        <v>11701.31580680864</v>
      </c>
      <c r="P417" s="163">
        <f ca="1">P406-'Model '!R186</f>
        <v>12353.135682267801</v>
      </c>
      <c r="Q417" s="163">
        <f ca="1">Q406-'Model '!S186</f>
        <v>12220.65019239858</v>
      </c>
      <c r="R417" s="163">
        <f ca="1">R406-'Model '!T186</f>
        <v>11415.328763292166</v>
      </c>
      <c r="S417" s="163">
        <f ca="1">S406-'Model '!U186</f>
        <v>10008.290625735177</v>
      </c>
      <c r="T417" s="126" t="s">
        <v>48</v>
      </c>
    </row>
    <row r="418" spans="2:20" outlineLevel="1">
      <c r="D418" s="326" t="s">
        <v>298</v>
      </c>
      <c r="F418" s="532"/>
      <c r="I418" s="533">
        <f>I417/'Model '!G80</f>
        <v>0.38528731694784585</v>
      </c>
      <c r="J418" s="533">
        <f>J417/'Model '!H80</f>
        <v>0.50964900331471619</v>
      </c>
      <c r="K418" s="534">
        <f>K417/'Model '!I80</f>
        <v>1.0562801300497024</v>
      </c>
      <c r="L418" s="533">
        <f>L417/'Model '!N80</f>
        <v>1.4543974733139688</v>
      </c>
      <c r="M418" s="533">
        <f ca="1">M417/'Model '!O80</f>
        <v>1.7752433635231217</v>
      </c>
      <c r="N418" s="533">
        <f ca="1">N417/'Model '!P80</f>
        <v>1.838245503953873</v>
      </c>
      <c r="O418" s="533">
        <f ca="1">O417/'Model '!Q80</f>
        <v>1.8178322822635</v>
      </c>
      <c r="P418" s="533">
        <f ca="1">P417/'Model '!R80</f>
        <v>1.7185878802604808</v>
      </c>
      <c r="Q418" s="533">
        <f ca="1">Q417/'Model '!S80</f>
        <v>1.5453762686228212</v>
      </c>
      <c r="R418" s="533">
        <f ca="1">R417/'Model '!T80</f>
        <v>1.3287550374657247</v>
      </c>
      <c r="S418" s="533">
        <f ca="1">S417/'Model '!U80</f>
        <v>1.0841909344433474</v>
      </c>
      <c r="T418" s="126" t="s">
        <v>48</v>
      </c>
    </row>
    <row r="419" spans="2:20">
      <c r="D419" s="326"/>
      <c r="I419" s="363"/>
      <c r="J419" s="363"/>
      <c r="K419" s="364"/>
      <c r="L419" s="363"/>
      <c r="M419" s="363"/>
      <c r="N419" s="363"/>
      <c r="O419" s="363"/>
      <c r="P419" s="363"/>
      <c r="Q419" s="363"/>
      <c r="R419" s="363"/>
      <c r="S419" s="363"/>
      <c r="T419" s="126" t="s">
        <v>48</v>
      </c>
    </row>
    <row r="420" spans="2:20">
      <c r="B420" s="199"/>
      <c r="C420" s="348" t="s">
        <v>299</v>
      </c>
      <c r="D420" s="349" t="s">
        <v>300</v>
      </c>
      <c r="E420" s="348"/>
      <c r="F420" s="348"/>
      <c r="G420" s="348"/>
      <c r="H420" s="348"/>
      <c r="I420" s="124"/>
      <c r="J420" s="124"/>
      <c r="K420" s="124"/>
      <c r="L420" s="590"/>
      <c r="M420" s="590"/>
      <c r="N420" s="590"/>
      <c r="O420" s="590"/>
      <c r="P420" s="590"/>
      <c r="Q420" s="590"/>
      <c r="R420" s="590"/>
      <c r="S420" s="590"/>
      <c r="T420" s="126" t="s">
        <v>48</v>
      </c>
    </row>
    <row r="421" spans="2:20" hidden="1" outlineLevel="1">
      <c r="B421" s="199"/>
      <c r="C421" s="199"/>
      <c r="D421" s="365"/>
      <c r="E421" s="366"/>
      <c r="F421" s="366"/>
      <c r="G421" s="366"/>
      <c r="H421" s="366"/>
      <c r="I421" s="366"/>
      <c r="J421" s="366"/>
      <c r="K421" s="367"/>
      <c r="L421" s="366"/>
      <c r="M421" s="366"/>
      <c r="N421" s="366"/>
      <c r="O421" s="366"/>
      <c r="P421" s="366"/>
      <c r="R421" s="368"/>
      <c r="S421" s="368"/>
      <c r="T421" s="126" t="s">
        <v>48</v>
      </c>
    </row>
    <row r="422" spans="2:20" hidden="1" outlineLevel="1">
      <c r="B422" s="199"/>
      <c r="C422" s="199"/>
      <c r="D422" s="369" t="s">
        <v>301</v>
      </c>
      <c r="E422" s="370"/>
      <c r="F422" s="370"/>
      <c r="G422" s="370"/>
      <c r="H422" s="370"/>
      <c r="I422" s="370"/>
      <c r="J422" s="370"/>
      <c r="K422" s="371">
        <v>366.05099999999999</v>
      </c>
      <c r="L422" s="370"/>
      <c r="M422" s="370"/>
      <c r="N422" s="370"/>
      <c r="O422" s="370"/>
      <c r="P422" s="370"/>
      <c r="R422" s="368"/>
      <c r="S422" s="368"/>
      <c r="T422" s="126" t="s">
        <v>48</v>
      </c>
    </row>
    <row r="423" spans="2:20" hidden="1" outlineLevel="1">
      <c r="B423" s="199"/>
      <c r="C423" s="199"/>
      <c r="D423" s="372" t="s">
        <v>302</v>
      </c>
      <c r="E423" s="366"/>
      <c r="F423" s="366"/>
      <c r="G423" s="366"/>
      <c r="H423" s="366"/>
      <c r="I423" s="366"/>
      <c r="J423" s="366"/>
      <c r="K423" s="367"/>
      <c r="L423" s="366"/>
      <c r="M423" s="366"/>
      <c r="N423" s="366"/>
      <c r="O423" s="366"/>
      <c r="P423" s="366"/>
      <c r="R423" s="368"/>
      <c r="S423" s="368"/>
      <c r="T423" s="126" t="s">
        <v>48</v>
      </c>
    </row>
    <row r="424" spans="2:20" hidden="1" outlineLevel="1">
      <c r="B424" s="199"/>
      <c r="C424" s="199"/>
      <c r="D424" s="373" t="s">
        <v>302</v>
      </c>
      <c r="E424" s="366"/>
      <c r="F424" s="366"/>
      <c r="G424" s="366"/>
      <c r="H424" s="366"/>
      <c r="I424" s="366"/>
      <c r="J424" s="366"/>
      <c r="K424" s="374"/>
      <c r="L424" s="366"/>
      <c r="M424" s="366"/>
      <c r="N424" s="366"/>
      <c r="O424" s="366"/>
      <c r="P424" s="366"/>
      <c r="R424" s="368"/>
      <c r="S424" s="368"/>
      <c r="T424" s="126" t="s">
        <v>48</v>
      </c>
    </row>
    <row r="425" spans="2:20" ht="15.75" hidden="1" outlineLevel="1" thickBot="1">
      <c r="B425" s="199"/>
      <c r="C425" s="199"/>
      <c r="D425" s="375" t="s">
        <v>303</v>
      </c>
      <c r="E425" s="376">
        <v>47406</v>
      </c>
      <c r="F425" s="377"/>
      <c r="G425" s="366"/>
      <c r="H425" s="366"/>
      <c r="I425" s="366"/>
      <c r="J425" s="366"/>
      <c r="K425" s="367"/>
      <c r="L425" s="366"/>
      <c r="M425" s="366"/>
      <c r="N425" s="366"/>
      <c r="O425" s="366"/>
      <c r="P425" s="366"/>
      <c r="R425" s="368"/>
      <c r="S425" s="368"/>
      <c r="T425" s="126" t="s">
        <v>48</v>
      </c>
    </row>
    <row r="426" spans="2:20" hidden="1" outlineLevel="1">
      <c r="B426" s="199"/>
      <c r="C426" s="199"/>
      <c r="D426" s="375" t="s">
        <v>304</v>
      </c>
      <c r="E426" s="378" t="s">
        <v>305</v>
      </c>
      <c r="F426" s="337">
        <v>1.4999999999999999E-2</v>
      </c>
      <c r="G426" s="366"/>
      <c r="H426" s="366"/>
      <c r="I426" s="366"/>
      <c r="J426" s="366"/>
      <c r="K426" s="367"/>
      <c r="L426" s="366"/>
      <c r="M426" s="366"/>
      <c r="N426" s="366"/>
      <c r="O426" s="366"/>
      <c r="P426" s="366"/>
      <c r="R426" s="368"/>
      <c r="S426" s="368"/>
      <c r="T426" s="126" t="s">
        <v>48</v>
      </c>
    </row>
    <row r="427" spans="2:20" ht="15.75" hidden="1" outlineLevel="1" thickBot="1">
      <c r="B427" s="199"/>
      <c r="C427" s="199"/>
      <c r="D427" s="375" t="s">
        <v>306</v>
      </c>
      <c r="E427" s="379" t="s">
        <v>307</v>
      </c>
      <c r="F427" s="380"/>
      <c r="G427" s="366"/>
      <c r="H427" s="366"/>
      <c r="I427" s="366"/>
      <c r="J427" s="366"/>
      <c r="K427" s="367"/>
      <c r="L427" s="366"/>
      <c r="M427" s="366"/>
      <c r="N427" s="366"/>
      <c r="O427" s="366"/>
      <c r="P427" s="366"/>
      <c r="R427" s="368"/>
      <c r="S427" s="368"/>
      <c r="T427" s="126" t="s">
        <v>48</v>
      </c>
    </row>
    <row r="428" spans="2:20" hidden="1" outlineLevel="1">
      <c r="B428" s="199"/>
      <c r="C428" s="199"/>
      <c r="D428" s="375" t="s">
        <v>308</v>
      </c>
      <c r="E428" s="366"/>
      <c r="F428" s="366"/>
      <c r="G428" s="366"/>
      <c r="H428" s="366"/>
      <c r="I428" s="366"/>
      <c r="J428" s="366"/>
      <c r="K428" s="367"/>
      <c r="L428" s="366"/>
      <c r="M428" s="366"/>
      <c r="N428" s="366"/>
      <c r="O428" s="366"/>
      <c r="P428" s="366"/>
      <c r="R428" s="368"/>
      <c r="S428" s="368"/>
      <c r="T428" s="126" t="s">
        <v>48</v>
      </c>
    </row>
    <row r="429" spans="2:20" hidden="1" outlineLevel="1">
      <c r="B429" s="199"/>
      <c r="C429" s="199"/>
      <c r="D429" s="381"/>
      <c r="E429" s="366"/>
      <c r="F429" s="366"/>
      <c r="G429" s="366"/>
      <c r="H429" s="366"/>
      <c r="I429" s="366"/>
      <c r="J429" s="366"/>
      <c r="K429" s="367"/>
      <c r="L429" s="366"/>
      <c r="M429" s="366"/>
      <c r="N429" s="366"/>
      <c r="O429" s="366"/>
      <c r="P429" s="366"/>
      <c r="R429" s="368"/>
      <c r="S429" s="368"/>
      <c r="T429" s="126" t="s">
        <v>48</v>
      </c>
    </row>
    <row r="430" spans="2:20" hidden="1" outlineLevel="1">
      <c r="B430" s="199"/>
      <c r="C430" s="199"/>
      <c r="D430" s="369" t="s">
        <v>309</v>
      </c>
      <c r="E430" s="370"/>
      <c r="F430" s="370"/>
      <c r="G430" s="370"/>
      <c r="H430" s="370"/>
      <c r="I430" s="370"/>
      <c r="J430" s="370"/>
      <c r="K430" s="371">
        <v>43.566000000000003</v>
      </c>
      <c r="L430" s="370"/>
      <c r="M430" s="370"/>
      <c r="N430" s="370"/>
      <c r="O430" s="370"/>
      <c r="P430" s="370"/>
      <c r="R430" s="368"/>
      <c r="S430" s="368"/>
      <c r="T430" s="126" t="s">
        <v>48</v>
      </c>
    </row>
    <row r="431" spans="2:20" hidden="1" outlineLevel="1">
      <c r="B431" s="199"/>
      <c r="C431" s="199"/>
      <c r="D431" s="372" t="s">
        <v>302</v>
      </c>
      <c r="E431" s="366"/>
      <c r="F431" s="366"/>
      <c r="G431" s="366"/>
      <c r="H431" s="366"/>
      <c r="I431" s="366"/>
      <c r="J431" s="366"/>
      <c r="K431" s="367"/>
      <c r="L431" s="366"/>
      <c r="M431" s="366"/>
      <c r="N431" s="366"/>
      <c r="O431" s="366"/>
      <c r="P431" s="366"/>
      <c r="R431" s="368"/>
      <c r="S431" s="368"/>
      <c r="T431" s="126" t="s">
        <v>48</v>
      </c>
    </row>
    <row r="432" spans="2:20" hidden="1" outlineLevel="1">
      <c r="B432" s="199"/>
      <c r="C432" s="199"/>
      <c r="D432" s="373" t="s">
        <v>302</v>
      </c>
      <c r="E432" s="366"/>
      <c r="F432" s="366"/>
      <c r="G432" s="366"/>
      <c r="H432" s="366"/>
      <c r="I432" s="366"/>
      <c r="J432" s="366"/>
      <c r="K432" s="374"/>
      <c r="L432" s="366"/>
      <c r="M432" s="366"/>
      <c r="N432" s="366"/>
      <c r="O432" s="366"/>
      <c r="P432" s="366"/>
      <c r="R432" s="368"/>
      <c r="S432" s="368"/>
      <c r="T432" s="126" t="s">
        <v>48</v>
      </c>
    </row>
    <row r="433" spans="2:20" ht="15.75" hidden="1" outlineLevel="1" thickBot="1">
      <c r="B433" s="199"/>
      <c r="C433" s="199"/>
      <c r="D433" s="375" t="s">
        <v>303</v>
      </c>
      <c r="E433" s="376">
        <v>47406</v>
      </c>
      <c r="F433" s="377"/>
      <c r="G433" s="366"/>
      <c r="H433" s="366"/>
      <c r="I433" s="366"/>
      <c r="J433" s="366"/>
      <c r="K433" s="367"/>
      <c r="L433" s="366"/>
      <c r="M433" s="366"/>
      <c r="N433" s="366"/>
      <c r="O433" s="366"/>
      <c r="P433" s="366"/>
      <c r="R433" s="368"/>
      <c r="S433" s="368"/>
      <c r="T433" s="126" t="s">
        <v>48</v>
      </c>
    </row>
    <row r="434" spans="2:20" hidden="1" outlineLevel="1">
      <c r="B434" s="199"/>
      <c r="C434" s="199"/>
      <c r="D434" s="375" t="s">
        <v>304</v>
      </c>
      <c r="E434" s="378" t="s">
        <v>310</v>
      </c>
      <c r="F434" s="337">
        <v>7.3678999999999994E-2</v>
      </c>
      <c r="G434" s="366"/>
      <c r="H434" s="366"/>
      <c r="I434" s="366"/>
      <c r="J434" s="366"/>
      <c r="K434" s="367"/>
      <c r="L434" s="366"/>
      <c r="M434" s="366"/>
      <c r="N434" s="366"/>
      <c r="O434" s="366"/>
      <c r="P434" s="366"/>
      <c r="R434" s="368"/>
      <c r="S434" s="368"/>
      <c r="T434" s="126" t="s">
        <v>48</v>
      </c>
    </row>
    <row r="435" spans="2:20" ht="15.75" hidden="1" outlineLevel="1" thickBot="1">
      <c r="B435" s="199"/>
      <c r="C435" s="199"/>
      <c r="D435" s="375" t="s">
        <v>306</v>
      </c>
      <c r="E435" s="379" t="s">
        <v>307</v>
      </c>
      <c r="F435" s="380"/>
      <c r="G435" s="366"/>
      <c r="H435" s="366"/>
      <c r="I435" s="366"/>
      <c r="J435" s="366"/>
      <c r="K435" s="367"/>
      <c r="L435" s="366"/>
      <c r="M435" s="366"/>
      <c r="N435" s="366"/>
      <c r="O435" s="366"/>
      <c r="P435" s="366"/>
      <c r="R435" s="368"/>
      <c r="S435" s="368"/>
      <c r="T435" s="126" t="s">
        <v>48</v>
      </c>
    </row>
    <row r="436" spans="2:20" hidden="1" outlineLevel="1">
      <c r="B436" s="199"/>
      <c r="C436" s="199"/>
      <c r="D436" s="375" t="s">
        <v>308</v>
      </c>
      <c r="E436" s="366"/>
      <c r="F436" s="366"/>
      <c r="G436" s="366"/>
      <c r="H436" s="366"/>
      <c r="I436" s="366"/>
      <c r="J436" s="366"/>
      <c r="K436" s="367"/>
      <c r="L436" s="366"/>
      <c r="M436" s="366"/>
      <c r="N436" s="366"/>
      <c r="O436" s="366"/>
      <c r="P436" s="366"/>
      <c r="R436" s="368"/>
      <c r="S436" s="368"/>
      <c r="T436" s="126" t="s">
        <v>48</v>
      </c>
    </row>
    <row r="437" spans="2:20" hidden="1" outlineLevel="1">
      <c r="B437" s="199"/>
      <c r="C437" s="199"/>
      <c r="D437" s="381"/>
      <c r="E437" s="366"/>
      <c r="F437" s="366"/>
      <c r="G437" s="366"/>
      <c r="H437" s="366"/>
      <c r="I437" s="366"/>
      <c r="J437" s="366"/>
      <c r="K437" s="367"/>
      <c r="L437" s="366"/>
      <c r="M437" s="366"/>
      <c r="N437" s="366"/>
      <c r="O437" s="366"/>
      <c r="P437" s="366"/>
      <c r="R437" s="368"/>
      <c r="S437" s="368"/>
      <c r="T437" s="126" t="s">
        <v>48</v>
      </c>
    </row>
    <row r="438" spans="2:20" hidden="1" outlineLevel="1">
      <c r="B438" s="199"/>
      <c r="C438" s="199"/>
      <c r="D438" s="369" t="s">
        <v>311</v>
      </c>
      <c r="E438" s="370"/>
      <c r="F438" s="370"/>
      <c r="G438" s="370"/>
      <c r="H438" s="370"/>
      <c r="I438" s="370"/>
      <c r="J438" s="370"/>
      <c r="K438" s="371">
        <v>615.85900000000004</v>
      </c>
      <c r="L438" s="370"/>
      <c r="M438" s="370"/>
      <c r="N438" s="370"/>
      <c r="O438" s="370"/>
      <c r="P438" s="370"/>
      <c r="R438" s="368"/>
      <c r="S438" s="368"/>
      <c r="T438" s="126" t="s">
        <v>48</v>
      </c>
    </row>
    <row r="439" spans="2:20" hidden="1" outlineLevel="1">
      <c r="B439" s="199"/>
      <c r="C439" s="199"/>
      <c r="D439" s="372" t="s">
        <v>302</v>
      </c>
      <c r="E439" s="366"/>
      <c r="F439" s="366"/>
      <c r="G439" s="366"/>
      <c r="H439" s="366"/>
      <c r="I439" s="366"/>
      <c r="J439" s="366"/>
      <c r="K439" s="367"/>
      <c r="L439" s="366"/>
      <c r="M439" s="366"/>
      <c r="N439" s="366"/>
      <c r="O439" s="366"/>
      <c r="P439" s="366"/>
      <c r="R439" s="368"/>
      <c r="S439" s="368"/>
      <c r="T439" s="126" t="s">
        <v>48</v>
      </c>
    </row>
    <row r="440" spans="2:20" hidden="1" outlineLevel="1">
      <c r="B440" s="199"/>
      <c r="C440" s="199"/>
      <c r="D440" s="373" t="s">
        <v>302</v>
      </c>
      <c r="E440" s="366"/>
      <c r="F440" s="366"/>
      <c r="G440" s="366"/>
      <c r="H440" s="366"/>
      <c r="I440" s="366"/>
      <c r="J440" s="366"/>
      <c r="K440" s="374"/>
      <c r="L440" s="366"/>
      <c r="M440" s="366"/>
      <c r="N440" s="366"/>
      <c r="O440" s="366"/>
      <c r="P440" s="366"/>
      <c r="R440" s="368"/>
      <c r="S440" s="368"/>
      <c r="T440" s="126" t="s">
        <v>48</v>
      </c>
    </row>
    <row r="441" spans="2:20" ht="15.75" hidden="1" outlineLevel="1" thickBot="1">
      <c r="B441" s="199"/>
      <c r="C441" s="199"/>
      <c r="D441" s="375" t="s">
        <v>303</v>
      </c>
      <c r="E441" s="376">
        <v>47777</v>
      </c>
      <c r="F441" s="377"/>
      <c r="G441" s="366"/>
      <c r="H441" s="366"/>
      <c r="I441" s="366"/>
      <c r="J441" s="366"/>
      <c r="K441" s="367"/>
      <c r="L441" s="366"/>
      <c r="M441" s="366"/>
      <c r="N441" s="366"/>
      <c r="O441" s="366"/>
      <c r="P441" s="366"/>
      <c r="R441" s="368"/>
      <c r="S441" s="368"/>
      <c r="T441" s="126" t="s">
        <v>48</v>
      </c>
    </row>
    <row r="442" spans="2:20" hidden="1" outlineLevel="1">
      <c r="B442" s="199"/>
      <c r="C442" s="199"/>
      <c r="D442" s="375" t="s">
        <v>304</v>
      </c>
      <c r="E442" s="378" t="s">
        <v>305</v>
      </c>
      <c r="F442" s="337">
        <v>1.95E-2</v>
      </c>
      <c r="G442" s="366"/>
      <c r="H442" s="366"/>
      <c r="I442" s="366"/>
      <c r="J442" s="366"/>
      <c r="K442" s="367"/>
      <c r="L442" s="366"/>
      <c r="M442" s="366"/>
      <c r="N442" s="366"/>
      <c r="O442" s="366"/>
      <c r="P442" s="366"/>
      <c r="R442" s="368"/>
      <c r="S442" s="368"/>
      <c r="T442" s="126" t="s">
        <v>48</v>
      </c>
    </row>
    <row r="443" spans="2:20" ht="15.75" hidden="1" outlineLevel="1" thickBot="1">
      <c r="B443" s="199"/>
      <c r="C443" s="199"/>
      <c r="D443" s="375" t="s">
        <v>306</v>
      </c>
      <c r="E443" s="379" t="s">
        <v>307</v>
      </c>
      <c r="F443" s="380"/>
      <c r="G443" s="366"/>
      <c r="H443" s="366"/>
      <c r="I443" s="366"/>
      <c r="J443" s="366"/>
      <c r="K443" s="367"/>
      <c r="L443" s="366"/>
      <c r="M443" s="366"/>
      <c r="N443" s="366"/>
      <c r="O443" s="366"/>
      <c r="P443" s="366"/>
      <c r="R443" s="368"/>
      <c r="S443" s="368"/>
      <c r="T443" s="126" t="s">
        <v>48</v>
      </c>
    </row>
    <row r="444" spans="2:20" hidden="1" outlineLevel="1">
      <c r="B444" s="199"/>
      <c r="C444" s="199"/>
      <c r="D444" s="375" t="s">
        <v>308</v>
      </c>
      <c r="E444" s="366"/>
      <c r="F444" s="366"/>
      <c r="G444" s="366"/>
      <c r="H444" s="366"/>
      <c r="I444" s="366"/>
      <c r="J444" s="366"/>
      <c r="K444" s="367"/>
      <c r="L444" s="366"/>
      <c r="M444" s="366"/>
      <c r="N444" s="366"/>
      <c r="O444" s="366"/>
      <c r="P444" s="366"/>
      <c r="R444" s="368"/>
      <c r="S444" s="368"/>
      <c r="T444" s="126" t="s">
        <v>48</v>
      </c>
    </row>
    <row r="445" spans="2:20" hidden="1" outlineLevel="1">
      <c r="B445" s="199"/>
      <c r="C445" s="199"/>
      <c r="D445" s="381"/>
      <c r="E445" s="366"/>
      <c r="F445" s="366"/>
      <c r="G445" s="366"/>
      <c r="H445" s="366"/>
      <c r="I445" s="366"/>
      <c r="J445" s="366"/>
      <c r="K445" s="367"/>
      <c r="L445" s="366"/>
      <c r="M445" s="366"/>
      <c r="N445" s="366"/>
      <c r="O445" s="366"/>
      <c r="P445" s="366"/>
      <c r="R445" s="368"/>
      <c r="S445" s="368"/>
      <c r="T445" s="126" t="s">
        <v>48</v>
      </c>
    </row>
    <row r="446" spans="2:20" hidden="1" outlineLevel="1">
      <c r="B446" s="199"/>
      <c r="C446" s="199"/>
      <c r="D446" s="369" t="s">
        <v>312</v>
      </c>
      <c r="E446" s="370"/>
      <c r="F446" s="370"/>
      <c r="G446" s="370"/>
      <c r="H446" s="370"/>
      <c r="I446" s="370"/>
      <c r="J446" s="370"/>
      <c r="K446" s="371">
        <v>741.79499999999996</v>
      </c>
      <c r="L446" s="370"/>
      <c r="M446" s="370"/>
      <c r="N446" s="370"/>
      <c r="O446" s="370"/>
      <c r="P446" s="370"/>
      <c r="R446" s="368"/>
      <c r="S446" s="368"/>
      <c r="T446" s="126" t="s">
        <v>48</v>
      </c>
    </row>
    <row r="447" spans="2:20" hidden="1" outlineLevel="1">
      <c r="B447" s="199"/>
      <c r="C447" s="199"/>
      <c r="D447" s="372" t="s">
        <v>302</v>
      </c>
      <c r="E447" s="366"/>
      <c r="F447" s="366"/>
      <c r="G447" s="366"/>
      <c r="H447" s="366"/>
      <c r="I447" s="366"/>
      <c r="J447" s="366"/>
      <c r="K447" s="367"/>
      <c r="L447" s="366"/>
      <c r="M447" s="366"/>
      <c r="N447" s="366"/>
      <c r="O447" s="366"/>
      <c r="P447" s="366"/>
      <c r="R447" s="368"/>
      <c r="S447" s="368"/>
      <c r="T447" s="126" t="s">
        <v>48</v>
      </c>
    </row>
    <row r="448" spans="2:20" hidden="1" outlineLevel="1">
      <c r="B448" s="199"/>
      <c r="C448" s="199"/>
      <c r="D448" s="373" t="s">
        <v>302</v>
      </c>
      <c r="E448" s="366"/>
      <c r="F448" s="366"/>
      <c r="G448" s="366"/>
      <c r="H448" s="366"/>
      <c r="I448" s="366"/>
      <c r="J448" s="366"/>
      <c r="K448" s="374"/>
      <c r="L448" s="366"/>
      <c r="M448" s="366"/>
      <c r="N448" s="366"/>
      <c r="O448" s="366"/>
      <c r="P448" s="366"/>
      <c r="R448" s="368"/>
      <c r="S448" s="368"/>
      <c r="T448" s="126" t="s">
        <v>48</v>
      </c>
    </row>
    <row r="449" spans="2:20" ht="15.75" hidden="1" outlineLevel="1" thickBot="1">
      <c r="B449" s="199"/>
      <c r="C449" s="199"/>
      <c r="D449" s="375" t="s">
        <v>303</v>
      </c>
      <c r="E449" s="376">
        <v>47213</v>
      </c>
      <c r="F449" s="377"/>
      <c r="G449" s="366"/>
      <c r="H449" s="366"/>
      <c r="I449" s="366"/>
      <c r="J449" s="366"/>
      <c r="K449" s="367"/>
      <c r="L449" s="366"/>
      <c r="M449" s="366"/>
      <c r="N449" s="366"/>
      <c r="O449" s="366"/>
      <c r="P449" s="366"/>
      <c r="R449" s="368"/>
      <c r="S449" s="368"/>
      <c r="T449" s="126" t="s">
        <v>48</v>
      </c>
    </row>
    <row r="450" spans="2:20" hidden="1" outlineLevel="1">
      <c r="B450" s="199"/>
      <c r="C450" s="199"/>
      <c r="D450" s="375" t="s">
        <v>304</v>
      </c>
      <c r="E450" s="378" t="s">
        <v>305</v>
      </c>
      <c r="F450" s="337">
        <v>1.32E-2</v>
      </c>
      <c r="G450" s="366"/>
      <c r="H450" s="366"/>
      <c r="I450" s="366"/>
      <c r="J450" s="366"/>
      <c r="K450" s="367"/>
      <c r="L450" s="366"/>
      <c r="M450" s="366"/>
      <c r="N450" s="366"/>
      <c r="O450" s="366"/>
      <c r="P450" s="366"/>
      <c r="R450" s="368"/>
      <c r="S450" s="368"/>
      <c r="T450" s="126" t="s">
        <v>48</v>
      </c>
    </row>
    <row r="451" spans="2:20" ht="15.75" hidden="1" outlineLevel="1" thickBot="1">
      <c r="B451" s="199"/>
      <c r="C451" s="199"/>
      <c r="D451" s="375" t="s">
        <v>306</v>
      </c>
      <c r="E451" s="379" t="s">
        <v>307</v>
      </c>
      <c r="F451" s="380"/>
      <c r="G451" s="366"/>
      <c r="H451" s="366"/>
      <c r="I451" s="366"/>
      <c r="J451" s="366"/>
      <c r="K451" s="367"/>
      <c r="L451" s="366"/>
      <c r="M451" s="366"/>
      <c r="N451" s="366"/>
      <c r="O451" s="366"/>
      <c r="P451" s="366"/>
      <c r="R451" s="368"/>
      <c r="S451" s="368"/>
      <c r="T451" s="126" t="s">
        <v>48</v>
      </c>
    </row>
    <row r="452" spans="2:20" hidden="1" outlineLevel="1">
      <c r="B452" s="199"/>
      <c r="C452" s="199"/>
      <c r="D452" s="375" t="s">
        <v>308</v>
      </c>
      <c r="E452" s="366"/>
      <c r="F452" s="366"/>
      <c r="G452" s="366"/>
      <c r="H452" s="366"/>
      <c r="I452" s="366"/>
      <c r="J452" s="366"/>
      <c r="K452" s="367"/>
      <c r="L452" s="366"/>
      <c r="M452" s="366"/>
      <c r="N452" s="366"/>
      <c r="O452" s="366"/>
      <c r="P452" s="366"/>
      <c r="R452" s="368"/>
      <c r="S452" s="368"/>
      <c r="T452" s="126" t="s">
        <v>48</v>
      </c>
    </row>
    <row r="453" spans="2:20" hidden="1" outlineLevel="1">
      <c r="B453" s="199"/>
      <c r="C453" s="199"/>
      <c r="D453" s="381"/>
      <c r="E453" s="366"/>
      <c r="F453" s="366"/>
      <c r="G453" s="366"/>
      <c r="H453" s="366"/>
      <c r="I453" s="366"/>
      <c r="J453" s="366"/>
      <c r="K453" s="367"/>
      <c r="L453" s="366"/>
      <c r="M453" s="366"/>
      <c r="N453" s="366"/>
      <c r="O453" s="366"/>
      <c r="P453" s="366"/>
      <c r="R453" s="368"/>
      <c r="S453" s="368"/>
      <c r="T453" s="126" t="s">
        <v>48</v>
      </c>
    </row>
    <row r="454" spans="2:20" hidden="1" outlineLevel="1">
      <c r="B454" s="199"/>
      <c r="C454" s="199"/>
      <c r="D454" s="369" t="s">
        <v>313</v>
      </c>
      <c r="E454" s="370"/>
      <c r="F454" s="370"/>
      <c r="G454" s="370"/>
      <c r="H454" s="370"/>
      <c r="I454" s="370"/>
      <c r="J454" s="370"/>
      <c r="K454" s="371">
        <v>618.30200000000002</v>
      </c>
      <c r="L454" s="370"/>
      <c r="M454" s="370"/>
      <c r="N454" s="370"/>
      <c r="O454" s="370"/>
      <c r="P454" s="370"/>
      <c r="R454" s="368"/>
      <c r="S454" s="368"/>
      <c r="T454" s="126" t="s">
        <v>48</v>
      </c>
    </row>
    <row r="455" spans="2:20" hidden="1" outlineLevel="1">
      <c r="B455" s="199"/>
      <c r="C455" s="199"/>
      <c r="D455" s="372" t="s">
        <v>302</v>
      </c>
      <c r="E455" s="366"/>
      <c r="F455" s="366"/>
      <c r="G455" s="366"/>
      <c r="H455" s="366"/>
      <c r="I455" s="366"/>
      <c r="J455" s="366"/>
      <c r="K455" s="367"/>
      <c r="L455" s="366"/>
      <c r="M455" s="366"/>
      <c r="N455" s="366"/>
      <c r="O455" s="366"/>
      <c r="P455" s="366"/>
      <c r="R455" s="368"/>
      <c r="S455" s="368"/>
      <c r="T455" s="126" t="s">
        <v>48</v>
      </c>
    </row>
    <row r="456" spans="2:20" hidden="1" outlineLevel="1">
      <c r="B456" s="199"/>
      <c r="C456" s="199"/>
      <c r="D456" s="373" t="s">
        <v>302</v>
      </c>
      <c r="E456" s="366"/>
      <c r="F456" s="382"/>
      <c r="G456" s="383"/>
      <c r="H456" s="383"/>
      <c r="I456" s="383"/>
      <c r="J456" s="383"/>
      <c r="K456" s="374"/>
      <c r="L456" s="383"/>
      <c r="M456" s="383"/>
      <c r="N456" s="383"/>
      <c r="O456" s="383"/>
      <c r="P456" s="383"/>
      <c r="R456" s="368"/>
      <c r="S456" s="368"/>
      <c r="T456" s="126" t="s">
        <v>48</v>
      </c>
    </row>
    <row r="457" spans="2:20" ht="15.75" hidden="1" outlineLevel="1" thickBot="1">
      <c r="B457" s="199"/>
      <c r="C457" s="199"/>
      <c r="D457" s="375" t="s">
        <v>303</v>
      </c>
      <c r="E457" s="376">
        <v>47908</v>
      </c>
      <c r="F457" s="377"/>
      <c r="G457" s="366"/>
      <c r="H457" s="366"/>
      <c r="I457" s="366"/>
      <c r="J457" s="366"/>
      <c r="K457" s="367"/>
      <c r="L457" s="366"/>
      <c r="M457" s="366"/>
      <c r="N457" s="366"/>
      <c r="O457" s="366"/>
      <c r="P457" s="366"/>
      <c r="R457" s="368"/>
      <c r="S457" s="368"/>
      <c r="T457" s="126" t="s">
        <v>48</v>
      </c>
    </row>
    <row r="458" spans="2:20" hidden="1" outlineLevel="1">
      <c r="B458" s="199"/>
      <c r="C458" s="199"/>
      <c r="D458" s="375" t="s">
        <v>304</v>
      </c>
      <c r="E458" s="378" t="s">
        <v>305</v>
      </c>
      <c r="F458" s="337">
        <v>1.52E-2</v>
      </c>
      <c r="G458" s="366"/>
      <c r="H458" s="366"/>
      <c r="I458" s="366"/>
      <c r="J458" s="366"/>
      <c r="K458" s="367"/>
      <c r="L458" s="366"/>
      <c r="M458" s="366"/>
      <c r="N458" s="366"/>
      <c r="O458" s="366"/>
      <c r="P458" s="366"/>
      <c r="R458" s="368"/>
      <c r="S458" s="368"/>
      <c r="T458" s="126" t="s">
        <v>48</v>
      </c>
    </row>
    <row r="459" spans="2:20" ht="15.75" hidden="1" outlineLevel="1" thickBot="1">
      <c r="B459" s="199"/>
      <c r="C459" s="199"/>
      <c r="D459" s="375" t="s">
        <v>306</v>
      </c>
      <c r="E459" s="379" t="s">
        <v>307</v>
      </c>
      <c r="F459" s="380"/>
      <c r="G459" s="366"/>
      <c r="H459" s="366"/>
      <c r="I459" s="366"/>
      <c r="J459" s="366"/>
      <c r="K459" s="367"/>
      <c r="L459" s="366"/>
      <c r="M459" s="366"/>
      <c r="N459" s="366"/>
      <c r="O459" s="366"/>
      <c r="P459" s="366"/>
      <c r="R459" s="368"/>
      <c r="S459" s="368"/>
      <c r="T459" s="126" t="s">
        <v>48</v>
      </c>
    </row>
    <row r="460" spans="2:20" hidden="1" outlineLevel="1">
      <c r="B460" s="199"/>
      <c r="C460" s="199"/>
      <c r="D460" s="375" t="s">
        <v>308</v>
      </c>
      <c r="E460" s="366"/>
      <c r="F460" s="366"/>
      <c r="G460" s="366"/>
      <c r="H460" s="366"/>
      <c r="I460" s="366"/>
      <c r="J460" s="366"/>
      <c r="K460" s="367"/>
      <c r="L460" s="366"/>
      <c r="M460" s="366"/>
      <c r="N460" s="366"/>
      <c r="O460" s="366"/>
      <c r="P460" s="366"/>
      <c r="R460" s="368"/>
      <c r="S460" s="368"/>
      <c r="T460" s="126" t="s">
        <v>48</v>
      </c>
    </row>
    <row r="461" spans="2:20" hidden="1" outlineLevel="1">
      <c r="B461" s="199"/>
      <c r="C461" s="199"/>
      <c r="D461" s="381"/>
      <c r="E461" s="366"/>
      <c r="F461" s="366"/>
      <c r="G461" s="366"/>
      <c r="H461" s="366"/>
      <c r="I461" s="366"/>
      <c r="J461" s="366"/>
      <c r="K461" s="367"/>
      <c r="L461" s="366"/>
      <c r="M461" s="366"/>
      <c r="N461" s="366"/>
      <c r="O461" s="366"/>
      <c r="P461" s="366"/>
      <c r="R461" s="368"/>
      <c r="S461" s="368"/>
      <c r="T461" s="126" t="s">
        <v>48</v>
      </c>
    </row>
    <row r="462" spans="2:20" hidden="1" outlineLevel="1">
      <c r="B462" s="199"/>
      <c r="C462" s="199"/>
      <c r="D462" s="369" t="s">
        <v>314</v>
      </c>
      <c r="E462" s="370"/>
      <c r="F462" s="370"/>
      <c r="G462" s="370"/>
      <c r="H462" s="370"/>
      <c r="I462" s="370"/>
      <c r="J462" s="370"/>
      <c r="K462" s="371">
        <v>476.7</v>
      </c>
      <c r="L462" s="370"/>
      <c r="M462" s="370"/>
      <c r="N462" s="370"/>
      <c r="O462" s="370"/>
      <c r="P462" s="370"/>
      <c r="R462" s="368"/>
      <c r="S462" s="368"/>
      <c r="T462" s="126" t="s">
        <v>48</v>
      </c>
    </row>
    <row r="463" spans="2:20" hidden="1" outlineLevel="1">
      <c r="B463" s="199"/>
      <c r="C463" s="199"/>
      <c r="D463" s="372" t="s">
        <v>302</v>
      </c>
      <c r="E463" s="366"/>
      <c r="F463" s="366"/>
      <c r="G463" s="366"/>
      <c r="H463" s="366"/>
      <c r="I463" s="366"/>
      <c r="J463" s="366"/>
      <c r="K463" s="367"/>
      <c r="L463" s="366"/>
      <c r="M463" s="366"/>
      <c r="N463" s="366"/>
      <c r="O463" s="366"/>
      <c r="P463" s="366"/>
      <c r="R463" s="368"/>
      <c r="S463" s="368"/>
      <c r="T463" s="126" t="s">
        <v>48</v>
      </c>
    </row>
    <row r="464" spans="2:20" hidden="1" outlineLevel="1">
      <c r="B464" s="199"/>
      <c r="C464" s="199"/>
      <c r="D464" s="373" t="s">
        <v>302</v>
      </c>
      <c r="E464" s="366"/>
      <c r="F464" s="366"/>
      <c r="G464" s="366"/>
      <c r="H464" s="366"/>
      <c r="I464" s="366"/>
      <c r="J464" s="366"/>
      <c r="K464" s="374"/>
      <c r="L464" s="366"/>
      <c r="M464" s="366"/>
      <c r="N464" s="366"/>
      <c r="O464" s="366"/>
      <c r="P464" s="366"/>
      <c r="R464" s="368"/>
      <c r="S464" s="368"/>
      <c r="T464" s="126" t="s">
        <v>48</v>
      </c>
    </row>
    <row r="465" spans="2:20" ht="15.75" hidden="1" outlineLevel="1" thickBot="1">
      <c r="B465" s="199"/>
      <c r="C465" s="199"/>
      <c r="D465" s="375" t="s">
        <v>303</v>
      </c>
      <c r="E465" s="376">
        <v>47317</v>
      </c>
      <c r="F465" s="377"/>
      <c r="G465" s="366"/>
      <c r="H465" s="366"/>
      <c r="I465" s="366"/>
      <c r="J465" s="366"/>
      <c r="K465" s="367"/>
      <c r="L465" s="366"/>
      <c r="M465" s="366"/>
      <c r="N465" s="366"/>
      <c r="O465" s="366"/>
      <c r="P465" s="366"/>
      <c r="R465" s="368"/>
      <c r="S465" s="368"/>
      <c r="T465" s="126" t="s">
        <v>48</v>
      </c>
    </row>
    <row r="466" spans="2:20" hidden="1" outlineLevel="1">
      <c r="B466" s="199"/>
      <c r="C466" s="199"/>
      <c r="D466" s="375" t="s">
        <v>304</v>
      </c>
      <c r="E466" s="378" t="s">
        <v>305</v>
      </c>
      <c r="F466" s="337">
        <v>1.0999999999999999E-2</v>
      </c>
      <c r="G466" s="366"/>
      <c r="H466" s="366"/>
      <c r="I466" s="366"/>
      <c r="J466" s="366"/>
      <c r="K466" s="367"/>
      <c r="L466" s="366"/>
      <c r="M466" s="366"/>
      <c r="N466" s="366"/>
      <c r="O466" s="366"/>
      <c r="P466" s="366"/>
      <c r="R466" s="368"/>
      <c r="S466" s="368"/>
      <c r="T466" s="126" t="s">
        <v>48</v>
      </c>
    </row>
    <row r="467" spans="2:20" ht="15.75" hidden="1" outlineLevel="1" thickBot="1">
      <c r="B467" s="199"/>
      <c r="C467" s="199"/>
      <c r="D467" s="375" t="s">
        <v>306</v>
      </c>
      <c r="E467" s="379" t="s">
        <v>307</v>
      </c>
      <c r="F467" s="380"/>
      <c r="G467" s="366"/>
      <c r="H467" s="366"/>
      <c r="I467" s="366"/>
      <c r="J467" s="366"/>
      <c r="K467" s="367"/>
      <c r="L467" s="366"/>
      <c r="M467" s="366"/>
      <c r="N467" s="366"/>
      <c r="O467" s="366"/>
      <c r="P467" s="366"/>
      <c r="R467" s="368"/>
      <c r="S467" s="368"/>
      <c r="T467" s="126" t="s">
        <v>48</v>
      </c>
    </row>
    <row r="468" spans="2:20" hidden="1" outlineLevel="1">
      <c r="B468" s="199"/>
      <c r="C468" s="199"/>
      <c r="D468" s="375" t="s">
        <v>308</v>
      </c>
      <c r="E468" s="366"/>
      <c r="F468" s="366"/>
      <c r="G468" s="366"/>
      <c r="H468" s="366"/>
      <c r="I468" s="366"/>
      <c r="J468" s="366"/>
      <c r="K468" s="367"/>
      <c r="L468" s="366"/>
      <c r="M468" s="366"/>
      <c r="N468" s="366"/>
      <c r="O468" s="366"/>
      <c r="P468" s="366"/>
      <c r="R468" s="368"/>
      <c r="S468" s="368"/>
      <c r="T468" s="126" t="s">
        <v>48</v>
      </c>
    </row>
    <row r="469" spans="2:20" hidden="1" outlineLevel="1">
      <c r="B469" s="199"/>
      <c r="C469" s="199"/>
      <c r="D469" s="381"/>
      <c r="E469" s="366"/>
      <c r="F469" s="366"/>
      <c r="G469" s="366"/>
      <c r="H469" s="366"/>
      <c r="I469" s="366"/>
      <c r="J469" s="366"/>
      <c r="K469" s="367"/>
      <c r="L469" s="366"/>
      <c r="M469" s="366"/>
      <c r="N469" s="366"/>
      <c r="O469" s="366"/>
      <c r="P469" s="366"/>
      <c r="R469" s="368"/>
      <c r="S469" s="368"/>
      <c r="T469" s="126" t="s">
        <v>48</v>
      </c>
    </row>
    <row r="470" spans="2:20" hidden="1" outlineLevel="1">
      <c r="B470" s="199"/>
      <c r="C470" s="199"/>
      <c r="D470" s="369" t="s">
        <v>315</v>
      </c>
      <c r="E470" s="370"/>
      <c r="F470" s="370"/>
      <c r="G470" s="370"/>
      <c r="H470" s="370"/>
      <c r="I470" s="370"/>
      <c r="J470" s="370"/>
      <c r="K470" s="371">
        <v>306.47399999999999</v>
      </c>
      <c r="L470" s="370"/>
      <c r="M470" s="370"/>
      <c r="N470" s="370"/>
      <c r="O470" s="370"/>
      <c r="P470" s="370"/>
      <c r="R470" s="368"/>
      <c r="S470" s="368"/>
      <c r="T470" s="126" t="s">
        <v>48</v>
      </c>
    </row>
    <row r="471" spans="2:20" hidden="1" outlineLevel="1">
      <c r="B471" s="199"/>
      <c r="C471" s="199"/>
      <c r="D471" s="372" t="s">
        <v>302</v>
      </c>
      <c r="E471" s="366"/>
      <c r="F471" s="366"/>
      <c r="G471" s="366"/>
      <c r="H471" s="366"/>
      <c r="I471" s="366"/>
      <c r="J471" s="366"/>
      <c r="K471" s="367"/>
      <c r="L471" s="366"/>
      <c r="M471" s="366"/>
      <c r="N471" s="366"/>
      <c r="O471" s="366"/>
      <c r="P471" s="366"/>
      <c r="R471" s="368"/>
      <c r="S471" s="368"/>
      <c r="T471" s="126" t="s">
        <v>48</v>
      </c>
    </row>
    <row r="472" spans="2:20" hidden="1" outlineLevel="1">
      <c r="B472" s="199"/>
      <c r="C472" s="199"/>
      <c r="D472" s="373" t="s">
        <v>302</v>
      </c>
      <c r="E472" s="366"/>
      <c r="F472" s="366"/>
      <c r="G472" s="366"/>
      <c r="H472" s="366"/>
      <c r="I472" s="366"/>
      <c r="J472" s="366"/>
      <c r="K472" s="374"/>
      <c r="L472" s="366"/>
      <c r="M472" s="366"/>
      <c r="N472" s="366"/>
      <c r="O472" s="366"/>
      <c r="P472" s="366"/>
      <c r="R472" s="368"/>
      <c r="S472" s="368"/>
      <c r="T472" s="126" t="s">
        <v>48</v>
      </c>
    </row>
    <row r="473" spans="2:20" ht="15.75" hidden="1" outlineLevel="1" thickBot="1">
      <c r="B473" s="199"/>
      <c r="C473" s="199"/>
      <c r="D473" s="375" t="s">
        <v>303</v>
      </c>
      <c r="E473" s="376">
        <v>47411</v>
      </c>
      <c r="F473" s="377"/>
      <c r="G473" s="366"/>
      <c r="H473" s="366"/>
      <c r="I473" s="366"/>
      <c r="J473" s="366"/>
      <c r="K473" s="367"/>
      <c r="L473" s="366"/>
      <c r="M473" s="366"/>
      <c r="N473" s="366"/>
      <c r="O473" s="366"/>
      <c r="P473" s="366"/>
      <c r="R473" s="368"/>
      <c r="S473" s="368"/>
      <c r="T473" s="126" t="s">
        <v>48</v>
      </c>
    </row>
    <row r="474" spans="2:20" hidden="1" outlineLevel="1">
      <c r="B474" s="199"/>
      <c r="C474" s="199"/>
      <c r="D474" s="375" t="s">
        <v>304</v>
      </c>
      <c r="E474" s="378" t="s">
        <v>305</v>
      </c>
      <c r="F474" s="337">
        <v>8.8999999999999999E-3</v>
      </c>
      <c r="G474" s="366"/>
      <c r="H474" s="366"/>
      <c r="I474" s="366"/>
      <c r="J474" s="366"/>
      <c r="K474" s="367"/>
      <c r="L474" s="366"/>
      <c r="M474" s="366"/>
      <c r="N474" s="366"/>
      <c r="O474" s="366"/>
      <c r="P474" s="366"/>
      <c r="R474" s="368"/>
      <c r="S474" s="368"/>
      <c r="T474" s="126" t="s">
        <v>48</v>
      </c>
    </row>
    <row r="475" spans="2:20" ht="15.75" hidden="1" outlineLevel="1" thickBot="1">
      <c r="B475" s="199"/>
      <c r="C475" s="199"/>
      <c r="D475" s="375" t="s">
        <v>306</v>
      </c>
      <c r="E475" s="379" t="s">
        <v>307</v>
      </c>
      <c r="F475" s="380"/>
      <c r="G475" s="366"/>
      <c r="H475" s="366"/>
      <c r="I475" s="366"/>
      <c r="J475" s="366"/>
      <c r="K475" s="367"/>
      <c r="L475" s="366"/>
      <c r="M475" s="366"/>
      <c r="N475" s="366"/>
      <c r="O475" s="366"/>
      <c r="P475" s="366"/>
      <c r="R475" s="368"/>
      <c r="S475" s="368"/>
      <c r="T475" s="126" t="s">
        <v>48</v>
      </c>
    </row>
    <row r="476" spans="2:20" hidden="1" outlineLevel="1">
      <c r="B476" s="199"/>
      <c r="C476" s="199"/>
      <c r="D476" s="375" t="s">
        <v>308</v>
      </c>
      <c r="E476" s="366"/>
      <c r="F476" s="366"/>
      <c r="G476" s="366"/>
      <c r="H476" s="366"/>
      <c r="I476" s="366"/>
      <c r="J476" s="366"/>
      <c r="K476" s="367"/>
      <c r="L476" s="366"/>
      <c r="M476" s="366"/>
      <c r="N476" s="366"/>
      <c r="O476" s="366"/>
      <c r="P476" s="366"/>
      <c r="R476" s="368"/>
      <c r="S476" s="368"/>
      <c r="T476" s="126" t="s">
        <v>48</v>
      </c>
    </row>
    <row r="477" spans="2:20" hidden="1" outlineLevel="1">
      <c r="B477" s="199"/>
      <c r="C477" s="199"/>
      <c r="D477" s="375"/>
      <c r="E477" s="366"/>
      <c r="F477" s="366"/>
      <c r="G477" s="366"/>
      <c r="H477" s="366"/>
      <c r="I477" s="366"/>
      <c r="J477" s="366"/>
      <c r="K477" s="367"/>
      <c r="L477" s="366"/>
      <c r="M477" s="366"/>
      <c r="N477" s="366"/>
      <c r="O477" s="366"/>
      <c r="P477" s="366"/>
      <c r="R477" s="368"/>
      <c r="S477" s="368"/>
      <c r="T477" s="126" t="s">
        <v>48</v>
      </c>
    </row>
    <row r="478" spans="2:20" hidden="1" outlineLevel="1">
      <c r="B478" s="199"/>
      <c r="C478" s="199"/>
      <c r="D478" s="369" t="s">
        <v>316</v>
      </c>
      <c r="E478" s="370"/>
      <c r="F478" s="370"/>
      <c r="G478" s="370"/>
      <c r="H478" s="370"/>
      <c r="I478" s="370"/>
      <c r="J478" s="370"/>
      <c r="K478" s="371">
        <v>300</v>
      </c>
      <c r="L478" s="370"/>
      <c r="M478" s="370"/>
      <c r="N478" s="370"/>
      <c r="O478" s="370"/>
      <c r="P478" s="370"/>
      <c r="R478" s="368"/>
      <c r="S478" s="368"/>
      <c r="T478" s="126" t="s">
        <v>48</v>
      </c>
    </row>
    <row r="479" spans="2:20" hidden="1" outlineLevel="1">
      <c r="B479" s="199"/>
      <c r="C479" s="199"/>
      <c r="D479" s="372" t="s">
        <v>302</v>
      </c>
      <c r="E479" s="366"/>
      <c r="F479" s="366"/>
      <c r="G479" s="366"/>
      <c r="H479" s="366"/>
      <c r="I479" s="366"/>
      <c r="J479" s="366"/>
      <c r="K479" s="367"/>
      <c r="L479" s="366"/>
      <c r="M479" s="366"/>
      <c r="N479" s="366"/>
      <c r="O479" s="366"/>
      <c r="P479" s="366"/>
      <c r="R479" s="368"/>
      <c r="S479" s="368"/>
      <c r="T479" s="126" t="s">
        <v>48</v>
      </c>
    </row>
    <row r="480" spans="2:20" hidden="1" outlineLevel="1">
      <c r="B480" s="199"/>
      <c r="C480" s="199"/>
      <c r="D480" s="373" t="s">
        <v>302</v>
      </c>
      <c r="E480" s="366"/>
      <c r="F480" s="366"/>
      <c r="G480" s="366"/>
      <c r="H480" s="366"/>
      <c r="I480" s="366"/>
      <c r="J480" s="366"/>
      <c r="K480" s="374"/>
      <c r="L480" s="366"/>
      <c r="M480" s="366"/>
      <c r="N480" s="366"/>
      <c r="O480" s="366"/>
      <c r="P480" s="366"/>
      <c r="R480" s="368"/>
      <c r="S480" s="368"/>
      <c r="T480" s="126" t="s">
        <v>48</v>
      </c>
    </row>
    <row r="481" spans="2:20" ht="15.75" hidden="1" outlineLevel="1" thickBot="1">
      <c r="B481" s="199"/>
      <c r="C481" s="199"/>
      <c r="D481" s="375" t="s">
        <v>303</v>
      </c>
      <c r="E481" s="376">
        <v>47421</v>
      </c>
      <c r="F481" s="377"/>
      <c r="G481" s="366"/>
      <c r="H481" s="366"/>
      <c r="I481" s="366"/>
      <c r="J481" s="366"/>
      <c r="K481" s="367"/>
      <c r="L481" s="366"/>
      <c r="M481" s="366"/>
      <c r="N481" s="366"/>
      <c r="O481" s="366"/>
      <c r="P481" s="366"/>
      <c r="R481" s="368"/>
      <c r="S481" s="368"/>
      <c r="T481" s="126" t="s">
        <v>48</v>
      </c>
    </row>
    <row r="482" spans="2:20" hidden="1" outlineLevel="1">
      <c r="B482" s="199"/>
      <c r="C482" s="199"/>
      <c r="D482" s="375" t="s">
        <v>304</v>
      </c>
      <c r="E482" s="378" t="s">
        <v>305</v>
      </c>
      <c r="F482" s="337">
        <v>6.4999999999999997E-3</v>
      </c>
      <c r="G482" s="366"/>
      <c r="H482" s="366"/>
      <c r="I482" s="366"/>
      <c r="J482" s="366"/>
      <c r="K482" s="367"/>
      <c r="L482" s="366"/>
      <c r="M482" s="366"/>
      <c r="N482" s="366"/>
      <c r="O482" s="366"/>
      <c r="P482" s="366"/>
      <c r="R482" s="368"/>
      <c r="S482" s="368"/>
      <c r="T482" s="126" t="s">
        <v>48</v>
      </c>
    </row>
    <row r="483" spans="2:20" ht="15.75" hidden="1" outlineLevel="1" thickBot="1">
      <c r="B483" s="199"/>
      <c r="C483" s="199"/>
      <c r="D483" s="375" t="s">
        <v>306</v>
      </c>
      <c r="E483" s="379" t="s">
        <v>307</v>
      </c>
      <c r="F483" s="380"/>
      <c r="G483" s="366"/>
      <c r="H483" s="366"/>
      <c r="I483" s="366"/>
      <c r="J483" s="366"/>
      <c r="K483" s="367"/>
      <c r="L483" s="366"/>
      <c r="M483" s="366"/>
      <c r="N483" s="366"/>
      <c r="O483" s="366"/>
      <c r="P483" s="366"/>
      <c r="R483" s="368"/>
      <c r="S483" s="368"/>
      <c r="T483" s="126" t="s">
        <v>48</v>
      </c>
    </row>
    <row r="484" spans="2:20" hidden="1" outlineLevel="1">
      <c r="B484" s="199"/>
      <c r="C484" s="199"/>
      <c r="D484" s="375" t="s">
        <v>308</v>
      </c>
      <c r="E484" s="366"/>
      <c r="F484" s="366"/>
      <c r="G484" s="366"/>
      <c r="H484" s="366"/>
      <c r="I484" s="366"/>
      <c r="J484" s="366"/>
      <c r="K484" s="367"/>
      <c r="L484" s="366"/>
      <c r="M484" s="366"/>
      <c r="N484" s="366"/>
      <c r="O484" s="366"/>
      <c r="P484" s="366"/>
      <c r="R484" s="368"/>
      <c r="S484" s="368"/>
      <c r="T484" s="126" t="s">
        <v>48</v>
      </c>
    </row>
    <row r="485" spans="2:20" hidden="1" outlineLevel="1">
      <c r="B485" s="199"/>
      <c r="C485" s="199"/>
      <c r="D485" s="375"/>
      <c r="E485" s="366"/>
      <c r="F485" s="366"/>
      <c r="G485" s="366"/>
      <c r="H485" s="366"/>
      <c r="I485" s="366"/>
      <c r="J485" s="366"/>
      <c r="K485" s="367"/>
      <c r="L485" s="366"/>
      <c r="M485" s="366"/>
      <c r="N485" s="366"/>
      <c r="O485" s="366"/>
      <c r="P485" s="366"/>
      <c r="R485" s="368"/>
      <c r="S485" s="368"/>
      <c r="T485" s="126" t="s">
        <v>48</v>
      </c>
    </row>
    <row r="486" spans="2:20" hidden="1" outlineLevel="1">
      <c r="B486" s="199"/>
      <c r="C486" s="199"/>
      <c r="D486" s="369" t="s">
        <v>317</v>
      </c>
      <c r="E486" s="370"/>
      <c r="F486" s="370"/>
      <c r="G486" s="370"/>
      <c r="H486" s="370"/>
      <c r="I486" s="370"/>
      <c r="J486" s="370"/>
      <c r="K486" s="371">
        <v>128.762</v>
      </c>
      <c r="L486" s="370"/>
      <c r="M486" s="370"/>
      <c r="N486" s="370"/>
      <c r="O486" s="370"/>
      <c r="P486" s="370"/>
      <c r="R486" s="368"/>
      <c r="S486" s="368"/>
      <c r="T486" s="126" t="s">
        <v>48</v>
      </c>
    </row>
    <row r="487" spans="2:20" hidden="1" outlineLevel="1">
      <c r="B487" s="199"/>
      <c r="C487" s="199"/>
      <c r="D487" s="372" t="s">
        <v>302</v>
      </c>
      <c r="E487" s="366"/>
      <c r="F487" s="366"/>
      <c r="G487" s="366"/>
      <c r="H487" s="366"/>
      <c r="I487" s="366"/>
      <c r="J487" s="366"/>
      <c r="K487" s="367"/>
      <c r="L487" s="366"/>
      <c r="M487" s="366"/>
      <c r="N487" s="366"/>
      <c r="O487" s="366"/>
      <c r="P487" s="366"/>
      <c r="R487" s="368"/>
      <c r="S487" s="368"/>
      <c r="T487" s="126" t="s">
        <v>48</v>
      </c>
    </row>
    <row r="488" spans="2:20" hidden="1" outlineLevel="1">
      <c r="B488" s="199"/>
      <c r="C488" s="199"/>
      <c r="D488" s="373" t="s">
        <v>302</v>
      </c>
      <c r="E488" s="366"/>
      <c r="F488" s="366"/>
      <c r="G488" s="366"/>
      <c r="H488" s="366"/>
      <c r="I488" s="366"/>
      <c r="J488" s="366"/>
      <c r="K488" s="374"/>
      <c r="L488" s="366"/>
      <c r="M488" s="366"/>
      <c r="N488" s="366"/>
      <c r="O488" s="366"/>
      <c r="P488" s="366"/>
      <c r="R488" s="368"/>
      <c r="S488" s="368"/>
      <c r="T488" s="126" t="s">
        <v>48</v>
      </c>
    </row>
    <row r="489" spans="2:20" ht="15.75" hidden="1" outlineLevel="1" thickBot="1">
      <c r="B489" s="199"/>
      <c r="C489" s="199"/>
      <c r="D489" s="375" t="s">
        <v>303</v>
      </c>
      <c r="E489" s="376">
        <v>47213</v>
      </c>
      <c r="F489" s="377"/>
      <c r="G489" s="366"/>
      <c r="H489" s="366"/>
      <c r="I489" s="366"/>
      <c r="J489" s="366"/>
      <c r="K489" s="367"/>
      <c r="L489" s="366"/>
      <c r="M489" s="366"/>
      <c r="N489" s="366"/>
      <c r="O489" s="366"/>
      <c r="P489" s="366"/>
      <c r="R489" s="368"/>
      <c r="S489" s="368"/>
      <c r="T489" s="126" t="s">
        <v>48</v>
      </c>
    </row>
    <row r="490" spans="2:20" hidden="1" outlineLevel="1">
      <c r="B490" s="199"/>
      <c r="C490" s="199"/>
      <c r="D490" s="375" t="s">
        <v>304</v>
      </c>
      <c r="E490" s="378" t="s">
        <v>305</v>
      </c>
      <c r="F490" s="337">
        <v>1.37E-2</v>
      </c>
      <c r="G490" s="366"/>
      <c r="H490" s="366"/>
      <c r="I490" s="366"/>
      <c r="J490" s="366"/>
      <c r="K490" s="367"/>
      <c r="L490" s="366"/>
      <c r="M490" s="366"/>
      <c r="N490" s="366"/>
      <c r="O490" s="366"/>
      <c r="P490" s="366"/>
      <c r="R490" s="368"/>
      <c r="S490" s="368"/>
      <c r="T490" s="126" t="s">
        <v>48</v>
      </c>
    </row>
    <row r="491" spans="2:20" ht="15.75" hidden="1" outlineLevel="1" thickBot="1">
      <c r="B491" s="199"/>
      <c r="C491" s="199"/>
      <c r="D491" s="375" t="s">
        <v>306</v>
      </c>
      <c r="E491" s="379" t="s">
        <v>307</v>
      </c>
      <c r="F491" s="380"/>
      <c r="G491" s="366"/>
      <c r="H491" s="366"/>
      <c r="I491" s="366"/>
      <c r="J491" s="366"/>
      <c r="K491" s="367"/>
      <c r="L491" s="366"/>
      <c r="M491" s="366"/>
      <c r="N491" s="366"/>
      <c r="O491" s="366"/>
      <c r="P491" s="366"/>
      <c r="R491" s="368"/>
      <c r="S491" s="368"/>
      <c r="T491" s="126" t="s">
        <v>48</v>
      </c>
    </row>
    <row r="492" spans="2:20" hidden="1" outlineLevel="1">
      <c r="B492" s="199"/>
      <c r="C492" s="199"/>
      <c r="D492" s="375" t="s">
        <v>308</v>
      </c>
      <c r="E492" s="366"/>
      <c r="F492" s="366"/>
      <c r="G492" s="366"/>
      <c r="H492" s="366"/>
      <c r="I492" s="366"/>
      <c r="J492" s="366"/>
      <c r="K492" s="367"/>
      <c r="L492" s="366"/>
      <c r="M492" s="366"/>
      <c r="N492" s="366"/>
      <c r="O492" s="366"/>
      <c r="P492" s="366"/>
      <c r="R492" s="368"/>
      <c r="S492" s="368"/>
      <c r="T492" s="126" t="s">
        <v>48</v>
      </c>
    </row>
    <row r="493" spans="2:20" hidden="1" outlineLevel="1">
      <c r="B493" s="199"/>
      <c r="C493" s="199"/>
      <c r="D493" s="381"/>
      <c r="E493" s="366"/>
      <c r="F493" s="366"/>
      <c r="G493" s="366"/>
      <c r="H493" s="366"/>
      <c r="I493" s="366"/>
      <c r="J493" s="366"/>
      <c r="K493" s="367"/>
      <c r="L493" s="366"/>
      <c r="M493" s="366"/>
      <c r="N493" s="366"/>
      <c r="O493" s="366"/>
      <c r="P493" s="366"/>
      <c r="R493" s="368"/>
      <c r="S493" s="368"/>
      <c r="T493" s="126" t="s">
        <v>48</v>
      </c>
    </row>
    <row r="494" spans="2:20" hidden="1" outlineLevel="1">
      <c r="B494" s="199"/>
      <c r="C494" s="199"/>
      <c r="D494" s="369" t="s">
        <v>318</v>
      </c>
      <c r="E494" s="370"/>
      <c r="F494" s="370"/>
      <c r="G494" s="370"/>
      <c r="H494" s="370"/>
      <c r="I494" s="370"/>
      <c r="J494" s="370"/>
      <c r="K494" s="371">
        <v>2.1680000000000001</v>
      </c>
      <c r="L494" s="370"/>
      <c r="M494" s="370"/>
      <c r="N494" s="370"/>
      <c r="O494" s="370"/>
      <c r="P494" s="370"/>
      <c r="R494" s="368"/>
      <c r="S494" s="368"/>
      <c r="T494" s="126" t="s">
        <v>48</v>
      </c>
    </row>
    <row r="495" spans="2:20" hidden="1" outlineLevel="1">
      <c r="B495" s="199"/>
      <c r="C495" s="199"/>
      <c r="D495" s="372" t="s">
        <v>302</v>
      </c>
      <c r="E495" s="366"/>
      <c r="F495" s="366"/>
      <c r="G495" s="366"/>
      <c r="H495" s="366"/>
      <c r="I495" s="366"/>
      <c r="J495" s="366"/>
      <c r="K495" s="367"/>
      <c r="L495" s="366"/>
      <c r="M495" s="366"/>
      <c r="N495" s="366"/>
      <c r="O495" s="366"/>
      <c r="P495" s="366"/>
      <c r="R495" s="368"/>
      <c r="S495" s="368"/>
      <c r="T495" s="126" t="s">
        <v>48</v>
      </c>
    </row>
    <row r="496" spans="2:20" hidden="1" outlineLevel="1">
      <c r="B496" s="199"/>
      <c r="C496" s="199"/>
      <c r="D496" s="373" t="s">
        <v>302</v>
      </c>
      <c r="E496" s="366"/>
      <c r="F496" s="366"/>
      <c r="G496" s="366"/>
      <c r="H496" s="366"/>
      <c r="I496" s="366"/>
      <c r="J496" s="366"/>
      <c r="K496" s="374"/>
      <c r="L496" s="366"/>
      <c r="M496" s="366"/>
      <c r="N496" s="366"/>
      <c r="O496" s="366"/>
      <c r="P496" s="366"/>
      <c r="R496" s="368"/>
      <c r="S496" s="368"/>
      <c r="T496" s="126" t="s">
        <v>48</v>
      </c>
    </row>
    <row r="497" spans="2:20" ht="15.75" hidden="1" outlineLevel="1" thickBot="1">
      <c r="B497" s="199"/>
      <c r="C497" s="199"/>
      <c r="D497" s="375" t="s">
        <v>303</v>
      </c>
      <c r="E497" s="376">
        <v>45956</v>
      </c>
      <c r="F497" s="377"/>
      <c r="G497" s="366"/>
      <c r="H497" s="366"/>
      <c r="I497" s="366"/>
      <c r="J497" s="366"/>
      <c r="K497" s="367"/>
      <c r="L497" s="366"/>
      <c r="M497" s="366"/>
      <c r="N497" s="366"/>
      <c r="O497" s="366"/>
      <c r="P497" s="366"/>
      <c r="R497" s="368"/>
      <c r="S497" s="368"/>
      <c r="T497" s="126" t="s">
        <v>48</v>
      </c>
    </row>
    <row r="498" spans="2:20" hidden="1" outlineLevel="1">
      <c r="B498" s="199"/>
      <c r="C498" s="199"/>
      <c r="D498" s="375" t="s">
        <v>304</v>
      </c>
      <c r="E498" s="378" t="s">
        <v>305</v>
      </c>
      <c r="F498" s="337">
        <v>2.4500000000000001E-2</v>
      </c>
      <c r="G498" s="366"/>
      <c r="H498" s="366"/>
      <c r="I498" s="366"/>
      <c r="J498" s="366"/>
      <c r="K498" s="367"/>
      <c r="L498" s="366"/>
      <c r="M498" s="366"/>
      <c r="N498" s="366"/>
      <c r="O498" s="366"/>
      <c r="P498" s="366"/>
      <c r="R498" s="368"/>
      <c r="S498" s="368"/>
      <c r="T498" s="126" t="s">
        <v>48</v>
      </c>
    </row>
    <row r="499" spans="2:20" ht="15.75" hidden="1" outlineLevel="1" thickBot="1">
      <c r="B499" s="199"/>
      <c r="C499" s="199"/>
      <c r="D499" s="375" t="s">
        <v>306</v>
      </c>
      <c r="E499" s="379" t="s">
        <v>307</v>
      </c>
      <c r="F499" s="380"/>
      <c r="G499" s="366"/>
      <c r="H499" s="366"/>
      <c r="I499" s="366"/>
      <c r="J499" s="366"/>
      <c r="K499" s="367"/>
      <c r="L499" s="366"/>
      <c r="M499" s="366"/>
      <c r="N499" s="366"/>
      <c r="O499" s="366"/>
      <c r="P499" s="366"/>
      <c r="R499" s="368"/>
      <c r="S499" s="368"/>
      <c r="T499" s="126" t="s">
        <v>48</v>
      </c>
    </row>
    <row r="500" spans="2:20" hidden="1" outlineLevel="1">
      <c r="B500" s="199"/>
      <c r="C500" s="199"/>
      <c r="D500" s="375" t="s">
        <v>308</v>
      </c>
      <c r="E500" s="366"/>
      <c r="F500" s="366"/>
      <c r="G500" s="366"/>
      <c r="H500" s="366"/>
      <c r="I500" s="366"/>
      <c r="J500" s="366"/>
      <c r="K500" s="367"/>
      <c r="L500" s="366"/>
      <c r="M500" s="366"/>
      <c r="N500" s="366"/>
      <c r="O500" s="366"/>
      <c r="P500" s="366"/>
      <c r="R500" s="368"/>
      <c r="S500" s="368"/>
      <c r="T500" s="126" t="s">
        <v>48</v>
      </c>
    </row>
    <row r="501" spans="2:20" hidden="1" outlineLevel="1">
      <c r="B501" s="199"/>
      <c r="C501" s="199"/>
      <c r="D501" s="381"/>
      <c r="E501" s="366"/>
      <c r="F501" s="366"/>
      <c r="G501" s="366"/>
      <c r="H501" s="366"/>
      <c r="I501" s="366"/>
      <c r="J501" s="366"/>
      <c r="K501" s="367"/>
      <c r="L501" s="366"/>
      <c r="M501" s="366"/>
      <c r="N501" s="366"/>
      <c r="O501" s="366"/>
      <c r="P501" s="366"/>
      <c r="R501" s="368"/>
      <c r="S501" s="368"/>
      <c r="T501" s="126" t="s">
        <v>48</v>
      </c>
    </row>
    <row r="502" spans="2:20" hidden="1" outlineLevel="1">
      <c r="B502" s="199"/>
      <c r="C502" s="199"/>
      <c r="D502" s="369" t="s">
        <v>318</v>
      </c>
      <c r="E502" s="370"/>
      <c r="F502" s="370"/>
      <c r="G502" s="370"/>
      <c r="H502" s="370"/>
      <c r="I502" s="370"/>
      <c r="J502" s="370"/>
      <c r="K502" s="371">
        <v>1.9510000000000001</v>
      </c>
      <c r="L502" s="370"/>
      <c r="M502" s="370"/>
      <c r="N502" s="370"/>
      <c r="O502" s="370"/>
      <c r="P502" s="370"/>
      <c r="R502" s="368"/>
      <c r="S502" s="368"/>
      <c r="T502" s="126" t="s">
        <v>48</v>
      </c>
    </row>
    <row r="503" spans="2:20" hidden="1" outlineLevel="1">
      <c r="B503" s="199"/>
      <c r="C503" s="199"/>
      <c r="D503" s="372" t="s">
        <v>302</v>
      </c>
      <c r="E503" s="366"/>
      <c r="F503" s="366"/>
      <c r="G503" s="366"/>
      <c r="H503" s="366"/>
      <c r="I503" s="366"/>
      <c r="J503" s="366"/>
      <c r="K503" s="367"/>
      <c r="L503" s="366"/>
      <c r="M503" s="366"/>
      <c r="N503" s="366"/>
      <c r="O503" s="366"/>
      <c r="P503" s="366"/>
      <c r="R503" s="368"/>
      <c r="S503" s="368"/>
      <c r="T503" s="126" t="s">
        <v>48</v>
      </c>
    </row>
    <row r="504" spans="2:20" hidden="1" outlineLevel="1">
      <c r="B504" s="199"/>
      <c r="C504" s="199"/>
      <c r="D504" s="373" t="s">
        <v>302</v>
      </c>
      <c r="E504" s="366"/>
      <c r="F504" s="366"/>
      <c r="G504" s="366"/>
      <c r="H504" s="366"/>
      <c r="I504" s="366"/>
      <c r="J504" s="366"/>
      <c r="K504" s="374"/>
      <c r="L504" s="366"/>
      <c r="M504" s="366"/>
      <c r="N504" s="366"/>
      <c r="O504" s="366"/>
      <c r="P504" s="366"/>
      <c r="R504" s="368"/>
      <c r="S504" s="368"/>
      <c r="T504" s="126" t="s">
        <v>48</v>
      </c>
    </row>
    <row r="505" spans="2:20" ht="15.75" hidden="1" outlineLevel="1" thickBot="1">
      <c r="B505" s="199"/>
      <c r="C505" s="199"/>
      <c r="D505" s="375" t="s">
        <v>303</v>
      </c>
      <c r="E505" s="376">
        <v>45957</v>
      </c>
      <c r="F505" s="377"/>
      <c r="G505" s="366"/>
      <c r="H505" s="366"/>
      <c r="I505" s="366"/>
      <c r="J505" s="366"/>
      <c r="K505" s="367"/>
      <c r="L505" s="366"/>
      <c r="M505" s="366"/>
      <c r="N505" s="366"/>
      <c r="O505" s="366"/>
      <c r="P505" s="366"/>
      <c r="R505" s="368"/>
      <c r="S505" s="368"/>
      <c r="T505" s="126" t="s">
        <v>48</v>
      </c>
    </row>
    <row r="506" spans="2:20" hidden="1" outlineLevel="1">
      <c r="B506" s="199"/>
      <c r="C506" s="199"/>
      <c r="D506" s="375" t="s">
        <v>304</v>
      </c>
      <c r="E506" s="378" t="s">
        <v>305</v>
      </c>
      <c r="F506" s="337">
        <v>2.4500000000000001E-2</v>
      </c>
      <c r="G506" s="366"/>
      <c r="H506" s="366"/>
      <c r="I506" s="366"/>
      <c r="J506" s="366"/>
      <c r="K506" s="367"/>
      <c r="L506" s="366"/>
      <c r="M506" s="366"/>
      <c r="N506" s="366"/>
      <c r="O506" s="366"/>
      <c r="P506" s="366"/>
      <c r="R506" s="368"/>
      <c r="S506" s="368"/>
      <c r="T506" s="126" t="s">
        <v>48</v>
      </c>
    </row>
    <row r="507" spans="2:20" ht="15.75" hidden="1" outlineLevel="1" thickBot="1">
      <c r="B507" s="199"/>
      <c r="C507" s="199"/>
      <c r="D507" s="375" t="s">
        <v>306</v>
      </c>
      <c r="E507" s="379" t="s">
        <v>307</v>
      </c>
      <c r="F507" s="380"/>
      <c r="G507" s="366"/>
      <c r="H507" s="366"/>
      <c r="I507" s="366"/>
      <c r="J507" s="366"/>
      <c r="K507" s="367"/>
      <c r="L507" s="366"/>
      <c r="M507" s="366"/>
      <c r="N507" s="366"/>
      <c r="O507" s="366"/>
      <c r="P507" s="366"/>
      <c r="R507" s="368"/>
      <c r="S507" s="368"/>
      <c r="T507" s="126" t="s">
        <v>48</v>
      </c>
    </row>
    <row r="508" spans="2:20" hidden="1" outlineLevel="1">
      <c r="B508" s="199"/>
      <c r="C508" s="199"/>
      <c r="D508" s="375" t="s">
        <v>308</v>
      </c>
      <c r="E508" s="366"/>
      <c r="F508" s="366"/>
      <c r="G508" s="366"/>
      <c r="H508" s="366"/>
      <c r="I508" s="366"/>
      <c r="J508" s="366"/>
      <c r="K508" s="367"/>
      <c r="L508" s="366"/>
      <c r="M508" s="366"/>
      <c r="N508" s="366"/>
      <c r="O508" s="366"/>
      <c r="P508" s="366"/>
      <c r="R508" s="368"/>
      <c r="S508" s="368"/>
      <c r="T508" s="126" t="s">
        <v>48</v>
      </c>
    </row>
    <row r="509" spans="2:20" hidden="1" outlineLevel="1">
      <c r="B509" s="199"/>
      <c r="C509" s="199"/>
      <c r="D509" s="375"/>
      <c r="E509" s="366"/>
      <c r="F509" s="366"/>
      <c r="G509" s="366"/>
      <c r="H509" s="366"/>
      <c r="I509" s="366"/>
      <c r="J509" s="366"/>
      <c r="K509" s="367"/>
      <c r="L509" s="366"/>
      <c r="M509" s="366"/>
      <c r="N509" s="366"/>
      <c r="O509" s="366"/>
      <c r="P509" s="366"/>
      <c r="R509" s="368"/>
      <c r="S509" s="368"/>
      <c r="T509" s="126" t="s">
        <v>48</v>
      </c>
    </row>
    <row r="510" spans="2:20" hidden="1" outlineLevel="1">
      <c r="B510" s="199" t="s">
        <v>319</v>
      </c>
      <c r="C510" s="199"/>
      <c r="D510" s="384" t="s">
        <v>320</v>
      </c>
      <c r="E510" s="370"/>
      <c r="F510" s="370"/>
      <c r="G510" s="370"/>
      <c r="H510" s="370"/>
      <c r="I510" s="370"/>
      <c r="J510" s="370"/>
      <c r="K510" s="385"/>
      <c r="L510" s="370"/>
      <c r="M510" s="370"/>
      <c r="N510" s="370"/>
      <c r="O510" s="370"/>
      <c r="P510" s="370"/>
      <c r="R510" s="368"/>
      <c r="S510" s="368"/>
      <c r="T510" s="126" t="s">
        <v>48</v>
      </c>
    </row>
    <row r="511" spans="2:20" hidden="1" outlineLevel="1">
      <c r="B511" s="199" t="s">
        <v>321</v>
      </c>
      <c r="C511" s="199"/>
      <c r="D511" s="381"/>
      <c r="E511" s="366"/>
      <c r="F511" s="366"/>
      <c r="G511" s="366"/>
      <c r="H511" s="366"/>
      <c r="I511" s="366"/>
      <c r="J511" s="366"/>
      <c r="K511" s="367"/>
      <c r="L511" s="366"/>
      <c r="M511" s="366"/>
      <c r="N511" s="366"/>
      <c r="O511" s="366"/>
      <c r="P511" s="366"/>
      <c r="R511" s="368"/>
      <c r="S511" s="368"/>
      <c r="T511" s="126" t="s">
        <v>48</v>
      </c>
    </row>
    <row r="512" spans="2:20" hidden="1" outlineLevel="1">
      <c r="B512" s="199"/>
      <c r="C512" s="199"/>
      <c r="D512" s="369" t="s">
        <v>322</v>
      </c>
      <c r="E512" s="370"/>
      <c r="F512" s="370"/>
      <c r="G512" s="370"/>
      <c r="H512" s="370"/>
      <c r="I512" s="370"/>
      <c r="J512" s="370"/>
      <c r="K512" s="371">
        <v>1.9570000000000001</v>
      </c>
      <c r="L512" s="370"/>
      <c r="M512" s="370"/>
      <c r="N512" s="370"/>
      <c r="O512" s="370"/>
      <c r="P512" s="370"/>
      <c r="R512" s="368"/>
      <c r="S512" s="368"/>
      <c r="T512" s="126" t="s">
        <v>48</v>
      </c>
    </row>
    <row r="513" spans="2:20" hidden="1" outlineLevel="1">
      <c r="B513" s="199"/>
      <c r="C513" s="199"/>
      <c r="D513" s="372" t="s">
        <v>302</v>
      </c>
      <c r="E513" s="366"/>
      <c r="F513" s="366"/>
      <c r="G513" s="366"/>
      <c r="H513" s="366"/>
      <c r="I513" s="366"/>
      <c r="J513" s="366"/>
      <c r="K513" s="367"/>
      <c r="L513" s="366"/>
      <c r="M513" s="366"/>
      <c r="N513" s="366"/>
      <c r="O513" s="366"/>
      <c r="P513" s="366"/>
      <c r="R513" s="368"/>
      <c r="S513" s="368"/>
      <c r="T513" s="126" t="s">
        <v>48</v>
      </c>
    </row>
    <row r="514" spans="2:20" hidden="1" outlineLevel="1">
      <c r="B514" s="199"/>
      <c r="C514" s="199"/>
      <c r="D514" s="373" t="s">
        <v>302</v>
      </c>
      <c r="E514" s="366"/>
      <c r="F514" s="366"/>
      <c r="G514" s="366"/>
      <c r="H514" s="366"/>
      <c r="I514" s="366"/>
      <c r="J514" s="366"/>
      <c r="K514" s="374"/>
      <c r="L514" s="366"/>
      <c r="M514" s="366"/>
      <c r="N514" s="366"/>
      <c r="O514" s="366"/>
      <c r="P514" s="366"/>
      <c r="R514" s="368"/>
      <c r="S514" s="368"/>
      <c r="T514" s="126" t="s">
        <v>48</v>
      </c>
    </row>
    <row r="515" spans="2:20" ht="15.75" hidden="1" outlineLevel="1" thickBot="1">
      <c r="B515" s="199"/>
      <c r="C515" s="199"/>
      <c r="D515" s="375" t="s">
        <v>303</v>
      </c>
      <c r="E515" s="386">
        <v>2025</v>
      </c>
      <c r="F515" s="377"/>
      <c r="G515" s="366"/>
      <c r="H515" s="366"/>
      <c r="I515" s="366"/>
      <c r="J515" s="366"/>
      <c r="K515" s="367"/>
      <c r="L515" s="366"/>
      <c r="M515" s="366"/>
      <c r="N515" s="366"/>
      <c r="O515" s="366"/>
      <c r="P515" s="366"/>
      <c r="R515" s="368"/>
      <c r="S515" s="368"/>
      <c r="T515" s="126" t="s">
        <v>48</v>
      </c>
    </row>
    <row r="516" spans="2:20" hidden="1" outlineLevel="1">
      <c r="B516" s="199"/>
      <c r="C516" s="199"/>
      <c r="D516" s="375" t="s">
        <v>304</v>
      </c>
      <c r="E516" s="378" t="s">
        <v>305</v>
      </c>
      <c r="F516" s="337">
        <v>2.4500000000000001E-2</v>
      </c>
      <c r="G516" s="366"/>
      <c r="H516" s="366"/>
      <c r="I516" s="366"/>
      <c r="J516" s="366"/>
      <c r="K516" s="367"/>
      <c r="L516" s="366"/>
      <c r="M516" s="366"/>
      <c r="N516" s="366"/>
      <c r="O516" s="366"/>
      <c r="P516" s="366"/>
      <c r="R516" s="368"/>
      <c r="S516" s="368"/>
      <c r="T516" s="126" t="s">
        <v>48</v>
      </c>
    </row>
    <row r="517" spans="2:20" ht="15.75" hidden="1" outlineLevel="1" thickBot="1">
      <c r="B517" s="199"/>
      <c r="C517" s="199"/>
      <c r="D517" s="375" t="s">
        <v>306</v>
      </c>
      <c r="E517" s="379" t="s">
        <v>307</v>
      </c>
      <c r="F517" s="380"/>
      <c r="G517" s="366"/>
      <c r="H517" s="366"/>
      <c r="I517" s="366"/>
      <c r="J517" s="366"/>
      <c r="K517" s="367"/>
      <c r="L517" s="366"/>
      <c r="M517" s="366"/>
      <c r="N517" s="366"/>
      <c r="O517" s="366"/>
      <c r="P517" s="366"/>
      <c r="R517" s="368"/>
      <c r="S517" s="368"/>
      <c r="T517" s="126" t="s">
        <v>48</v>
      </c>
    </row>
    <row r="518" spans="2:20" hidden="1" outlineLevel="1">
      <c r="B518" s="199"/>
      <c r="C518" s="199"/>
      <c r="D518" s="375" t="s">
        <v>308</v>
      </c>
      <c r="E518" s="366"/>
      <c r="F518" s="366"/>
      <c r="G518" s="366"/>
      <c r="H518" s="366"/>
      <c r="I518" s="366"/>
      <c r="J518" s="366"/>
      <c r="K518" s="367"/>
      <c r="L518" s="366"/>
      <c r="M518" s="366"/>
      <c r="N518" s="366"/>
      <c r="O518" s="366"/>
      <c r="P518" s="366"/>
      <c r="R518" s="368"/>
      <c r="S518" s="368"/>
      <c r="T518" s="126" t="s">
        <v>48</v>
      </c>
    </row>
    <row r="519" spans="2:20" hidden="1" outlineLevel="1">
      <c r="B519" s="199"/>
      <c r="C519" s="199"/>
      <c r="D519" s="381"/>
      <c r="E519" s="366"/>
      <c r="F519" s="366"/>
      <c r="G519" s="366"/>
      <c r="H519" s="366"/>
      <c r="I519" s="366"/>
      <c r="J519" s="366"/>
      <c r="K519" s="385"/>
      <c r="L519" s="366"/>
      <c r="M519" s="366"/>
      <c r="N519" s="366"/>
      <c r="O519" s="366"/>
      <c r="P519" s="366"/>
      <c r="R519" s="368"/>
      <c r="S519" s="368"/>
      <c r="T519" s="126" t="s">
        <v>48</v>
      </c>
    </row>
    <row r="520" spans="2:20" hidden="1" outlineLevel="1">
      <c r="B520" s="199"/>
      <c r="C520" s="199"/>
      <c r="D520" s="369" t="s">
        <v>323</v>
      </c>
      <c r="E520" s="370"/>
      <c r="F520" s="370"/>
      <c r="G520" s="370"/>
      <c r="H520" s="370"/>
      <c r="I520" s="370"/>
      <c r="J520" s="370"/>
      <c r="K520" s="371">
        <v>1.9570000000000001</v>
      </c>
      <c r="L520" s="370"/>
      <c r="M520" s="370"/>
      <c r="N520" s="370"/>
      <c r="O520" s="370"/>
      <c r="P520" s="370"/>
      <c r="R520" s="368"/>
      <c r="S520" s="368"/>
      <c r="T520" s="126" t="s">
        <v>48</v>
      </c>
    </row>
    <row r="521" spans="2:20" hidden="1" outlineLevel="1">
      <c r="B521" s="199"/>
      <c r="C521" s="199"/>
      <c r="D521" s="372" t="s">
        <v>302</v>
      </c>
      <c r="E521" s="366"/>
      <c r="F521" s="366"/>
      <c r="G521" s="366"/>
      <c r="H521" s="366"/>
      <c r="I521" s="366"/>
      <c r="J521" s="366"/>
      <c r="K521" s="367"/>
      <c r="L521" s="366"/>
      <c r="M521" s="366"/>
      <c r="N521" s="366"/>
      <c r="O521" s="366"/>
      <c r="P521" s="366"/>
      <c r="R521" s="368"/>
      <c r="S521" s="368"/>
      <c r="T521" s="126" t="s">
        <v>48</v>
      </c>
    </row>
    <row r="522" spans="2:20" hidden="1" outlineLevel="1">
      <c r="B522" s="199"/>
      <c r="C522" s="199"/>
      <c r="D522" s="373" t="s">
        <v>302</v>
      </c>
      <c r="E522" s="366"/>
      <c r="F522" s="366"/>
      <c r="G522" s="366"/>
      <c r="H522" s="366"/>
      <c r="I522" s="366"/>
      <c r="J522" s="366"/>
      <c r="K522" s="374"/>
      <c r="L522" s="366"/>
      <c r="M522" s="366"/>
      <c r="N522" s="366"/>
      <c r="O522" s="366"/>
      <c r="P522" s="366"/>
      <c r="R522" s="368"/>
      <c r="S522" s="368"/>
      <c r="T522" s="126" t="s">
        <v>48</v>
      </c>
    </row>
    <row r="523" spans="2:20" ht="15.75" hidden="1" outlineLevel="1" thickBot="1">
      <c r="B523" s="199"/>
      <c r="C523" s="199"/>
      <c r="D523" s="375" t="s">
        <v>303</v>
      </c>
      <c r="E523" s="386">
        <v>2025</v>
      </c>
      <c r="F523" s="377"/>
      <c r="G523" s="366"/>
      <c r="H523" s="366"/>
      <c r="I523" s="366"/>
      <c r="J523" s="366"/>
      <c r="K523" s="367"/>
      <c r="L523" s="366"/>
      <c r="M523" s="366"/>
      <c r="N523" s="366"/>
      <c r="O523" s="366"/>
      <c r="P523" s="366"/>
      <c r="R523" s="368"/>
      <c r="S523" s="368"/>
      <c r="T523" s="126" t="s">
        <v>48</v>
      </c>
    </row>
    <row r="524" spans="2:20" hidden="1" outlineLevel="1">
      <c r="B524" s="199"/>
      <c r="C524" s="199"/>
      <c r="D524" s="375" t="s">
        <v>304</v>
      </c>
      <c r="E524" s="378" t="s">
        <v>305</v>
      </c>
      <c r="F524" s="337">
        <v>2.4500000000000001E-2</v>
      </c>
      <c r="G524" s="366"/>
      <c r="H524" s="366"/>
      <c r="I524" s="366"/>
      <c r="J524" s="366"/>
      <c r="K524" s="367"/>
      <c r="L524" s="366"/>
      <c r="M524" s="366"/>
      <c r="N524" s="366"/>
      <c r="O524" s="366"/>
      <c r="P524" s="366"/>
      <c r="R524" s="368"/>
      <c r="S524" s="368"/>
      <c r="T524" s="126" t="s">
        <v>48</v>
      </c>
    </row>
    <row r="525" spans="2:20" ht="15.75" hidden="1" outlineLevel="1" thickBot="1">
      <c r="B525" s="199"/>
      <c r="C525" s="199"/>
      <c r="D525" s="375" t="s">
        <v>306</v>
      </c>
      <c r="E525" s="379" t="s">
        <v>307</v>
      </c>
      <c r="F525" s="380"/>
      <c r="G525" s="366"/>
      <c r="H525" s="366"/>
      <c r="I525" s="366"/>
      <c r="J525" s="366"/>
      <c r="K525" s="367"/>
      <c r="L525" s="366"/>
      <c r="M525" s="366"/>
      <c r="N525" s="366"/>
      <c r="O525" s="366"/>
      <c r="P525" s="366"/>
      <c r="R525" s="368"/>
      <c r="S525" s="368"/>
      <c r="T525" s="126" t="s">
        <v>48</v>
      </c>
    </row>
    <row r="526" spans="2:20" hidden="1" outlineLevel="1">
      <c r="B526" s="199"/>
      <c r="C526" s="199"/>
      <c r="D526" s="375" t="s">
        <v>308</v>
      </c>
      <c r="E526" s="366"/>
      <c r="F526" s="366"/>
      <c r="G526" s="366"/>
      <c r="H526" s="366"/>
      <c r="I526" s="366"/>
      <c r="J526" s="366"/>
      <c r="K526" s="367"/>
      <c r="L526" s="366"/>
      <c r="M526" s="366"/>
      <c r="N526" s="366"/>
      <c r="O526" s="366"/>
      <c r="P526" s="366"/>
      <c r="R526" s="368"/>
      <c r="S526" s="368"/>
      <c r="T526" s="126" t="s">
        <v>48</v>
      </c>
    </row>
    <row r="527" spans="2:20" hidden="1" outlineLevel="1">
      <c r="B527" s="199"/>
      <c r="C527" s="199"/>
      <c r="D527" s="381"/>
      <c r="E527" s="366"/>
      <c r="F527" s="366"/>
      <c r="G527" s="366"/>
      <c r="H527" s="366"/>
      <c r="I527" s="366"/>
      <c r="J527" s="366"/>
      <c r="K527" s="385"/>
      <c r="L527" s="366"/>
      <c r="M527" s="366"/>
      <c r="N527" s="366"/>
      <c r="O527" s="366"/>
      <c r="P527" s="366"/>
      <c r="R527" s="368"/>
      <c r="S527" s="368"/>
      <c r="T527" s="126" t="s">
        <v>48</v>
      </c>
    </row>
    <row r="528" spans="2:20" hidden="1" outlineLevel="1">
      <c r="B528" s="199"/>
      <c r="C528" s="199"/>
      <c r="D528" s="369" t="s">
        <v>324</v>
      </c>
      <c r="E528" s="370"/>
      <c r="F528" s="370"/>
      <c r="G528" s="370"/>
      <c r="H528" s="370"/>
      <c r="I528" s="370"/>
      <c r="J528" s="370"/>
      <c r="K528" s="371">
        <v>1.9570000000000001</v>
      </c>
      <c r="L528" s="370"/>
      <c r="M528" s="370"/>
      <c r="N528" s="370"/>
      <c r="O528" s="370"/>
      <c r="P528" s="370"/>
      <c r="R528" s="368"/>
      <c r="S528" s="368"/>
      <c r="T528" s="126" t="s">
        <v>48</v>
      </c>
    </row>
    <row r="529" spans="2:20" hidden="1" outlineLevel="1">
      <c r="B529" s="199"/>
      <c r="C529" s="199"/>
      <c r="D529" s="372" t="s">
        <v>302</v>
      </c>
      <c r="E529" s="366"/>
      <c r="F529" s="366"/>
      <c r="G529" s="366"/>
      <c r="H529" s="366"/>
      <c r="I529" s="366"/>
      <c r="J529" s="366"/>
      <c r="K529" s="367"/>
      <c r="L529" s="366"/>
      <c r="M529" s="366"/>
      <c r="N529" s="366"/>
      <c r="O529" s="366"/>
      <c r="P529" s="366"/>
      <c r="R529" s="368"/>
      <c r="S529" s="368"/>
      <c r="T529" s="126" t="s">
        <v>48</v>
      </c>
    </row>
    <row r="530" spans="2:20" hidden="1" outlineLevel="1">
      <c r="B530" s="199"/>
      <c r="C530" s="199"/>
      <c r="D530" s="373" t="s">
        <v>302</v>
      </c>
      <c r="E530" s="366"/>
      <c r="F530" s="366"/>
      <c r="G530" s="366"/>
      <c r="H530" s="366"/>
      <c r="I530" s="366"/>
      <c r="J530" s="366"/>
      <c r="K530" s="374"/>
      <c r="L530" s="366"/>
      <c r="M530" s="366"/>
      <c r="N530" s="366"/>
      <c r="O530" s="366"/>
      <c r="P530" s="366"/>
      <c r="R530" s="368"/>
      <c r="S530" s="368"/>
      <c r="T530" s="126" t="s">
        <v>48</v>
      </c>
    </row>
    <row r="531" spans="2:20" ht="15.75" hidden="1" outlineLevel="1" thickBot="1">
      <c r="B531" s="199"/>
      <c r="C531" s="199"/>
      <c r="D531" s="375" t="s">
        <v>303</v>
      </c>
      <c r="E531" s="386">
        <v>2025</v>
      </c>
      <c r="F531" s="377"/>
      <c r="G531" s="366"/>
      <c r="H531" s="366"/>
      <c r="I531" s="366"/>
      <c r="J531" s="366"/>
      <c r="K531" s="367"/>
      <c r="L531" s="366"/>
      <c r="M531" s="366"/>
      <c r="N531" s="366"/>
      <c r="O531" s="366"/>
      <c r="P531" s="366"/>
      <c r="R531" s="368"/>
      <c r="S531" s="368"/>
      <c r="T531" s="126" t="s">
        <v>48</v>
      </c>
    </row>
    <row r="532" spans="2:20" hidden="1" outlineLevel="1">
      <c r="B532" s="199"/>
      <c r="C532" s="199"/>
      <c r="D532" s="375" t="s">
        <v>304</v>
      </c>
      <c r="E532" s="378" t="s">
        <v>305</v>
      </c>
      <c r="F532" s="337">
        <v>2.4500000000000001E-2</v>
      </c>
      <c r="G532" s="366"/>
      <c r="H532" s="366"/>
      <c r="I532" s="366"/>
      <c r="J532" s="366"/>
      <c r="K532" s="367"/>
      <c r="L532" s="366"/>
      <c r="M532" s="366"/>
      <c r="N532" s="366"/>
      <c r="O532" s="366"/>
      <c r="P532" s="366"/>
      <c r="R532" s="368"/>
      <c r="S532" s="368"/>
      <c r="T532" s="126" t="s">
        <v>48</v>
      </c>
    </row>
    <row r="533" spans="2:20" ht="15.75" hidden="1" outlineLevel="1" thickBot="1">
      <c r="B533" s="199"/>
      <c r="C533" s="199"/>
      <c r="D533" s="375" t="s">
        <v>306</v>
      </c>
      <c r="E533" s="379" t="s">
        <v>307</v>
      </c>
      <c r="F533" s="380"/>
      <c r="G533" s="366"/>
      <c r="H533" s="366"/>
      <c r="I533" s="366"/>
      <c r="J533" s="366"/>
      <c r="K533" s="367"/>
      <c r="L533" s="366"/>
      <c r="M533" s="366"/>
      <c r="N533" s="366"/>
      <c r="O533" s="366"/>
      <c r="P533" s="366"/>
      <c r="R533" s="368"/>
      <c r="S533" s="368"/>
      <c r="T533" s="126" t="s">
        <v>48</v>
      </c>
    </row>
    <row r="534" spans="2:20" hidden="1" outlineLevel="1">
      <c r="B534" s="199"/>
      <c r="C534" s="199"/>
      <c r="D534" s="375" t="s">
        <v>308</v>
      </c>
      <c r="E534" s="366"/>
      <c r="F534" s="366"/>
      <c r="G534" s="366"/>
      <c r="H534" s="366"/>
      <c r="I534" s="366"/>
      <c r="J534" s="366"/>
      <c r="K534" s="367"/>
      <c r="L534" s="366"/>
      <c r="M534" s="366"/>
      <c r="N534" s="366"/>
      <c r="O534" s="366"/>
      <c r="P534" s="366"/>
      <c r="R534" s="368"/>
      <c r="S534" s="368"/>
      <c r="T534" s="126" t="s">
        <v>48</v>
      </c>
    </row>
    <row r="535" spans="2:20" hidden="1" outlineLevel="1">
      <c r="B535" s="199"/>
      <c r="C535" s="199"/>
      <c r="D535" s="381"/>
      <c r="E535" s="366"/>
      <c r="F535" s="366"/>
      <c r="G535" s="366"/>
      <c r="H535" s="366"/>
      <c r="I535" s="366"/>
      <c r="J535" s="366"/>
      <c r="K535" s="385"/>
      <c r="L535" s="366"/>
      <c r="M535" s="366"/>
      <c r="N535" s="366"/>
      <c r="O535" s="366"/>
      <c r="P535" s="366"/>
      <c r="R535" s="368"/>
      <c r="S535" s="368"/>
      <c r="T535" s="126" t="s">
        <v>48</v>
      </c>
    </row>
    <row r="536" spans="2:20" hidden="1" outlineLevel="1">
      <c r="B536" s="199"/>
      <c r="C536" s="199"/>
      <c r="D536" s="369" t="s">
        <v>325</v>
      </c>
      <c r="E536" s="370"/>
      <c r="F536" s="370"/>
      <c r="G536" s="370"/>
      <c r="H536" s="370"/>
      <c r="I536" s="370"/>
      <c r="J536" s="370"/>
      <c r="K536" s="371">
        <v>0</v>
      </c>
      <c r="L536" s="370"/>
      <c r="M536" s="370"/>
      <c r="N536" s="370"/>
      <c r="O536" s="370"/>
      <c r="P536" s="370"/>
      <c r="R536" s="368"/>
      <c r="S536" s="368"/>
      <c r="T536" s="126" t="s">
        <v>48</v>
      </c>
    </row>
    <row r="537" spans="2:20" hidden="1" outlineLevel="1">
      <c r="B537" s="199"/>
      <c r="C537" s="199"/>
      <c r="D537" s="372" t="s">
        <v>302</v>
      </c>
      <c r="E537" s="366"/>
      <c r="F537" s="366"/>
      <c r="G537" s="366"/>
      <c r="H537" s="366"/>
      <c r="I537" s="366"/>
      <c r="J537" s="366"/>
      <c r="K537" s="367"/>
      <c r="L537" s="366"/>
      <c r="M537" s="366"/>
      <c r="N537" s="366"/>
      <c r="O537" s="366"/>
      <c r="P537" s="366"/>
      <c r="R537" s="368"/>
      <c r="S537" s="368"/>
      <c r="T537" s="126" t="s">
        <v>48</v>
      </c>
    </row>
    <row r="538" spans="2:20" hidden="1" outlineLevel="1">
      <c r="B538" s="199"/>
      <c r="C538" s="199"/>
      <c r="D538" s="373" t="s">
        <v>302</v>
      </c>
      <c r="E538" s="366"/>
      <c r="F538" s="366"/>
      <c r="G538" s="366"/>
      <c r="H538" s="366"/>
      <c r="I538" s="366"/>
      <c r="J538" s="366"/>
      <c r="K538" s="374"/>
      <c r="L538" s="366"/>
      <c r="M538" s="366"/>
      <c r="N538" s="366"/>
      <c r="O538" s="366"/>
      <c r="P538" s="366"/>
      <c r="R538" s="368"/>
      <c r="S538" s="368"/>
      <c r="T538" s="126" t="s">
        <v>48</v>
      </c>
    </row>
    <row r="539" spans="2:20" ht="15.75" hidden="1" outlineLevel="1" thickBot="1">
      <c r="B539" s="199"/>
      <c r="C539" s="199"/>
      <c r="D539" s="375" t="s">
        <v>303</v>
      </c>
      <c r="E539" s="386">
        <v>2025</v>
      </c>
      <c r="F539" s="377"/>
      <c r="G539" s="366"/>
      <c r="H539" s="366"/>
      <c r="I539" s="366"/>
      <c r="J539" s="366"/>
      <c r="K539" s="367"/>
      <c r="L539" s="366"/>
      <c r="M539" s="366"/>
      <c r="N539" s="366"/>
      <c r="O539" s="366"/>
      <c r="P539" s="366"/>
      <c r="R539" s="368"/>
      <c r="S539" s="368"/>
      <c r="T539" s="126" t="s">
        <v>48</v>
      </c>
    </row>
    <row r="540" spans="2:20" hidden="1" outlineLevel="1">
      <c r="B540" s="199"/>
      <c r="C540" s="199"/>
      <c r="D540" s="375" t="s">
        <v>304</v>
      </c>
      <c r="E540" s="378" t="s">
        <v>305</v>
      </c>
      <c r="F540" s="337">
        <v>2.4500000000000001E-2</v>
      </c>
      <c r="G540" s="366"/>
      <c r="H540" s="366"/>
      <c r="I540" s="366"/>
      <c r="J540" s="366"/>
      <c r="K540" s="367"/>
      <c r="L540" s="366"/>
      <c r="M540" s="366"/>
      <c r="N540" s="366"/>
      <c r="O540" s="366"/>
      <c r="P540" s="366"/>
      <c r="R540" s="368"/>
      <c r="S540" s="368"/>
      <c r="T540" s="126" t="s">
        <v>48</v>
      </c>
    </row>
    <row r="541" spans="2:20" ht="15.75" hidden="1" outlineLevel="1" thickBot="1">
      <c r="B541" s="199"/>
      <c r="C541" s="199"/>
      <c r="D541" s="375" t="s">
        <v>306</v>
      </c>
      <c r="E541" s="379" t="s">
        <v>307</v>
      </c>
      <c r="F541" s="380"/>
      <c r="G541" s="366"/>
      <c r="H541" s="366"/>
      <c r="I541" s="366"/>
      <c r="J541" s="366"/>
      <c r="K541" s="367"/>
      <c r="L541" s="366"/>
      <c r="M541" s="366"/>
      <c r="N541" s="366"/>
      <c r="O541" s="366"/>
      <c r="P541" s="366"/>
      <c r="R541" s="368"/>
      <c r="S541" s="368"/>
      <c r="T541" s="126" t="s">
        <v>48</v>
      </c>
    </row>
    <row r="542" spans="2:20" hidden="1" outlineLevel="1">
      <c r="B542" s="199"/>
      <c r="C542" s="199"/>
      <c r="D542" s="375" t="s">
        <v>308</v>
      </c>
      <c r="E542" s="366"/>
      <c r="F542" s="366"/>
      <c r="G542" s="366"/>
      <c r="H542" s="366"/>
      <c r="I542" s="366"/>
      <c r="J542" s="366"/>
      <c r="K542" s="367"/>
      <c r="L542" s="366"/>
      <c r="M542" s="366"/>
      <c r="N542" s="366"/>
      <c r="O542" s="366"/>
      <c r="P542" s="366"/>
      <c r="R542" s="368"/>
      <c r="S542" s="368"/>
      <c r="T542" s="126" t="s">
        <v>48</v>
      </c>
    </row>
    <row r="543" spans="2:20" hidden="1" outlineLevel="1">
      <c r="B543" s="199"/>
      <c r="C543" s="199"/>
      <c r="D543" s="381"/>
      <c r="E543" s="366"/>
      <c r="F543" s="366"/>
      <c r="G543" s="366"/>
      <c r="H543" s="366"/>
      <c r="I543" s="366"/>
      <c r="J543" s="366"/>
      <c r="K543" s="385"/>
      <c r="L543" s="366"/>
      <c r="M543" s="366"/>
      <c r="N543" s="366"/>
      <c r="O543" s="366"/>
      <c r="P543" s="366"/>
      <c r="R543" s="368"/>
      <c r="S543" s="368"/>
      <c r="T543" s="126" t="s">
        <v>48</v>
      </c>
    </row>
    <row r="544" spans="2:20" hidden="1" outlineLevel="1">
      <c r="B544" s="199"/>
      <c r="C544" s="199"/>
      <c r="D544" s="369" t="s">
        <v>326</v>
      </c>
      <c r="E544" s="370"/>
      <c r="F544" s="370"/>
      <c r="G544" s="370"/>
      <c r="H544" s="370"/>
      <c r="I544" s="370"/>
      <c r="J544" s="370"/>
      <c r="K544" s="371">
        <v>1672.9043728813558</v>
      </c>
      <c r="L544" s="370"/>
      <c r="M544" s="370"/>
      <c r="N544" s="370"/>
      <c r="O544" s="370"/>
      <c r="P544" s="370"/>
      <c r="R544" s="368"/>
      <c r="S544" s="368"/>
      <c r="T544" s="126" t="s">
        <v>48</v>
      </c>
    </row>
    <row r="545" spans="2:20" hidden="1" outlineLevel="1">
      <c r="B545" s="199"/>
      <c r="C545" s="199"/>
      <c r="D545" s="387" t="s">
        <v>327</v>
      </c>
      <c r="E545" s="366"/>
      <c r="F545" s="366"/>
      <c r="G545" s="366"/>
      <c r="H545" s="366"/>
      <c r="I545" s="366"/>
      <c r="J545" s="366"/>
      <c r="K545" s="388">
        <v>511.40600000000001</v>
      </c>
      <c r="L545" s="366"/>
      <c r="M545" s="366"/>
      <c r="N545" s="366"/>
      <c r="O545" s="366"/>
      <c r="P545" s="366"/>
      <c r="R545" s="368"/>
      <c r="S545" s="368"/>
      <c r="T545" s="126" t="s">
        <v>48</v>
      </c>
    </row>
    <row r="546" spans="2:20" hidden="1" outlineLevel="1">
      <c r="B546" s="199"/>
      <c r="C546" s="199"/>
      <c r="D546" s="372" t="s">
        <v>302</v>
      </c>
      <c r="E546" s="366"/>
      <c r="F546" s="366"/>
      <c r="G546" s="366"/>
      <c r="H546" s="366"/>
      <c r="I546" s="366"/>
      <c r="J546" s="366"/>
      <c r="K546" s="367"/>
      <c r="L546" s="366"/>
      <c r="M546" s="366"/>
      <c r="N546" s="366"/>
      <c r="O546" s="366"/>
      <c r="P546" s="366"/>
      <c r="R546" s="368"/>
      <c r="S546" s="368"/>
      <c r="T546" s="126" t="s">
        <v>48</v>
      </c>
    </row>
    <row r="547" spans="2:20" hidden="1" outlineLevel="1">
      <c r="B547" s="199"/>
      <c r="C547" s="199"/>
      <c r="D547" s="373" t="s">
        <v>302</v>
      </c>
      <c r="E547" s="366"/>
      <c r="F547" s="366"/>
      <c r="G547" s="366"/>
      <c r="H547" s="366"/>
      <c r="I547" s="366"/>
      <c r="J547" s="366"/>
      <c r="K547" s="374"/>
      <c r="L547" s="366"/>
      <c r="M547" s="366"/>
      <c r="N547" s="366"/>
      <c r="O547" s="366"/>
      <c r="P547" s="366"/>
      <c r="R547" s="368"/>
      <c r="S547" s="368"/>
      <c r="T547" s="126" t="s">
        <v>48</v>
      </c>
    </row>
    <row r="548" spans="2:20" ht="15.75" hidden="1" outlineLevel="1" thickBot="1">
      <c r="B548" s="199"/>
      <c r="C548" s="199"/>
      <c r="D548" s="375" t="s">
        <v>303</v>
      </c>
      <c r="E548" s="386">
        <v>2028</v>
      </c>
      <c r="F548" s="377"/>
      <c r="G548" s="366"/>
      <c r="H548" s="366"/>
      <c r="I548" s="366"/>
      <c r="J548" s="366"/>
      <c r="K548" s="367"/>
      <c r="L548" s="366"/>
      <c r="M548" s="366"/>
      <c r="N548" s="366"/>
      <c r="O548" s="366"/>
      <c r="P548" s="366"/>
      <c r="R548" s="368"/>
      <c r="S548" s="368"/>
      <c r="T548" s="126" t="s">
        <v>48</v>
      </c>
    </row>
    <row r="549" spans="2:20" hidden="1" outlineLevel="1">
      <c r="B549" s="199"/>
      <c r="C549" s="199"/>
      <c r="D549" s="375" t="s">
        <v>304</v>
      </c>
      <c r="E549" s="378" t="s">
        <v>328</v>
      </c>
      <c r="F549" s="337">
        <v>0.02</v>
      </c>
      <c r="G549" s="366"/>
      <c r="H549" s="366"/>
      <c r="I549" s="366"/>
      <c r="J549" s="366"/>
      <c r="K549" s="367"/>
      <c r="L549" s="366"/>
      <c r="M549" s="366"/>
      <c r="N549" s="366"/>
      <c r="O549" s="366"/>
      <c r="P549" s="366"/>
      <c r="R549" s="368"/>
      <c r="S549" s="368"/>
      <c r="T549" s="126" t="s">
        <v>48</v>
      </c>
    </row>
    <row r="550" spans="2:20" ht="15.75" hidden="1" outlineLevel="1" thickBot="1">
      <c r="B550" s="199"/>
      <c r="C550" s="199"/>
      <c r="D550" s="375" t="s">
        <v>306</v>
      </c>
      <c r="E550" s="379" t="s">
        <v>329</v>
      </c>
      <c r="F550" s="380"/>
      <c r="G550" s="366"/>
      <c r="H550" s="366"/>
      <c r="I550" s="366"/>
      <c r="J550" s="366"/>
      <c r="K550" s="367"/>
      <c r="L550" s="366"/>
      <c r="M550" s="366"/>
      <c r="N550" s="366"/>
      <c r="O550" s="366"/>
      <c r="P550" s="366"/>
      <c r="R550" s="368"/>
      <c r="S550" s="368"/>
      <c r="T550" s="126" t="s">
        <v>48</v>
      </c>
    </row>
    <row r="551" spans="2:20" hidden="1" outlineLevel="1">
      <c r="B551" s="199"/>
      <c r="C551" s="199"/>
      <c r="D551" s="375" t="s">
        <v>308</v>
      </c>
      <c r="E551" s="366"/>
      <c r="F551" s="366"/>
      <c r="G551" s="366"/>
      <c r="H551" s="366"/>
      <c r="I551" s="366"/>
      <c r="J551" s="366"/>
      <c r="K551" s="367"/>
      <c r="L551" s="366"/>
      <c r="M551" s="366"/>
      <c r="N551" s="366"/>
      <c r="O551" s="366"/>
      <c r="P551" s="366"/>
      <c r="R551" s="368"/>
      <c r="S551" s="368"/>
      <c r="T551" s="126" t="s">
        <v>48</v>
      </c>
    </row>
    <row r="552" spans="2:20" hidden="1" outlineLevel="1">
      <c r="B552" s="199"/>
      <c r="C552" s="199"/>
      <c r="D552" s="375"/>
      <c r="E552" s="366"/>
      <c r="F552" s="366"/>
      <c r="G552" s="366"/>
      <c r="H552" s="366"/>
      <c r="I552" s="366"/>
      <c r="J552" s="366"/>
      <c r="K552" s="367"/>
      <c r="L552" s="366"/>
      <c r="M552" s="366"/>
      <c r="N552" s="366"/>
      <c r="O552" s="366"/>
      <c r="P552" s="366"/>
      <c r="R552" s="368"/>
      <c r="S552" s="368"/>
      <c r="T552" s="126" t="s">
        <v>48</v>
      </c>
    </row>
    <row r="553" spans="2:20" hidden="1" outlineLevel="1">
      <c r="B553" s="199"/>
      <c r="C553" s="199"/>
      <c r="D553" s="381"/>
      <c r="E553" s="366"/>
      <c r="F553" s="366"/>
      <c r="G553" s="366"/>
      <c r="H553" s="366"/>
      <c r="I553" s="366"/>
      <c r="J553" s="366"/>
      <c r="K553" s="385"/>
      <c r="L553" s="366"/>
      <c r="M553" s="366"/>
      <c r="N553" s="366"/>
      <c r="O553" s="366"/>
      <c r="P553" s="366"/>
      <c r="R553" s="368"/>
      <c r="S553" s="368"/>
      <c r="T553" s="126" t="s">
        <v>48</v>
      </c>
    </row>
    <row r="554" spans="2:20" hidden="1" outlineLevel="1">
      <c r="B554" s="199"/>
      <c r="C554" s="199"/>
      <c r="D554" s="369" t="s">
        <v>330</v>
      </c>
      <c r="E554" s="370"/>
      <c r="F554" s="370"/>
      <c r="G554" s="370"/>
      <c r="H554" s="370"/>
      <c r="I554" s="370"/>
      <c r="J554" s="370"/>
      <c r="K554" s="371">
        <v>1047.0086440677965</v>
      </c>
      <c r="L554" s="370"/>
      <c r="M554" s="370"/>
      <c r="N554" s="370"/>
      <c r="O554" s="370"/>
      <c r="P554" s="370"/>
      <c r="R554" s="368"/>
      <c r="S554" s="368"/>
      <c r="T554" s="126" t="s">
        <v>48</v>
      </c>
    </row>
    <row r="555" spans="2:20" hidden="1" outlineLevel="1">
      <c r="B555" s="199"/>
      <c r="C555" s="199"/>
      <c r="D555" s="387" t="s">
        <v>327</v>
      </c>
      <c r="E555" s="366"/>
      <c r="F555" s="366"/>
      <c r="G555" s="366"/>
      <c r="H555" s="366"/>
      <c r="I555" s="366"/>
      <c r="J555" s="366"/>
      <c r="K555" s="388">
        <v>320.07</v>
      </c>
      <c r="L555" s="366"/>
      <c r="M555" s="366"/>
      <c r="N555" s="366"/>
      <c r="O555" s="366"/>
      <c r="P555" s="366"/>
      <c r="R555" s="368"/>
      <c r="S555" s="368"/>
      <c r="T555" s="126" t="s">
        <v>48</v>
      </c>
    </row>
    <row r="556" spans="2:20" hidden="1" outlineLevel="1">
      <c r="B556" s="199"/>
      <c r="C556" s="199"/>
      <c r="D556" s="372" t="s">
        <v>302</v>
      </c>
      <c r="E556" s="366"/>
      <c r="F556" s="366"/>
      <c r="G556" s="366"/>
      <c r="H556" s="366"/>
      <c r="I556" s="366"/>
      <c r="J556" s="366"/>
      <c r="K556" s="367"/>
      <c r="L556" s="366"/>
      <c r="M556" s="366"/>
      <c r="N556" s="366"/>
      <c r="O556" s="366"/>
      <c r="P556" s="366"/>
      <c r="R556" s="368"/>
      <c r="S556" s="368"/>
      <c r="T556" s="126" t="s">
        <v>48</v>
      </c>
    </row>
    <row r="557" spans="2:20" hidden="1" outlineLevel="1">
      <c r="B557" s="199"/>
      <c r="C557" s="199"/>
      <c r="D557" s="373" t="s">
        <v>302</v>
      </c>
      <c r="E557" s="366"/>
      <c r="F557" s="366"/>
      <c r="G557" s="366"/>
      <c r="H557" s="366"/>
      <c r="I557" s="366"/>
      <c r="J557" s="366"/>
      <c r="K557" s="374"/>
      <c r="L557" s="366"/>
      <c r="M557" s="366"/>
      <c r="N557" s="366"/>
      <c r="O557" s="366"/>
      <c r="P557" s="366"/>
      <c r="R557" s="368"/>
      <c r="S557" s="368"/>
      <c r="T557" s="126" t="s">
        <v>48</v>
      </c>
    </row>
    <row r="558" spans="2:20" ht="15.75" hidden="1" outlineLevel="1" thickBot="1">
      <c r="B558" s="199"/>
      <c r="C558" s="199"/>
      <c r="D558" s="375" t="s">
        <v>303</v>
      </c>
      <c r="E558" s="386">
        <v>2029</v>
      </c>
      <c r="F558" s="377"/>
      <c r="G558" s="366"/>
      <c r="H558" s="366"/>
      <c r="I558" s="366"/>
      <c r="J558" s="366"/>
      <c r="K558" s="367"/>
      <c r="L558" s="366"/>
      <c r="M558" s="366"/>
      <c r="N558" s="366"/>
      <c r="O558" s="366"/>
      <c r="P558" s="366"/>
      <c r="R558" s="368"/>
      <c r="S558" s="368"/>
      <c r="T558" s="126" t="s">
        <v>48</v>
      </c>
    </row>
    <row r="559" spans="2:20" hidden="1" outlineLevel="1">
      <c r="B559" s="199"/>
      <c r="C559" s="199"/>
      <c r="D559" s="375" t="s">
        <v>304</v>
      </c>
      <c r="E559" s="378" t="s">
        <v>328</v>
      </c>
      <c r="F559" s="337">
        <v>0.02</v>
      </c>
      <c r="G559" s="366"/>
      <c r="H559" s="366"/>
      <c r="I559" s="366"/>
      <c r="J559" s="366"/>
      <c r="K559" s="367"/>
      <c r="L559" s="366"/>
      <c r="M559" s="366"/>
      <c r="N559" s="366"/>
      <c r="O559" s="366"/>
      <c r="P559" s="366"/>
      <c r="R559" s="368"/>
      <c r="S559" s="368"/>
      <c r="T559" s="126" t="s">
        <v>48</v>
      </c>
    </row>
    <row r="560" spans="2:20" ht="15.75" hidden="1" outlineLevel="1" thickBot="1">
      <c r="B560" s="199"/>
      <c r="C560" s="199"/>
      <c r="D560" s="375" t="s">
        <v>306</v>
      </c>
      <c r="E560" s="379" t="s">
        <v>329</v>
      </c>
      <c r="F560" s="380"/>
      <c r="G560" s="366"/>
      <c r="H560" s="366"/>
      <c r="I560" s="366"/>
      <c r="J560" s="366"/>
      <c r="K560" s="367"/>
      <c r="L560" s="366"/>
      <c r="M560" s="366"/>
      <c r="N560" s="366"/>
      <c r="O560" s="366"/>
      <c r="P560" s="366"/>
      <c r="R560" s="368"/>
      <c r="S560" s="368"/>
      <c r="T560" s="126" t="s">
        <v>48</v>
      </c>
    </row>
    <row r="561" spans="2:20" hidden="1" outlineLevel="1">
      <c r="B561" s="199"/>
      <c r="C561" s="199"/>
      <c r="D561" s="375" t="s">
        <v>308</v>
      </c>
      <c r="E561" s="366"/>
      <c r="F561" s="366"/>
      <c r="G561" s="366"/>
      <c r="H561" s="366"/>
      <c r="I561" s="366"/>
      <c r="J561" s="366"/>
      <c r="K561" s="367"/>
      <c r="L561" s="366"/>
      <c r="M561" s="366"/>
      <c r="N561" s="366"/>
      <c r="O561" s="366"/>
      <c r="P561" s="366"/>
      <c r="R561" s="368"/>
      <c r="S561" s="368"/>
      <c r="T561" s="126" t="s">
        <v>48</v>
      </c>
    </row>
    <row r="562" spans="2:20" hidden="1" outlineLevel="1">
      <c r="B562" s="199"/>
      <c r="C562" s="199"/>
      <c r="D562" s="381"/>
      <c r="E562" s="366"/>
      <c r="F562" s="366"/>
      <c r="G562" s="366"/>
      <c r="H562" s="366"/>
      <c r="I562" s="366"/>
      <c r="J562" s="366"/>
      <c r="K562" s="385"/>
      <c r="L562" s="366"/>
      <c r="M562" s="366"/>
      <c r="N562" s="366"/>
      <c r="O562" s="366"/>
      <c r="P562" s="366"/>
      <c r="R562" s="368"/>
      <c r="S562" s="368"/>
      <c r="T562" s="126" t="s">
        <v>48</v>
      </c>
    </row>
    <row r="563" spans="2:20" hidden="1" outlineLevel="1">
      <c r="B563" s="199"/>
      <c r="C563" s="199"/>
      <c r="D563" s="369" t="s">
        <v>331</v>
      </c>
      <c r="E563" s="370"/>
      <c r="F563" s="370"/>
      <c r="G563" s="370"/>
      <c r="H563" s="370"/>
      <c r="I563" s="370"/>
      <c r="J563" s="370"/>
      <c r="K563" s="371">
        <v>151.20732203389827</v>
      </c>
      <c r="L563" s="370"/>
      <c r="M563" s="370"/>
      <c r="N563" s="370"/>
      <c r="O563" s="370"/>
      <c r="P563" s="370"/>
      <c r="R563" s="368"/>
      <c r="S563" s="368"/>
      <c r="T563" s="126" t="s">
        <v>48</v>
      </c>
    </row>
    <row r="564" spans="2:20" hidden="1" outlineLevel="1">
      <c r="B564" s="366"/>
      <c r="C564" s="366"/>
      <c r="D564" s="387" t="s">
        <v>327</v>
      </c>
      <c r="E564" s="366"/>
      <c r="F564" s="366"/>
      <c r="G564" s="366"/>
      <c r="H564" s="366"/>
      <c r="I564" s="366"/>
      <c r="J564" s="366"/>
      <c r="K564" s="389">
        <v>46.223999999999997</v>
      </c>
      <c r="L564" s="366"/>
      <c r="M564" s="366"/>
      <c r="N564" s="366"/>
      <c r="O564" s="366"/>
      <c r="P564" s="366"/>
      <c r="R564" s="368"/>
      <c r="S564" s="368"/>
      <c r="T564" s="126" t="s">
        <v>48</v>
      </c>
    </row>
    <row r="565" spans="2:20" hidden="1" outlineLevel="1">
      <c r="B565" s="199"/>
      <c r="C565" s="199"/>
      <c r="D565" s="372" t="s">
        <v>302</v>
      </c>
      <c r="E565" s="366"/>
      <c r="F565" s="366"/>
      <c r="G565" s="366"/>
      <c r="H565" s="366"/>
      <c r="I565" s="366"/>
      <c r="J565" s="366"/>
      <c r="K565" s="367"/>
      <c r="L565" s="366"/>
      <c r="M565" s="366"/>
      <c r="N565" s="366"/>
      <c r="O565" s="366"/>
      <c r="P565" s="366"/>
      <c r="R565" s="368"/>
      <c r="S565" s="368"/>
      <c r="T565" s="126" t="s">
        <v>48</v>
      </c>
    </row>
    <row r="566" spans="2:20" hidden="1" outlineLevel="1">
      <c r="B566" s="199"/>
      <c r="C566" s="199"/>
      <c r="D566" s="373" t="s">
        <v>302</v>
      </c>
      <c r="E566" s="366"/>
      <c r="F566" s="366"/>
      <c r="G566" s="366"/>
      <c r="H566" s="366"/>
      <c r="I566" s="366"/>
      <c r="J566" s="366"/>
      <c r="K566" s="374"/>
      <c r="L566" s="366"/>
      <c r="M566" s="366"/>
      <c r="N566" s="366"/>
      <c r="O566" s="366"/>
      <c r="P566" s="366"/>
      <c r="R566" s="368"/>
      <c r="S566" s="368"/>
      <c r="T566" s="126" t="s">
        <v>48</v>
      </c>
    </row>
    <row r="567" spans="2:20" ht="15.75" hidden="1" outlineLevel="1" thickBot="1">
      <c r="B567" s="199"/>
      <c r="C567" s="199"/>
      <c r="D567" s="375" t="s">
        <v>303</v>
      </c>
      <c r="E567" s="386">
        <v>2027</v>
      </c>
      <c r="F567" s="377"/>
      <c r="G567" s="366"/>
      <c r="H567" s="366"/>
      <c r="I567" s="366"/>
      <c r="J567" s="366"/>
      <c r="K567" s="367"/>
      <c r="L567" s="366"/>
      <c r="M567" s="366"/>
      <c r="N567" s="366"/>
      <c r="O567" s="366"/>
      <c r="P567" s="366"/>
      <c r="R567" s="368"/>
      <c r="S567" s="368"/>
      <c r="T567" s="126" t="s">
        <v>48</v>
      </c>
    </row>
    <row r="568" spans="2:20" ht="15.75" hidden="1" outlineLevel="1" thickBot="1">
      <c r="B568" s="199"/>
      <c r="C568" s="199"/>
      <c r="D568" s="375" t="s">
        <v>304</v>
      </c>
      <c r="E568" s="378" t="s">
        <v>328</v>
      </c>
      <c r="F568" s="390">
        <v>0.02</v>
      </c>
      <c r="G568" s="366"/>
      <c r="H568" s="366"/>
      <c r="I568" s="366"/>
      <c r="J568" s="366"/>
      <c r="K568" s="367"/>
      <c r="L568" s="366"/>
      <c r="M568" s="366"/>
      <c r="N568" s="366"/>
      <c r="O568" s="366"/>
      <c r="P568" s="366"/>
      <c r="R568" s="368"/>
      <c r="S568" s="368"/>
      <c r="T568" s="126" t="s">
        <v>48</v>
      </c>
    </row>
    <row r="569" spans="2:20" ht="15.75" hidden="1" outlineLevel="1" thickBot="1">
      <c r="B569" s="199"/>
      <c r="C569" s="199"/>
      <c r="D569" s="375" t="s">
        <v>306</v>
      </c>
      <c r="E569" s="379" t="s">
        <v>329</v>
      </c>
      <c r="F569" s="380"/>
      <c r="G569" s="366"/>
      <c r="H569" s="366"/>
      <c r="I569" s="366"/>
      <c r="J569" s="366"/>
      <c r="K569" s="367"/>
      <c r="L569" s="366"/>
      <c r="M569" s="366"/>
      <c r="N569" s="366"/>
      <c r="O569" s="366"/>
      <c r="P569" s="366"/>
      <c r="R569" s="368"/>
      <c r="S569" s="368"/>
      <c r="T569" s="126" t="s">
        <v>48</v>
      </c>
    </row>
    <row r="570" spans="2:20" hidden="1" outlineLevel="1">
      <c r="B570" s="199"/>
      <c r="C570" s="199"/>
      <c r="D570" s="375" t="s">
        <v>308</v>
      </c>
      <c r="E570" s="366"/>
      <c r="F570" s="366"/>
      <c r="G570" s="366"/>
      <c r="H570" s="366"/>
      <c r="I570" s="366"/>
      <c r="J570" s="366"/>
      <c r="K570" s="367"/>
      <c r="L570" s="366"/>
      <c r="M570" s="366"/>
      <c r="N570" s="366"/>
      <c r="O570" s="366"/>
      <c r="P570" s="366"/>
      <c r="R570" s="368"/>
      <c r="S570" s="368"/>
      <c r="T570" s="126" t="s">
        <v>48</v>
      </c>
    </row>
    <row r="571" spans="2:20" hidden="1" outlineLevel="1">
      <c r="B571" s="199"/>
      <c r="C571" s="199"/>
      <c r="D571" s="381"/>
      <c r="E571" s="366"/>
      <c r="F571" s="366"/>
      <c r="G571" s="366"/>
      <c r="H571" s="366"/>
      <c r="I571" s="366"/>
      <c r="J571" s="366"/>
      <c r="K571" s="385"/>
      <c r="L571" s="366"/>
      <c r="M571" s="366"/>
      <c r="N571" s="366"/>
      <c r="O571" s="366"/>
      <c r="P571" s="366"/>
      <c r="R571" s="368"/>
      <c r="S571" s="368"/>
      <c r="T571" s="126" t="s">
        <v>48</v>
      </c>
    </row>
    <row r="572" spans="2:20" hidden="1" outlineLevel="1">
      <c r="B572" s="199"/>
      <c r="C572" s="199"/>
      <c r="D572" s="369" t="s">
        <v>332</v>
      </c>
      <c r="E572" s="370"/>
      <c r="F572" s="370"/>
      <c r="G572" s="370"/>
      <c r="H572" s="370"/>
      <c r="I572" s="370"/>
      <c r="J572" s="370"/>
      <c r="K572" s="371">
        <v>135.201406779661</v>
      </c>
      <c r="L572" s="370"/>
      <c r="M572" s="370"/>
      <c r="N572" s="370"/>
      <c r="O572" s="370"/>
      <c r="P572" s="370"/>
      <c r="R572" s="368"/>
      <c r="S572" s="368"/>
      <c r="T572" s="126" t="s">
        <v>48</v>
      </c>
    </row>
    <row r="573" spans="2:20" hidden="1" outlineLevel="1">
      <c r="B573" s="199"/>
      <c r="C573" s="199"/>
      <c r="D573" s="387" t="s">
        <v>327</v>
      </c>
      <c r="E573" s="366"/>
      <c r="F573" s="366"/>
      <c r="G573" s="366"/>
      <c r="H573" s="366"/>
      <c r="I573" s="366"/>
      <c r="J573" s="366"/>
      <c r="K573" s="388">
        <v>41.331000000000003</v>
      </c>
      <c r="L573" s="366"/>
      <c r="M573" s="366"/>
      <c r="N573" s="366"/>
      <c r="O573" s="366"/>
      <c r="P573" s="366"/>
      <c r="R573" s="368"/>
      <c r="S573" s="368"/>
      <c r="T573" s="126" t="s">
        <v>48</v>
      </c>
    </row>
    <row r="574" spans="2:20" hidden="1" outlineLevel="1">
      <c r="B574" s="199"/>
      <c r="C574" s="199"/>
      <c r="D574" s="372" t="s">
        <v>302</v>
      </c>
      <c r="E574" s="366"/>
      <c r="F574" s="366"/>
      <c r="G574" s="366"/>
      <c r="H574" s="366"/>
      <c r="I574" s="366"/>
      <c r="J574" s="366"/>
      <c r="K574" s="367"/>
      <c r="L574" s="366"/>
      <c r="M574" s="366"/>
      <c r="N574" s="366"/>
      <c r="O574" s="366"/>
      <c r="P574" s="366"/>
      <c r="R574" s="368"/>
      <c r="S574" s="368"/>
      <c r="T574" s="126" t="s">
        <v>48</v>
      </c>
    </row>
    <row r="575" spans="2:20" hidden="1" outlineLevel="1">
      <c r="B575" s="199"/>
      <c r="C575" s="199"/>
      <c r="D575" s="373" t="s">
        <v>302</v>
      </c>
      <c r="E575" s="366"/>
      <c r="F575" s="366"/>
      <c r="G575" s="366"/>
      <c r="H575" s="366"/>
      <c r="I575" s="366"/>
      <c r="J575" s="366"/>
      <c r="K575" s="374"/>
      <c r="L575" s="366"/>
      <c r="M575" s="366"/>
      <c r="N575" s="366"/>
      <c r="O575" s="366"/>
      <c r="P575" s="366"/>
      <c r="R575" s="368"/>
      <c r="S575" s="368"/>
      <c r="T575" s="126" t="s">
        <v>48</v>
      </c>
    </row>
    <row r="576" spans="2:20" ht="15.75" hidden="1" outlineLevel="1" thickBot="1">
      <c r="B576" s="199"/>
      <c r="C576" s="199"/>
      <c r="D576" s="375" t="s">
        <v>303</v>
      </c>
      <c r="E576" s="386">
        <v>2027</v>
      </c>
      <c r="F576" s="377"/>
      <c r="G576" s="366"/>
      <c r="H576" s="366"/>
      <c r="I576" s="366"/>
      <c r="J576" s="366"/>
      <c r="K576" s="367"/>
      <c r="L576" s="366"/>
      <c r="M576" s="366"/>
      <c r="N576" s="366"/>
      <c r="O576" s="366"/>
      <c r="P576" s="366"/>
      <c r="R576" s="368"/>
      <c r="S576" s="368"/>
      <c r="T576" s="126" t="s">
        <v>48</v>
      </c>
    </row>
    <row r="577" spans="2:20" ht="15.75" hidden="1" outlineLevel="1" thickBot="1">
      <c r="B577" s="199"/>
      <c r="C577" s="199"/>
      <c r="D577" s="375" t="s">
        <v>304</v>
      </c>
      <c r="E577" s="378" t="s">
        <v>328</v>
      </c>
      <c r="F577" s="390">
        <v>0.02</v>
      </c>
      <c r="G577" s="366"/>
      <c r="H577" s="366"/>
      <c r="I577" s="366"/>
      <c r="J577" s="366"/>
      <c r="K577" s="367"/>
      <c r="L577" s="366"/>
      <c r="M577" s="366"/>
      <c r="N577" s="366"/>
      <c r="O577" s="366"/>
      <c r="P577" s="366"/>
      <c r="R577" s="368"/>
      <c r="S577" s="368"/>
      <c r="T577" s="126" t="s">
        <v>48</v>
      </c>
    </row>
    <row r="578" spans="2:20" ht="15.75" hidden="1" outlineLevel="1" thickBot="1">
      <c r="B578" s="199"/>
      <c r="C578" s="199"/>
      <c r="D578" s="375" t="s">
        <v>306</v>
      </c>
      <c r="E578" s="379" t="s">
        <v>329</v>
      </c>
      <c r="F578" s="380"/>
      <c r="G578" s="366"/>
      <c r="H578" s="366"/>
      <c r="I578" s="366"/>
      <c r="J578" s="366"/>
      <c r="K578" s="367"/>
      <c r="L578" s="366"/>
      <c r="M578" s="366"/>
      <c r="N578" s="366"/>
      <c r="O578" s="366"/>
      <c r="P578" s="366"/>
      <c r="R578" s="368"/>
      <c r="S578" s="368"/>
      <c r="T578" s="126" t="s">
        <v>48</v>
      </c>
    </row>
    <row r="579" spans="2:20" hidden="1" outlineLevel="1">
      <c r="B579" s="199"/>
      <c r="C579" s="199"/>
      <c r="D579" s="375" t="s">
        <v>308</v>
      </c>
      <c r="E579" s="366"/>
      <c r="F579" s="366"/>
      <c r="G579" s="366"/>
      <c r="H579" s="366"/>
      <c r="I579" s="366"/>
      <c r="J579" s="366"/>
      <c r="K579" s="367"/>
      <c r="L579" s="366"/>
      <c r="M579" s="366"/>
      <c r="N579" s="366"/>
      <c r="O579" s="366"/>
      <c r="P579" s="366"/>
      <c r="R579" s="368"/>
      <c r="S579" s="368"/>
      <c r="T579" s="126" t="s">
        <v>48</v>
      </c>
    </row>
    <row r="580" spans="2:20" hidden="1" outlineLevel="1">
      <c r="B580" s="199"/>
      <c r="C580" s="199"/>
      <c r="D580" s="381"/>
      <c r="E580" s="366"/>
      <c r="F580" s="366"/>
      <c r="G580" s="366"/>
      <c r="H580" s="366"/>
      <c r="I580" s="366"/>
      <c r="J580" s="366"/>
      <c r="K580" s="385"/>
      <c r="L580" s="366"/>
      <c r="M580" s="366"/>
      <c r="N580" s="366"/>
      <c r="O580" s="366"/>
      <c r="P580" s="366"/>
      <c r="R580" s="368"/>
      <c r="S580" s="368"/>
      <c r="T580" s="126" t="s">
        <v>48</v>
      </c>
    </row>
    <row r="581" spans="2:20" hidden="1" outlineLevel="1">
      <c r="B581" s="199"/>
      <c r="C581" s="199"/>
      <c r="D581" s="369" t="s">
        <v>333</v>
      </c>
      <c r="E581" s="370"/>
      <c r="F581" s="370"/>
      <c r="G581" s="370"/>
      <c r="H581" s="370"/>
      <c r="I581" s="370"/>
      <c r="J581" s="370"/>
      <c r="K581" s="371">
        <v>37.808372881355929</v>
      </c>
      <c r="L581" s="370"/>
      <c r="M581" s="370"/>
      <c r="N581" s="370"/>
      <c r="O581" s="370"/>
      <c r="P581" s="370"/>
      <c r="R581" s="368"/>
      <c r="S581" s="368"/>
      <c r="T581" s="126" t="s">
        <v>48</v>
      </c>
    </row>
    <row r="582" spans="2:20" hidden="1" outlineLevel="1">
      <c r="B582" s="199"/>
      <c r="C582" s="199"/>
      <c r="D582" s="387" t="s">
        <v>327</v>
      </c>
      <c r="E582" s="366"/>
      <c r="F582" s="366"/>
      <c r="G582" s="366"/>
      <c r="H582" s="366"/>
      <c r="I582" s="366"/>
      <c r="J582" s="366"/>
      <c r="K582" s="388">
        <v>11.558</v>
      </c>
      <c r="L582" s="366"/>
      <c r="M582" s="366"/>
      <c r="N582" s="366"/>
      <c r="O582" s="366"/>
      <c r="P582" s="366"/>
      <c r="R582" s="368"/>
      <c r="S582" s="368"/>
      <c r="T582" s="126" t="s">
        <v>48</v>
      </c>
    </row>
    <row r="583" spans="2:20" hidden="1" outlineLevel="1">
      <c r="B583" s="199"/>
      <c r="C583" s="199"/>
      <c r="D583" s="372" t="s">
        <v>302</v>
      </c>
      <c r="E583" s="366"/>
      <c r="F583" s="366"/>
      <c r="G583" s="366"/>
      <c r="H583" s="366"/>
      <c r="I583" s="366"/>
      <c r="J583" s="366"/>
      <c r="K583" s="367"/>
      <c r="L583" s="366"/>
      <c r="M583" s="366"/>
      <c r="N583" s="366"/>
      <c r="O583" s="366"/>
      <c r="P583" s="366"/>
      <c r="R583" s="368"/>
      <c r="S583" s="368"/>
      <c r="T583" s="126" t="s">
        <v>48</v>
      </c>
    </row>
    <row r="584" spans="2:20" hidden="1" outlineLevel="1">
      <c r="B584" s="199"/>
      <c r="C584" s="199"/>
      <c r="D584" s="373" t="s">
        <v>302</v>
      </c>
      <c r="E584" s="366"/>
      <c r="F584" s="366"/>
      <c r="G584" s="366"/>
      <c r="H584" s="366"/>
      <c r="I584" s="366"/>
      <c r="J584" s="366"/>
      <c r="K584" s="374"/>
      <c r="L584" s="366"/>
      <c r="M584" s="366"/>
      <c r="N584" s="366"/>
      <c r="O584" s="366"/>
      <c r="P584" s="366"/>
      <c r="R584" s="368"/>
      <c r="S584" s="368"/>
      <c r="T584" s="126" t="s">
        <v>48</v>
      </c>
    </row>
    <row r="585" spans="2:20" ht="15.75" hidden="1" outlineLevel="1" thickBot="1">
      <c r="B585" s="199"/>
      <c r="C585" s="199"/>
      <c r="D585" s="375" t="s">
        <v>303</v>
      </c>
      <c r="E585" s="386">
        <v>2025</v>
      </c>
      <c r="F585" s="377"/>
      <c r="G585" s="366"/>
      <c r="H585" s="366"/>
      <c r="I585" s="366"/>
      <c r="J585" s="366"/>
      <c r="K585" s="367"/>
      <c r="L585" s="366"/>
      <c r="M585" s="366"/>
      <c r="N585" s="366"/>
      <c r="O585" s="366"/>
      <c r="P585" s="366"/>
      <c r="R585" s="368"/>
      <c r="S585" s="368"/>
      <c r="T585" s="126" t="s">
        <v>48</v>
      </c>
    </row>
    <row r="586" spans="2:20" ht="15.75" hidden="1" outlineLevel="1" thickBot="1">
      <c r="B586" s="199"/>
      <c r="C586" s="199"/>
      <c r="D586" s="375" t="s">
        <v>304</v>
      </c>
      <c r="E586" s="378" t="s">
        <v>328</v>
      </c>
      <c r="F586" s="390">
        <v>0.02</v>
      </c>
      <c r="G586" s="366"/>
      <c r="H586" s="366"/>
      <c r="I586" s="366"/>
      <c r="J586" s="366"/>
      <c r="K586" s="367"/>
      <c r="L586" s="366"/>
      <c r="M586" s="366"/>
      <c r="N586" s="366"/>
      <c r="O586" s="366"/>
      <c r="P586" s="366"/>
      <c r="R586" s="368"/>
      <c r="S586" s="368"/>
      <c r="T586" s="126" t="s">
        <v>48</v>
      </c>
    </row>
    <row r="587" spans="2:20" ht="15.75" hidden="1" outlineLevel="1" thickBot="1">
      <c r="B587" s="199"/>
      <c r="C587" s="199"/>
      <c r="D587" s="375" t="s">
        <v>306</v>
      </c>
      <c r="E587" s="379" t="s">
        <v>329</v>
      </c>
      <c r="F587" s="380"/>
      <c r="G587" s="366"/>
      <c r="H587" s="366"/>
      <c r="I587" s="366"/>
      <c r="J587" s="366"/>
      <c r="K587" s="367"/>
      <c r="L587" s="366"/>
      <c r="M587" s="366"/>
      <c r="N587" s="366"/>
      <c r="O587" s="366"/>
      <c r="P587" s="366"/>
      <c r="R587" s="368"/>
      <c r="S587" s="368"/>
      <c r="T587" s="126" t="s">
        <v>48</v>
      </c>
    </row>
    <row r="588" spans="2:20" hidden="1" outlineLevel="1">
      <c r="B588" s="199"/>
      <c r="C588" s="199"/>
      <c r="D588" s="375" t="s">
        <v>308</v>
      </c>
      <c r="E588" s="366"/>
      <c r="F588" s="366"/>
      <c r="G588" s="366"/>
      <c r="H588" s="366"/>
      <c r="I588" s="366"/>
      <c r="J588" s="366"/>
      <c r="K588" s="367"/>
      <c r="L588" s="366"/>
      <c r="M588" s="366"/>
      <c r="N588" s="366"/>
      <c r="O588" s="366"/>
      <c r="P588" s="366"/>
      <c r="R588" s="368"/>
      <c r="S588" s="368"/>
      <c r="T588" s="126" t="s">
        <v>48</v>
      </c>
    </row>
    <row r="589" spans="2:20" hidden="1" outlineLevel="1">
      <c r="B589" s="199"/>
      <c r="C589" s="199"/>
      <c r="D589" s="381"/>
      <c r="E589" s="366"/>
      <c r="F589" s="366"/>
      <c r="G589" s="366"/>
      <c r="H589" s="366"/>
      <c r="I589" s="366"/>
      <c r="J589" s="366"/>
      <c r="K589" s="385"/>
      <c r="L589" s="366"/>
      <c r="M589" s="366"/>
      <c r="N589" s="366"/>
      <c r="O589" s="366"/>
      <c r="P589" s="366"/>
      <c r="R589" s="368"/>
      <c r="S589" s="368"/>
      <c r="T589" s="126" t="s">
        <v>48</v>
      </c>
    </row>
    <row r="590" spans="2:20" hidden="1" outlineLevel="1">
      <c r="B590" s="199"/>
      <c r="C590" s="199"/>
      <c r="D590" s="369" t="s">
        <v>334</v>
      </c>
      <c r="E590" s="370"/>
      <c r="F590" s="370"/>
      <c r="G590" s="370"/>
      <c r="H590" s="370"/>
      <c r="I590" s="370"/>
      <c r="J590" s="370"/>
      <c r="K590" s="371">
        <v>87.494423728813544</v>
      </c>
      <c r="L590" s="370"/>
      <c r="M590" s="370"/>
      <c r="N590" s="370"/>
      <c r="O590" s="370"/>
      <c r="P590" s="370"/>
      <c r="R590" s="368"/>
      <c r="S590" s="368"/>
      <c r="T590" s="126" t="s">
        <v>48</v>
      </c>
    </row>
    <row r="591" spans="2:20" hidden="1" outlineLevel="1">
      <c r="B591" s="199"/>
      <c r="C591" s="199"/>
      <c r="D591" s="387" t="s">
        <v>327</v>
      </c>
      <c r="E591" s="366"/>
      <c r="F591" s="366"/>
      <c r="G591" s="366"/>
      <c r="H591" s="366"/>
      <c r="I591" s="366"/>
      <c r="J591" s="366"/>
      <c r="K591" s="388">
        <v>26.747</v>
      </c>
      <c r="L591" s="366"/>
      <c r="M591" s="366"/>
      <c r="N591" s="366"/>
      <c r="O591" s="366"/>
      <c r="P591" s="366"/>
      <c r="R591" s="368"/>
      <c r="S591" s="368"/>
      <c r="T591" s="126" t="s">
        <v>48</v>
      </c>
    </row>
    <row r="592" spans="2:20" hidden="1" outlineLevel="1">
      <c r="B592" s="199"/>
      <c r="C592" s="199"/>
      <c r="D592" s="372" t="s">
        <v>302</v>
      </c>
      <c r="E592" s="366"/>
      <c r="F592" s="366"/>
      <c r="G592" s="366"/>
      <c r="H592" s="366"/>
      <c r="I592" s="366"/>
      <c r="J592" s="366"/>
      <c r="K592" s="367"/>
      <c r="L592" s="366"/>
      <c r="M592" s="366"/>
      <c r="N592" s="366"/>
      <c r="O592" s="366"/>
      <c r="P592" s="366"/>
      <c r="R592" s="368"/>
      <c r="S592" s="368"/>
      <c r="T592" s="126" t="s">
        <v>48</v>
      </c>
    </row>
    <row r="593" spans="2:20" hidden="1" outlineLevel="1">
      <c r="B593" s="199"/>
      <c r="C593" s="199"/>
      <c r="D593" s="373" t="s">
        <v>302</v>
      </c>
      <c r="E593" s="366"/>
      <c r="F593" s="366"/>
      <c r="G593" s="366"/>
      <c r="H593" s="366"/>
      <c r="I593" s="366"/>
      <c r="J593" s="366"/>
      <c r="K593" s="374"/>
      <c r="L593" s="366"/>
      <c r="M593" s="366"/>
      <c r="N593" s="366"/>
      <c r="O593" s="366"/>
      <c r="P593" s="366"/>
      <c r="R593" s="368"/>
      <c r="S593" s="368"/>
      <c r="T593" s="126" t="s">
        <v>48</v>
      </c>
    </row>
    <row r="594" spans="2:20" ht="15.75" hidden="1" outlineLevel="1" thickBot="1">
      <c r="B594" s="199"/>
      <c r="C594" s="199"/>
      <c r="D594" s="375" t="s">
        <v>303</v>
      </c>
      <c r="E594" s="386">
        <v>2027</v>
      </c>
      <c r="F594" s="377"/>
      <c r="G594" s="366"/>
      <c r="H594" s="366"/>
      <c r="I594" s="366"/>
      <c r="J594" s="366"/>
      <c r="K594" s="367"/>
      <c r="L594" s="366"/>
      <c r="M594" s="366"/>
      <c r="N594" s="366"/>
      <c r="O594" s="366"/>
      <c r="P594" s="366"/>
      <c r="R594" s="368"/>
      <c r="S594" s="368"/>
      <c r="T594" s="126" t="s">
        <v>48</v>
      </c>
    </row>
    <row r="595" spans="2:20" ht="15.75" hidden="1" outlineLevel="1" thickBot="1">
      <c r="B595" s="199"/>
      <c r="C595" s="199"/>
      <c r="D595" s="375" t="s">
        <v>304</v>
      </c>
      <c r="E595" s="378" t="s">
        <v>328</v>
      </c>
      <c r="F595" s="390">
        <v>0.02</v>
      </c>
      <c r="G595" s="366"/>
      <c r="H595" s="366"/>
      <c r="I595" s="366"/>
      <c r="J595" s="366"/>
      <c r="K595" s="367"/>
      <c r="L595" s="366"/>
      <c r="M595" s="366"/>
      <c r="N595" s="366"/>
      <c r="O595" s="366"/>
      <c r="P595" s="366"/>
      <c r="R595" s="368"/>
      <c r="S595" s="368"/>
      <c r="T595" s="126" t="s">
        <v>48</v>
      </c>
    </row>
    <row r="596" spans="2:20" ht="15.75" hidden="1" outlineLevel="1" thickBot="1">
      <c r="B596" s="199"/>
      <c r="C596" s="199"/>
      <c r="D596" s="375" t="s">
        <v>306</v>
      </c>
      <c r="E596" s="379" t="s">
        <v>329</v>
      </c>
      <c r="F596" s="380"/>
      <c r="G596" s="366"/>
      <c r="H596" s="366"/>
      <c r="I596" s="366"/>
      <c r="J596" s="366"/>
      <c r="K596" s="367"/>
      <c r="L596" s="366"/>
      <c r="M596" s="366"/>
      <c r="N596" s="366"/>
      <c r="O596" s="366"/>
      <c r="P596" s="366"/>
      <c r="R596" s="368"/>
      <c r="S596" s="368"/>
      <c r="T596" s="126" t="s">
        <v>48</v>
      </c>
    </row>
    <row r="597" spans="2:20" hidden="1" outlineLevel="1">
      <c r="B597" s="199"/>
      <c r="C597" s="199"/>
      <c r="D597" s="375" t="s">
        <v>308</v>
      </c>
      <c r="E597" s="366"/>
      <c r="F597" s="366"/>
      <c r="G597" s="366"/>
      <c r="H597" s="366"/>
      <c r="I597" s="366"/>
      <c r="J597" s="366"/>
      <c r="K597" s="367"/>
      <c r="L597" s="366"/>
      <c r="M597" s="366"/>
      <c r="N597" s="366"/>
      <c r="O597" s="366"/>
      <c r="P597" s="366"/>
      <c r="R597" s="368"/>
      <c r="S597" s="368"/>
      <c r="T597" s="126" t="s">
        <v>48</v>
      </c>
    </row>
    <row r="598" spans="2:20" hidden="1" outlineLevel="1">
      <c r="B598" s="199"/>
      <c r="C598" s="199"/>
      <c r="D598" s="381"/>
      <c r="E598" s="366"/>
      <c r="F598" s="366"/>
      <c r="G598" s="366"/>
      <c r="H598" s="366"/>
      <c r="I598" s="366"/>
      <c r="J598" s="366"/>
      <c r="K598" s="385"/>
      <c r="L598" s="366"/>
      <c r="M598" s="366"/>
      <c r="N598" s="366"/>
      <c r="O598" s="366"/>
      <c r="P598" s="366"/>
      <c r="R598" s="368"/>
      <c r="S598" s="368"/>
      <c r="T598" s="126" t="s">
        <v>48</v>
      </c>
    </row>
    <row r="599" spans="2:20" hidden="1" outlineLevel="1">
      <c r="B599" s="199"/>
      <c r="C599" s="199"/>
      <c r="D599" s="369" t="s">
        <v>335</v>
      </c>
      <c r="E599" s="370"/>
      <c r="F599" s="370"/>
      <c r="G599" s="370"/>
      <c r="H599" s="370"/>
      <c r="I599" s="370"/>
      <c r="J599" s="370"/>
      <c r="K599" s="371">
        <v>77.644881355932199</v>
      </c>
      <c r="L599" s="370"/>
      <c r="M599" s="370"/>
      <c r="N599" s="370"/>
      <c r="O599" s="370"/>
      <c r="P599" s="370"/>
      <c r="R599" s="368"/>
      <c r="S599" s="368"/>
      <c r="T599" s="126" t="s">
        <v>48</v>
      </c>
    </row>
    <row r="600" spans="2:20" hidden="1" outlineLevel="1">
      <c r="B600" s="199"/>
      <c r="C600" s="199"/>
      <c r="D600" s="387" t="s">
        <v>327</v>
      </c>
      <c r="E600" s="366"/>
      <c r="F600" s="366"/>
      <c r="G600" s="366"/>
      <c r="H600" s="366"/>
      <c r="I600" s="366"/>
      <c r="J600" s="366"/>
      <c r="K600" s="388">
        <v>23.736000000000001</v>
      </c>
      <c r="L600" s="366"/>
      <c r="M600" s="366"/>
      <c r="N600" s="366"/>
      <c r="O600" s="366"/>
      <c r="P600" s="366"/>
      <c r="R600" s="368"/>
      <c r="S600" s="368"/>
      <c r="T600" s="126" t="s">
        <v>48</v>
      </c>
    </row>
    <row r="601" spans="2:20" hidden="1" outlineLevel="1">
      <c r="B601" s="199"/>
      <c r="C601" s="199"/>
      <c r="D601" s="372" t="s">
        <v>302</v>
      </c>
      <c r="E601" s="366"/>
      <c r="F601" s="366"/>
      <c r="G601" s="366"/>
      <c r="H601" s="366"/>
      <c r="I601" s="366"/>
      <c r="J601" s="366"/>
      <c r="K601" s="367"/>
      <c r="L601" s="366"/>
      <c r="M601" s="366"/>
      <c r="N601" s="366"/>
      <c r="O601" s="366"/>
      <c r="P601" s="366"/>
      <c r="R601" s="368"/>
      <c r="S601" s="368"/>
      <c r="T601" s="126" t="s">
        <v>48</v>
      </c>
    </row>
    <row r="602" spans="2:20" hidden="1" outlineLevel="1">
      <c r="B602" s="199"/>
      <c r="C602" s="199"/>
      <c r="D602" s="373" t="s">
        <v>302</v>
      </c>
      <c r="E602" s="366"/>
      <c r="F602" s="366"/>
      <c r="G602" s="366"/>
      <c r="H602" s="366"/>
      <c r="I602" s="366"/>
      <c r="J602" s="366"/>
      <c r="K602" s="374"/>
      <c r="L602" s="366"/>
      <c r="M602" s="366"/>
      <c r="N602" s="366"/>
      <c r="O602" s="366"/>
      <c r="P602" s="366"/>
      <c r="R602" s="368"/>
      <c r="S602" s="368"/>
      <c r="T602" s="126" t="s">
        <v>48</v>
      </c>
    </row>
    <row r="603" spans="2:20" ht="15.75" hidden="1" outlineLevel="1" thickBot="1">
      <c r="B603" s="199"/>
      <c r="C603" s="199"/>
      <c r="D603" s="375" t="s">
        <v>303</v>
      </c>
      <c r="E603" s="386">
        <v>2028</v>
      </c>
      <c r="F603" s="377"/>
      <c r="G603" s="366"/>
      <c r="H603" s="366"/>
      <c r="I603" s="366"/>
      <c r="J603" s="366"/>
      <c r="K603" s="367"/>
      <c r="L603" s="366"/>
      <c r="M603" s="366"/>
      <c r="N603" s="366"/>
      <c r="O603" s="366"/>
      <c r="P603" s="366"/>
      <c r="R603" s="368"/>
      <c r="S603" s="368"/>
      <c r="T603" s="126" t="s">
        <v>48</v>
      </c>
    </row>
    <row r="604" spans="2:20" ht="15.75" hidden="1" outlineLevel="1" thickBot="1">
      <c r="B604" s="199"/>
      <c r="C604" s="199"/>
      <c r="D604" s="375" t="s">
        <v>304</v>
      </c>
      <c r="E604" s="378" t="s">
        <v>328</v>
      </c>
      <c r="F604" s="390">
        <v>0.02</v>
      </c>
      <c r="G604" s="366"/>
      <c r="H604" s="366"/>
      <c r="I604" s="366"/>
      <c r="J604" s="366"/>
      <c r="K604" s="367"/>
      <c r="L604" s="366"/>
      <c r="M604" s="366"/>
      <c r="N604" s="366"/>
      <c r="O604" s="366"/>
      <c r="P604" s="366"/>
      <c r="R604" s="368"/>
      <c r="S604" s="368"/>
      <c r="T604" s="126" t="s">
        <v>48</v>
      </c>
    </row>
    <row r="605" spans="2:20" ht="15.75" hidden="1" outlineLevel="1" thickBot="1">
      <c r="B605" s="199"/>
      <c r="C605" s="199"/>
      <c r="D605" s="375" t="s">
        <v>306</v>
      </c>
      <c r="E605" s="379" t="s">
        <v>329</v>
      </c>
      <c r="F605" s="380"/>
      <c r="G605" s="366"/>
      <c r="H605" s="366"/>
      <c r="I605" s="366"/>
      <c r="J605" s="366"/>
      <c r="K605" s="367"/>
      <c r="L605" s="366"/>
      <c r="M605" s="366"/>
      <c r="N605" s="366"/>
      <c r="O605" s="366"/>
      <c r="P605" s="366"/>
      <c r="R605" s="368"/>
      <c r="S605" s="368"/>
      <c r="T605" s="126" t="s">
        <v>48</v>
      </c>
    </row>
    <row r="606" spans="2:20" hidden="1" outlineLevel="1">
      <c r="B606" s="199"/>
      <c r="C606" s="199"/>
      <c r="D606" s="375" t="s">
        <v>308</v>
      </c>
      <c r="E606" s="366"/>
      <c r="F606" s="366"/>
      <c r="G606" s="366"/>
      <c r="H606" s="366"/>
      <c r="I606" s="366"/>
      <c r="J606" s="366"/>
      <c r="K606" s="367"/>
      <c r="L606" s="366"/>
      <c r="M606" s="366"/>
      <c r="N606" s="366"/>
      <c r="O606" s="366"/>
      <c r="P606" s="366"/>
      <c r="R606" s="368"/>
      <c r="S606" s="368"/>
      <c r="T606" s="126" t="s">
        <v>48</v>
      </c>
    </row>
    <row r="607" spans="2:20" hidden="1" outlineLevel="1">
      <c r="B607" s="199"/>
      <c r="C607" s="199"/>
      <c r="D607" s="381"/>
      <c r="E607" s="366"/>
      <c r="F607" s="366"/>
      <c r="G607" s="366"/>
      <c r="H607" s="366"/>
      <c r="I607" s="366"/>
      <c r="J607" s="366"/>
      <c r="K607" s="385"/>
      <c r="L607" s="366"/>
      <c r="M607" s="366"/>
      <c r="N607" s="366"/>
      <c r="O607" s="366"/>
      <c r="P607" s="366"/>
      <c r="R607" s="368"/>
      <c r="S607" s="368"/>
      <c r="T607" s="126" t="s">
        <v>48</v>
      </c>
    </row>
    <row r="608" spans="2:20" hidden="1" outlineLevel="1">
      <c r="B608" s="199"/>
      <c r="C608" s="199"/>
      <c r="D608" s="369" t="s">
        <v>336</v>
      </c>
      <c r="E608" s="370"/>
      <c r="F608" s="370"/>
      <c r="G608" s="370"/>
      <c r="H608" s="370"/>
      <c r="I608" s="370"/>
      <c r="J608" s="370"/>
      <c r="K608" s="371">
        <v>0</v>
      </c>
      <c r="L608" s="370"/>
      <c r="M608" s="370"/>
      <c r="N608" s="370"/>
      <c r="O608" s="370"/>
      <c r="P608" s="370"/>
      <c r="R608" s="368"/>
      <c r="S608" s="368"/>
      <c r="T608" s="126" t="s">
        <v>48</v>
      </c>
    </row>
    <row r="609" spans="2:20" hidden="1" outlineLevel="1">
      <c r="B609" s="199"/>
      <c r="C609" s="199"/>
      <c r="D609" s="387" t="s">
        <v>337</v>
      </c>
      <c r="E609" s="366"/>
      <c r="F609" s="366"/>
      <c r="G609" s="366"/>
      <c r="H609" s="366"/>
      <c r="I609" s="366"/>
      <c r="J609" s="366"/>
      <c r="K609" s="388">
        <v>0</v>
      </c>
      <c r="L609" s="366"/>
      <c r="M609" s="366"/>
      <c r="N609" s="366"/>
      <c r="O609" s="366"/>
      <c r="P609" s="366"/>
      <c r="R609" s="368"/>
      <c r="S609" s="368"/>
      <c r="T609" s="126" t="s">
        <v>48</v>
      </c>
    </row>
    <row r="610" spans="2:20" hidden="1" outlineLevel="1">
      <c r="B610" s="199"/>
      <c r="C610" s="199"/>
      <c r="D610" s="372" t="s">
        <v>302</v>
      </c>
      <c r="E610" s="366"/>
      <c r="F610" s="366"/>
      <c r="G610" s="366"/>
      <c r="H610" s="366"/>
      <c r="I610" s="366"/>
      <c r="J610" s="366"/>
      <c r="K610" s="367"/>
      <c r="L610" s="366"/>
      <c r="M610" s="366"/>
      <c r="N610" s="366"/>
      <c r="O610" s="366"/>
      <c r="P610" s="366"/>
      <c r="R610" s="368"/>
      <c r="S610" s="368"/>
      <c r="T610" s="126" t="s">
        <v>48</v>
      </c>
    </row>
    <row r="611" spans="2:20" hidden="1" outlineLevel="1">
      <c r="B611" s="199"/>
      <c r="C611" s="199"/>
      <c r="D611" s="373" t="s">
        <v>302</v>
      </c>
      <c r="E611" s="366"/>
      <c r="F611" s="366"/>
      <c r="G611" s="366"/>
      <c r="H611" s="366"/>
      <c r="I611" s="366"/>
      <c r="J611" s="366"/>
      <c r="K611" s="374"/>
      <c r="L611" s="366"/>
      <c r="M611" s="366"/>
      <c r="N611" s="366"/>
      <c r="O611" s="366"/>
      <c r="P611" s="366"/>
      <c r="R611" s="368"/>
      <c r="S611" s="368"/>
      <c r="T611" s="126" t="s">
        <v>48</v>
      </c>
    </row>
    <row r="612" spans="2:20" ht="15.75" hidden="1" outlineLevel="1" thickBot="1">
      <c r="B612" s="199"/>
      <c r="C612" s="199"/>
      <c r="D612" s="375" t="s">
        <v>303</v>
      </c>
      <c r="E612" s="386">
        <v>2025</v>
      </c>
      <c r="F612" s="377" t="s">
        <v>338</v>
      </c>
      <c r="G612" s="366"/>
      <c r="H612" s="366"/>
      <c r="I612" s="366"/>
      <c r="J612" s="366"/>
      <c r="K612" s="367"/>
      <c r="L612" s="366"/>
      <c r="M612" s="366"/>
      <c r="N612" s="366"/>
      <c r="O612" s="366"/>
      <c r="P612" s="366"/>
      <c r="R612" s="368"/>
      <c r="S612" s="368"/>
      <c r="T612" s="126" t="s">
        <v>48</v>
      </c>
    </row>
    <row r="613" spans="2:20" ht="15.75" hidden="1" outlineLevel="1" thickBot="1">
      <c r="B613" s="199"/>
      <c r="C613" s="199"/>
      <c r="D613" s="375" t="s">
        <v>304</v>
      </c>
      <c r="E613" s="378" t="s">
        <v>328</v>
      </c>
      <c r="F613" s="390">
        <v>0.02</v>
      </c>
      <c r="G613" s="366"/>
      <c r="H613" s="366"/>
      <c r="I613" s="366"/>
      <c r="J613" s="366"/>
      <c r="K613" s="367"/>
      <c r="L613" s="366"/>
      <c r="M613" s="366"/>
      <c r="N613" s="366"/>
      <c r="O613" s="366"/>
      <c r="P613" s="366"/>
      <c r="R613" s="368"/>
      <c r="S613" s="368"/>
      <c r="T613" s="126" t="s">
        <v>48</v>
      </c>
    </row>
    <row r="614" spans="2:20" ht="15.75" hidden="1" outlineLevel="1" thickBot="1">
      <c r="B614" s="199"/>
      <c r="C614" s="199"/>
      <c r="D614" s="375" t="s">
        <v>306</v>
      </c>
      <c r="E614" s="379" t="s">
        <v>329</v>
      </c>
      <c r="F614" s="380"/>
      <c r="G614" s="366"/>
      <c r="H614" s="366"/>
      <c r="I614" s="366"/>
      <c r="J614" s="366"/>
      <c r="K614" s="367"/>
      <c r="L614" s="366"/>
      <c r="M614" s="366"/>
      <c r="N614" s="366"/>
      <c r="O614" s="366"/>
      <c r="P614" s="366"/>
      <c r="R614" s="368"/>
      <c r="S614" s="368"/>
      <c r="T614" s="126" t="s">
        <v>48</v>
      </c>
    </row>
    <row r="615" spans="2:20" hidden="1" outlineLevel="1">
      <c r="B615" s="199"/>
      <c r="C615" s="199"/>
      <c r="D615" s="375" t="s">
        <v>308</v>
      </c>
      <c r="E615" s="366"/>
      <c r="F615" s="366"/>
      <c r="G615" s="366"/>
      <c r="H615" s="366"/>
      <c r="I615" s="366"/>
      <c r="J615" s="366"/>
      <c r="K615" s="367"/>
      <c r="L615" s="366"/>
      <c r="M615" s="366"/>
      <c r="N615" s="366"/>
      <c r="O615" s="366"/>
      <c r="P615" s="366"/>
      <c r="R615" s="368"/>
      <c r="S615" s="368"/>
      <c r="T615" s="126" t="s">
        <v>48</v>
      </c>
    </row>
    <row r="616" spans="2:20" hidden="1" outlineLevel="1">
      <c r="B616" s="199"/>
      <c r="C616" s="199"/>
      <c r="D616" s="381"/>
      <c r="E616" s="366"/>
      <c r="F616" s="366"/>
      <c r="G616" s="366"/>
      <c r="H616" s="366"/>
      <c r="I616" s="366"/>
      <c r="J616" s="366"/>
      <c r="K616" s="385"/>
      <c r="L616" s="366"/>
      <c r="M616" s="366"/>
      <c r="N616" s="366"/>
      <c r="O616" s="366"/>
      <c r="P616" s="366"/>
      <c r="R616" s="368"/>
      <c r="S616" s="368"/>
      <c r="T616" s="126" t="s">
        <v>48</v>
      </c>
    </row>
    <row r="617" spans="2:20" hidden="1" outlineLevel="1">
      <c r="B617" s="199"/>
      <c r="C617" s="199"/>
      <c r="D617" s="369" t="s">
        <v>339</v>
      </c>
      <c r="E617" s="370"/>
      <c r="F617" s="370"/>
      <c r="G617" s="370"/>
      <c r="H617" s="370"/>
      <c r="I617" s="370"/>
      <c r="J617" s="370"/>
      <c r="K617" s="371">
        <v>37970.856901818181</v>
      </c>
      <c r="L617" s="370"/>
      <c r="M617" s="370"/>
      <c r="N617" s="370"/>
      <c r="O617" s="370"/>
      <c r="P617" s="370"/>
      <c r="R617" s="368"/>
      <c r="S617" s="368"/>
      <c r="T617" s="126" t="s">
        <v>48</v>
      </c>
    </row>
    <row r="618" spans="2:20" hidden="1" outlineLevel="1">
      <c r="B618" s="199"/>
      <c r="C618" s="199"/>
      <c r="D618" s="387" t="s">
        <v>337</v>
      </c>
      <c r="E618" s="366"/>
      <c r="F618" s="366"/>
      <c r="G618" s="366"/>
      <c r="H618" s="366"/>
      <c r="I618" s="366"/>
      <c r="J618" s="366"/>
      <c r="K618" s="388">
        <v>50.463999999999999</v>
      </c>
      <c r="L618" s="366"/>
      <c r="M618" s="366"/>
      <c r="N618" s="366"/>
      <c r="O618" s="366"/>
      <c r="P618" s="366"/>
      <c r="R618" s="368"/>
      <c r="S618" s="368"/>
      <c r="T618" s="126" t="s">
        <v>48</v>
      </c>
    </row>
    <row r="619" spans="2:20" hidden="1" outlineLevel="1">
      <c r="B619" s="199"/>
      <c r="C619" s="199"/>
      <c r="D619" s="372" t="s">
        <v>302</v>
      </c>
      <c r="E619" s="366"/>
      <c r="F619" s="366"/>
      <c r="G619" s="366"/>
      <c r="H619" s="366"/>
      <c r="I619" s="366"/>
      <c r="J619" s="366"/>
      <c r="K619" s="367"/>
      <c r="L619" s="366"/>
      <c r="M619" s="366"/>
      <c r="N619" s="366"/>
      <c r="O619" s="366"/>
      <c r="P619" s="366"/>
      <c r="R619" s="368"/>
      <c r="S619" s="368"/>
      <c r="T619" s="126" t="s">
        <v>48</v>
      </c>
    </row>
    <row r="620" spans="2:20" hidden="1" outlineLevel="1">
      <c r="B620" s="199"/>
      <c r="C620" s="199"/>
      <c r="D620" s="373" t="s">
        <v>302</v>
      </c>
      <c r="E620" s="366"/>
      <c r="F620" s="366"/>
      <c r="G620" s="366"/>
      <c r="H620" s="366"/>
      <c r="I620" s="366"/>
      <c r="J620" s="366"/>
      <c r="K620" s="374"/>
      <c r="L620" s="366"/>
      <c r="M620" s="366"/>
      <c r="N620" s="366"/>
      <c r="O620" s="366"/>
      <c r="P620" s="366"/>
      <c r="R620" s="368"/>
      <c r="S620" s="368"/>
      <c r="T620" s="126" t="s">
        <v>48</v>
      </c>
    </row>
    <row r="621" spans="2:20" ht="15.75" hidden="1" outlineLevel="1" thickBot="1">
      <c r="B621" s="199"/>
      <c r="C621" s="199"/>
      <c r="D621" s="375" t="s">
        <v>303</v>
      </c>
      <c r="E621" s="386">
        <v>2027</v>
      </c>
      <c r="F621" s="377"/>
      <c r="G621" s="366"/>
      <c r="H621" s="366"/>
      <c r="I621" s="366"/>
      <c r="J621" s="366"/>
      <c r="K621" s="367"/>
      <c r="L621" s="366"/>
      <c r="M621" s="366"/>
      <c r="N621" s="366"/>
      <c r="O621" s="366"/>
      <c r="P621" s="366"/>
      <c r="R621" s="368"/>
      <c r="S621" s="368"/>
      <c r="T621" s="126" t="s">
        <v>48</v>
      </c>
    </row>
    <row r="622" spans="2:20" ht="15.75" hidden="1" outlineLevel="1" thickBot="1">
      <c r="B622" s="199"/>
      <c r="C622" s="199"/>
      <c r="D622" s="375" t="s">
        <v>304</v>
      </c>
      <c r="E622" s="378" t="s">
        <v>340</v>
      </c>
      <c r="F622" s="390">
        <v>0.03</v>
      </c>
      <c r="G622" s="366"/>
      <c r="H622" s="366"/>
      <c r="I622" s="366"/>
      <c r="J622" s="366"/>
      <c r="K622" s="367"/>
      <c r="L622" s="366"/>
      <c r="M622" s="366"/>
      <c r="N622" s="366"/>
      <c r="O622" s="366"/>
      <c r="P622" s="366"/>
      <c r="R622" s="368"/>
      <c r="S622" s="368"/>
      <c r="T622" s="126" t="s">
        <v>48</v>
      </c>
    </row>
    <row r="623" spans="2:20" ht="15.75" hidden="1" outlineLevel="1" thickBot="1">
      <c r="B623" s="199"/>
      <c r="C623" s="199"/>
      <c r="D623" s="375" t="s">
        <v>306</v>
      </c>
      <c r="E623" s="379" t="s">
        <v>341</v>
      </c>
      <c r="F623" s="380"/>
      <c r="G623" s="366"/>
      <c r="H623" s="366"/>
      <c r="I623" s="366"/>
      <c r="J623" s="366"/>
      <c r="K623" s="367"/>
      <c r="L623" s="366"/>
      <c r="M623" s="366"/>
      <c r="N623" s="366"/>
      <c r="O623" s="366"/>
      <c r="P623" s="366"/>
      <c r="R623" s="368"/>
      <c r="S623" s="368"/>
      <c r="T623" s="126" t="s">
        <v>48</v>
      </c>
    </row>
    <row r="624" spans="2:20" hidden="1" outlineLevel="1">
      <c r="B624" s="199"/>
      <c r="C624" s="199"/>
      <c r="D624" s="375" t="s">
        <v>308</v>
      </c>
      <c r="E624" s="366"/>
      <c r="F624" s="366"/>
      <c r="G624" s="366"/>
      <c r="H624" s="366"/>
      <c r="I624" s="366"/>
      <c r="J624" s="366"/>
      <c r="K624" s="367"/>
      <c r="L624" s="366"/>
      <c r="M624" s="366"/>
      <c r="N624" s="366"/>
      <c r="O624" s="366"/>
      <c r="P624" s="366"/>
      <c r="R624" s="368"/>
      <c r="S624" s="368"/>
      <c r="T624" s="126" t="s">
        <v>48</v>
      </c>
    </row>
    <row r="625" spans="2:20" hidden="1" outlineLevel="1">
      <c r="B625" s="199"/>
      <c r="C625" s="199"/>
      <c r="D625" s="381"/>
      <c r="E625" s="366"/>
      <c r="F625" s="366"/>
      <c r="G625" s="366"/>
      <c r="H625" s="366"/>
      <c r="I625" s="366"/>
      <c r="J625" s="366"/>
      <c r="K625" s="385"/>
      <c r="L625" s="366"/>
      <c r="M625" s="366"/>
      <c r="N625" s="366"/>
      <c r="O625" s="366"/>
      <c r="P625" s="366"/>
      <c r="R625" s="368"/>
      <c r="S625" s="368"/>
      <c r="T625" s="126" t="s">
        <v>48</v>
      </c>
    </row>
    <row r="626" spans="2:20" hidden="1" outlineLevel="1">
      <c r="B626" s="199"/>
      <c r="C626" s="199"/>
      <c r="D626" s="369" t="s">
        <v>342</v>
      </c>
      <c r="E626" s="370"/>
      <c r="F626" s="370"/>
      <c r="G626" s="370"/>
      <c r="H626" s="370"/>
      <c r="I626" s="370"/>
      <c r="J626" s="370"/>
      <c r="K626" s="371">
        <v>39985.124179999999</v>
      </c>
      <c r="L626" s="370"/>
      <c r="M626" s="370"/>
      <c r="N626" s="370"/>
      <c r="O626" s="370"/>
      <c r="P626" s="370"/>
      <c r="R626" s="368"/>
      <c r="S626" s="368"/>
      <c r="T626" s="126" t="s">
        <v>48</v>
      </c>
    </row>
    <row r="627" spans="2:20" hidden="1" outlineLevel="1">
      <c r="B627" s="199"/>
      <c r="C627" s="199"/>
      <c r="D627" s="387" t="s">
        <v>337</v>
      </c>
      <c r="E627" s="366"/>
      <c r="F627" s="366"/>
      <c r="G627" s="366"/>
      <c r="H627" s="366"/>
      <c r="I627" s="366"/>
      <c r="J627" s="366"/>
      <c r="K627" s="388">
        <v>53.140999999999998</v>
      </c>
      <c r="L627" s="366"/>
      <c r="M627" s="366"/>
      <c r="N627" s="366"/>
      <c r="O627" s="366"/>
      <c r="P627" s="366"/>
      <c r="R627" s="368"/>
      <c r="S627" s="368"/>
      <c r="T627" s="126" t="s">
        <v>48</v>
      </c>
    </row>
    <row r="628" spans="2:20" hidden="1" outlineLevel="1">
      <c r="B628" s="199"/>
      <c r="C628" s="199"/>
      <c r="D628" s="372" t="s">
        <v>302</v>
      </c>
      <c r="E628" s="366"/>
      <c r="F628" s="366"/>
      <c r="G628" s="366"/>
      <c r="H628" s="366"/>
      <c r="I628" s="366"/>
      <c r="J628" s="366"/>
      <c r="K628" s="367"/>
      <c r="L628" s="366"/>
      <c r="M628" s="366"/>
      <c r="N628" s="366"/>
      <c r="O628" s="366"/>
      <c r="P628" s="366"/>
      <c r="R628" s="368"/>
      <c r="S628" s="368"/>
      <c r="T628" s="126" t="s">
        <v>48</v>
      </c>
    </row>
    <row r="629" spans="2:20" hidden="1" outlineLevel="1">
      <c r="B629" s="199"/>
      <c r="C629" s="199"/>
      <c r="D629" s="373" t="s">
        <v>302</v>
      </c>
      <c r="E629" s="366"/>
      <c r="F629" s="366"/>
      <c r="G629" s="366"/>
      <c r="H629" s="366"/>
      <c r="I629" s="366"/>
      <c r="J629" s="366"/>
      <c r="K629" s="374"/>
      <c r="L629" s="366"/>
      <c r="M629" s="366"/>
      <c r="N629" s="366"/>
      <c r="O629" s="366"/>
      <c r="P629" s="366"/>
      <c r="R629" s="368"/>
      <c r="S629" s="368"/>
      <c r="T629" s="126" t="s">
        <v>48</v>
      </c>
    </row>
    <row r="630" spans="2:20" ht="15.75" hidden="1" outlineLevel="1" thickBot="1">
      <c r="B630" s="199"/>
      <c r="C630" s="199"/>
      <c r="D630" s="375" t="s">
        <v>303</v>
      </c>
      <c r="E630" s="386">
        <v>2029</v>
      </c>
      <c r="F630" s="377"/>
      <c r="G630" s="366"/>
      <c r="H630" s="366"/>
      <c r="I630" s="366"/>
      <c r="J630" s="366"/>
      <c r="K630" s="367"/>
      <c r="L630" s="366"/>
      <c r="M630" s="366"/>
      <c r="N630" s="366"/>
      <c r="O630" s="366"/>
      <c r="P630" s="366"/>
      <c r="R630" s="368"/>
      <c r="S630" s="368"/>
      <c r="T630" s="126" t="s">
        <v>48</v>
      </c>
    </row>
    <row r="631" spans="2:20" ht="15.75" hidden="1" outlineLevel="1" thickBot="1">
      <c r="B631" s="199"/>
      <c r="C631" s="199"/>
      <c r="D631" s="375" t="s">
        <v>304</v>
      </c>
      <c r="E631" s="378" t="s">
        <v>340</v>
      </c>
      <c r="F631" s="390">
        <v>2.9499999999999998E-2</v>
      </c>
      <c r="G631" s="366"/>
      <c r="H631" s="366"/>
      <c r="I631" s="366"/>
      <c r="J631" s="366"/>
      <c r="K631" s="367"/>
      <c r="L631" s="366"/>
      <c r="M631" s="366"/>
      <c r="N631" s="366"/>
      <c r="O631" s="366"/>
      <c r="P631" s="366"/>
      <c r="R631" s="368"/>
      <c r="S631" s="368"/>
      <c r="T631" s="126" t="s">
        <v>48</v>
      </c>
    </row>
    <row r="632" spans="2:20" ht="15.75" hidden="1" outlineLevel="1" thickBot="1">
      <c r="B632" s="199"/>
      <c r="C632" s="199"/>
      <c r="D632" s="375" t="s">
        <v>306</v>
      </c>
      <c r="E632" s="379" t="s">
        <v>341</v>
      </c>
      <c r="F632" s="380"/>
      <c r="G632" s="366"/>
      <c r="H632" s="366"/>
      <c r="I632" s="366"/>
      <c r="J632" s="366"/>
      <c r="K632" s="367"/>
      <c r="L632" s="366"/>
      <c r="M632" s="366"/>
      <c r="N632" s="366"/>
      <c r="O632" s="366"/>
      <c r="P632" s="366"/>
      <c r="R632" s="368"/>
      <c r="S632" s="368"/>
      <c r="T632" s="126" t="s">
        <v>48</v>
      </c>
    </row>
    <row r="633" spans="2:20" hidden="1" outlineLevel="1">
      <c r="B633" s="199"/>
      <c r="C633" s="199"/>
      <c r="D633" s="375" t="s">
        <v>308</v>
      </c>
      <c r="E633" s="366"/>
      <c r="F633" s="366"/>
      <c r="G633" s="366"/>
      <c r="H633" s="366"/>
      <c r="I633" s="366"/>
      <c r="J633" s="366"/>
      <c r="K633" s="367"/>
      <c r="L633" s="366"/>
      <c r="M633" s="366"/>
      <c r="N633" s="366"/>
      <c r="O633" s="366"/>
      <c r="P633" s="366"/>
      <c r="R633" s="368"/>
      <c r="S633" s="368"/>
      <c r="T633" s="126" t="s">
        <v>48</v>
      </c>
    </row>
    <row r="634" spans="2:20" hidden="1" outlineLevel="1">
      <c r="B634" s="199"/>
      <c r="C634" s="199"/>
      <c r="D634" s="381"/>
      <c r="E634" s="366"/>
      <c r="F634" s="366"/>
      <c r="G634" s="366"/>
      <c r="H634" s="366"/>
      <c r="I634" s="366"/>
      <c r="J634" s="366"/>
      <c r="K634" s="385"/>
      <c r="L634" s="366"/>
      <c r="M634" s="366"/>
      <c r="N634" s="366"/>
      <c r="O634" s="366"/>
      <c r="P634" s="366"/>
      <c r="R634" s="368"/>
      <c r="S634" s="368"/>
      <c r="T634" s="126" t="s">
        <v>48</v>
      </c>
    </row>
    <row r="635" spans="2:20" hidden="1" outlineLevel="1">
      <c r="B635" s="199"/>
      <c r="C635" s="199"/>
      <c r="D635" s="369" t="s">
        <v>343</v>
      </c>
      <c r="E635" s="370"/>
      <c r="F635" s="370"/>
      <c r="G635" s="370"/>
      <c r="H635" s="370"/>
      <c r="I635" s="370"/>
      <c r="J635" s="370"/>
      <c r="K635" s="371">
        <v>22933.45251090909</v>
      </c>
      <c r="L635" s="370"/>
      <c r="M635" s="370"/>
      <c r="N635" s="370"/>
      <c r="O635" s="370"/>
      <c r="P635" s="370"/>
      <c r="R635" s="368"/>
      <c r="S635" s="368"/>
      <c r="T635" s="126" t="s">
        <v>48</v>
      </c>
    </row>
    <row r="636" spans="2:20" hidden="1" outlineLevel="1">
      <c r="B636" s="199"/>
      <c r="C636" s="199"/>
      <c r="D636" s="387" t="s">
        <v>337</v>
      </c>
      <c r="E636" s="366"/>
      <c r="F636" s="366"/>
      <c r="G636" s="366"/>
      <c r="H636" s="366"/>
      <c r="I636" s="366"/>
      <c r="J636" s="366"/>
      <c r="K636" s="388">
        <v>30.478999999999999</v>
      </c>
      <c r="L636" s="366"/>
      <c r="M636" s="366"/>
      <c r="N636" s="366"/>
      <c r="O636" s="366"/>
      <c r="P636" s="366"/>
      <c r="R636" s="368"/>
      <c r="S636" s="368"/>
      <c r="T636" s="126" t="s">
        <v>48</v>
      </c>
    </row>
    <row r="637" spans="2:20" hidden="1" outlineLevel="1">
      <c r="B637" s="199"/>
      <c r="C637" s="199"/>
      <c r="D637" s="372" t="s">
        <v>302</v>
      </c>
      <c r="E637" s="366"/>
      <c r="F637" s="366"/>
      <c r="G637" s="366"/>
      <c r="H637" s="366"/>
      <c r="I637" s="366"/>
      <c r="J637" s="366"/>
      <c r="K637" s="367"/>
      <c r="L637" s="366"/>
      <c r="M637" s="366"/>
      <c r="N637" s="366"/>
      <c r="O637" s="366"/>
      <c r="P637" s="366"/>
      <c r="R637" s="368"/>
      <c r="S637" s="368"/>
      <c r="T637" s="126" t="s">
        <v>48</v>
      </c>
    </row>
    <row r="638" spans="2:20" hidden="1" outlineLevel="1">
      <c r="B638" s="199"/>
      <c r="C638" s="199"/>
      <c r="D638" s="373" t="s">
        <v>302</v>
      </c>
      <c r="E638" s="366"/>
      <c r="F638" s="366"/>
      <c r="G638" s="366"/>
      <c r="H638" s="366"/>
      <c r="I638" s="366"/>
      <c r="J638" s="366"/>
      <c r="K638" s="374"/>
      <c r="L638" s="366"/>
      <c r="M638" s="366"/>
      <c r="N638" s="366"/>
      <c r="O638" s="366"/>
      <c r="P638" s="366"/>
      <c r="R638" s="368"/>
      <c r="S638" s="368"/>
      <c r="T638" s="126" t="s">
        <v>48</v>
      </c>
    </row>
    <row r="639" spans="2:20" ht="15.75" hidden="1" outlineLevel="1" thickBot="1">
      <c r="B639" s="199"/>
      <c r="C639" s="199"/>
      <c r="D639" s="375" t="s">
        <v>303</v>
      </c>
      <c r="E639" s="386">
        <v>2026</v>
      </c>
      <c r="F639" s="377"/>
      <c r="G639" s="366"/>
      <c r="H639" s="366"/>
      <c r="I639" s="366"/>
      <c r="J639" s="366"/>
      <c r="K639" s="367"/>
      <c r="L639" s="366"/>
      <c r="M639" s="366"/>
      <c r="N639" s="366"/>
      <c r="O639" s="366"/>
      <c r="P639" s="366"/>
      <c r="R639" s="368"/>
      <c r="S639" s="368"/>
      <c r="T639" s="126" t="s">
        <v>48</v>
      </c>
    </row>
    <row r="640" spans="2:20" ht="15.75" hidden="1" outlineLevel="1" thickBot="1">
      <c r="B640" s="199"/>
      <c r="C640" s="199"/>
      <c r="D640" s="375" t="s">
        <v>304</v>
      </c>
      <c r="E640" s="378" t="s">
        <v>340</v>
      </c>
      <c r="F640" s="390">
        <v>0.02</v>
      </c>
      <c r="G640" s="366"/>
      <c r="H640" s="366"/>
      <c r="I640" s="366"/>
      <c r="J640" s="366"/>
      <c r="K640" s="367"/>
      <c r="L640" s="366"/>
      <c r="M640" s="366"/>
      <c r="N640" s="366"/>
      <c r="O640" s="366"/>
      <c r="P640" s="366"/>
      <c r="R640" s="368"/>
      <c r="S640" s="368"/>
      <c r="T640" s="126" t="s">
        <v>48</v>
      </c>
    </row>
    <row r="641" spans="2:20" ht="15.75" hidden="1" outlineLevel="1" thickBot="1">
      <c r="B641" s="199"/>
      <c r="C641" s="199"/>
      <c r="D641" s="375" t="s">
        <v>306</v>
      </c>
      <c r="E641" s="379" t="s">
        <v>341</v>
      </c>
      <c r="F641" s="380"/>
      <c r="G641" s="366"/>
      <c r="H641" s="366"/>
      <c r="I641" s="366"/>
      <c r="J641" s="366"/>
      <c r="K641" s="367"/>
      <c r="L641" s="366"/>
      <c r="M641" s="366"/>
      <c r="N641" s="366"/>
      <c r="O641" s="366"/>
      <c r="P641" s="366"/>
      <c r="R641" s="368"/>
      <c r="S641" s="368"/>
      <c r="T641" s="126" t="s">
        <v>48</v>
      </c>
    </row>
    <row r="642" spans="2:20" hidden="1" outlineLevel="1">
      <c r="B642" s="199"/>
      <c r="C642" s="199"/>
      <c r="D642" s="375" t="s">
        <v>308</v>
      </c>
      <c r="E642" s="366"/>
      <c r="F642" s="366"/>
      <c r="G642" s="366"/>
      <c r="H642" s="366"/>
      <c r="I642" s="366"/>
      <c r="J642" s="366"/>
      <c r="K642" s="367"/>
      <c r="L642" s="366"/>
      <c r="M642" s="366"/>
      <c r="N642" s="366"/>
      <c r="O642" s="366"/>
      <c r="P642" s="366"/>
      <c r="R642" s="368"/>
      <c r="S642" s="368"/>
      <c r="T642" s="126" t="s">
        <v>48</v>
      </c>
    </row>
    <row r="643" spans="2:20" hidden="1" outlineLevel="1">
      <c r="B643" s="199"/>
      <c r="C643" s="199"/>
      <c r="D643" s="381"/>
      <c r="E643" s="366"/>
      <c r="F643" s="366"/>
      <c r="G643" s="366"/>
      <c r="H643" s="366"/>
      <c r="I643" s="366"/>
      <c r="J643" s="366"/>
      <c r="K643" s="385"/>
      <c r="L643" s="366"/>
      <c r="M643" s="366"/>
      <c r="N643" s="366"/>
      <c r="O643" s="366"/>
      <c r="P643" s="366"/>
      <c r="R643" s="368"/>
      <c r="S643" s="368"/>
      <c r="T643" s="126" t="s">
        <v>48</v>
      </c>
    </row>
    <row r="644" spans="2:20" hidden="1" outlineLevel="1">
      <c r="B644" s="199"/>
      <c r="C644" s="199"/>
      <c r="D644" s="369" t="s">
        <v>344</v>
      </c>
      <c r="E644" s="370"/>
      <c r="F644" s="370"/>
      <c r="G644" s="370"/>
      <c r="H644" s="370"/>
      <c r="I644" s="370"/>
      <c r="J644" s="370"/>
      <c r="K644" s="371">
        <v>22790.48994727273</v>
      </c>
      <c r="L644" s="370"/>
      <c r="M644" s="370"/>
      <c r="N644" s="370"/>
      <c r="O644" s="370"/>
      <c r="P644" s="370"/>
      <c r="R644" s="368"/>
      <c r="S644" s="368"/>
      <c r="T644" s="126" t="s">
        <v>48</v>
      </c>
    </row>
    <row r="645" spans="2:20" hidden="1" outlineLevel="1">
      <c r="B645" s="199"/>
      <c r="C645" s="199"/>
      <c r="D645" s="387" t="s">
        <v>337</v>
      </c>
      <c r="E645" s="366"/>
      <c r="F645" s="366"/>
      <c r="G645" s="366"/>
      <c r="H645" s="366"/>
      <c r="I645" s="366"/>
      <c r="J645" s="366"/>
      <c r="K645" s="388">
        <v>30.289000000000001</v>
      </c>
      <c r="L645" s="366"/>
      <c r="M645" s="366"/>
      <c r="N645" s="366"/>
      <c r="O645" s="366"/>
      <c r="P645" s="366"/>
      <c r="R645" s="368"/>
      <c r="S645" s="368"/>
      <c r="T645" s="126" t="s">
        <v>48</v>
      </c>
    </row>
    <row r="646" spans="2:20" hidden="1" outlineLevel="1">
      <c r="B646" s="199"/>
      <c r="C646" s="199"/>
      <c r="D646" s="372" t="s">
        <v>302</v>
      </c>
      <c r="E646" s="366"/>
      <c r="F646" s="366"/>
      <c r="G646" s="366"/>
      <c r="H646" s="366"/>
      <c r="I646" s="366"/>
      <c r="J646" s="366"/>
      <c r="K646" s="367"/>
      <c r="L646" s="366"/>
      <c r="M646" s="366"/>
      <c r="N646" s="366"/>
      <c r="O646" s="366"/>
      <c r="P646" s="366"/>
      <c r="R646" s="368"/>
      <c r="S646" s="368"/>
      <c r="T646" s="126" t="s">
        <v>48</v>
      </c>
    </row>
    <row r="647" spans="2:20" hidden="1" outlineLevel="1">
      <c r="B647" s="199"/>
      <c r="C647" s="199"/>
      <c r="D647" s="373" t="s">
        <v>302</v>
      </c>
      <c r="E647" s="366"/>
      <c r="F647" s="366"/>
      <c r="G647" s="366"/>
      <c r="H647" s="366"/>
      <c r="I647" s="366"/>
      <c r="J647" s="366"/>
      <c r="K647" s="374"/>
      <c r="L647" s="366"/>
      <c r="M647" s="366"/>
      <c r="N647" s="366"/>
      <c r="O647" s="366"/>
      <c r="P647" s="366"/>
      <c r="R647" s="368"/>
      <c r="S647" s="368"/>
      <c r="T647" s="126" t="s">
        <v>48</v>
      </c>
    </row>
    <row r="648" spans="2:20" ht="15.75" hidden="1" outlineLevel="1" thickBot="1">
      <c r="B648" s="199"/>
      <c r="C648" s="199"/>
      <c r="D648" s="375" t="s">
        <v>303</v>
      </c>
      <c r="E648" s="386">
        <v>2026</v>
      </c>
      <c r="F648" s="377"/>
      <c r="G648" s="366"/>
      <c r="H648" s="366"/>
      <c r="I648" s="366"/>
      <c r="J648" s="366"/>
      <c r="K648" s="367"/>
      <c r="L648" s="366"/>
      <c r="M648" s="366"/>
      <c r="N648" s="366"/>
      <c r="O648" s="366"/>
      <c r="P648" s="366"/>
      <c r="R648" s="368"/>
      <c r="S648" s="368"/>
      <c r="T648" s="126" t="s">
        <v>48</v>
      </c>
    </row>
    <row r="649" spans="2:20" ht="15.75" hidden="1" outlineLevel="1" thickBot="1">
      <c r="B649" s="199"/>
      <c r="C649" s="199"/>
      <c r="D649" s="375" t="s">
        <v>304</v>
      </c>
      <c r="E649" s="378" t="s">
        <v>340</v>
      </c>
      <c r="F649" s="390">
        <v>0.02</v>
      </c>
      <c r="G649" s="366"/>
      <c r="H649" s="366"/>
      <c r="I649" s="366"/>
      <c r="J649" s="366"/>
      <c r="K649" s="367"/>
      <c r="L649" s="366"/>
      <c r="M649" s="366"/>
      <c r="N649" s="366"/>
      <c r="O649" s="366"/>
      <c r="P649" s="366"/>
      <c r="R649" s="368"/>
      <c r="S649" s="368"/>
      <c r="T649" s="126" t="s">
        <v>48</v>
      </c>
    </row>
    <row r="650" spans="2:20" ht="15.75" hidden="1" outlineLevel="1" thickBot="1">
      <c r="B650" s="199"/>
      <c r="C650" s="199"/>
      <c r="D650" s="375" t="s">
        <v>306</v>
      </c>
      <c r="E650" s="379" t="s">
        <v>341</v>
      </c>
      <c r="F650" s="380"/>
      <c r="G650" s="366"/>
      <c r="H650" s="366"/>
      <c r="I650" s="366"/>
      <c r="J650" s="366"/>
      <c r="K650" s="367"/>
      <c r="L650" s="366"/>
      <c r="M650" s="366"/>
      <c r="N650" s="366"/>
      <c r="O650" s="366"/>
      <c r="P650" s="366"/>
      <c r="R650" s="368"/>
      <c r="S650" s="368"/>
      <c r="T650" s="126" t="s">
        <v>48</v>
      </c>
    </row>
    <row r="651" spans="2:20" hidden="1" outlineLevel="1">
      <c r="B651" s="199"/>
      <c r="C651" s="199"/>
      <c r="D651" s="375" t="s">
        <v>308</v>
      </c>
      <c r="E651" s="366"/>
      <c r="F651" s="366"/>
      <c r="G651" s="366"/>
      <c r="H651" s="366"/>
      <c r="I651" s="366"/>
      <c r="J651" s="366"/>
      <c r="K651" s="367"/>
      <c r="L651" s="366"/>
      <c r="M651" s="366"/>
      <c r="N651" s="366"/>
      <c r="O651" s="366"/>
      <c r="P651" s="366"/>
      <c r="R651" s="368"/>
      <c r="S651" s="368"/>
      <c r="T651" s="126" t="s">
        <v>48</v>
      </c>
    </row>
    <row r="652" spans="2:20" hidden="1" outlineLevel="1">
      <c r="B652" s="199"/>
      <c r="C652" s="199"/>
      <c r="D652" s="381"/>
      <c r="E652" s="366"/>
      <c r="F652" s="366"/>
      <c r="G652" s="366"/>
      <c r="H652" s="366"/>
      <c r="I652" s="366"/>
      <c r="J652" s="366"/>
      <c r="K652" s="385"/>
      <c r="L652" s="366"/>
      <c r="M652" s="366"/>
      <c r="N652" s="366"/>
      <c r="O652" s="366"/>
      <c r="P652" s="366"/>
      <c r="R652" s="368"/>
      <c r="S652" s="368"/>
      <c r="T652" s="126" t="s">
        <v>48</v>
      </c>
    </row>
    <row r="653" spans="2:20" hidden="1" outlineLevel="1">
      <c r="B653" s="199"/>
      <c r="C653" s="199"/>
      <c r="D653" s="369" t="s">
        <v>345</v>
      </c>
      <c r="E653" s="370"/>
      <c r="F653" s="370"/>
      <c r="G653" s="370"/>
      <c r="H653" s="370"/>
      <c r="I653" s="370"/>
      <c r="J653" s="370"/>
      <c r="K653" s="371">
        <v>27551.143316363639</v>
      </c>
      <c r="L653" s="370"/>
      <c r="M653" s="370"/>
      <c r="N653" s="370"/>
      <c r="O653" s="370"/>
      <c r="P653" s="370"/>
      <c r="R653" s="368"/>
      <c r="S653" s="368"/>
      <c r="T653" s="126" t="s">
        <v>48</v>
      </c>
    </row>
    <row r="654" spans="2:20" hidden="1" outlineLevel="1">
      <c r="B654" s="199"/>
      <c r="C654" s="199"/>
      <c r="D654" s="387" t="s">
        <v>337</v>
      </c>
      <c r="E654" s="366"/>
      <c r="F654" s="366"/>
      <c r="G654" s="366"/>
      <c r="H654" s="366"/>
      <c r="I654" s="366"/>
      <c r="J654" s="366"/>
      <c r="K654" s="388">
        <v>36.616</v>
      </c>
      <c r="L654" s="366"/>
      <c r="M654" s="366"/>
      <c r="N654" s="366"/>
      <c r="O654" s="366"/>
      <c r="P654" s="366"/>
      <c r="R654" s="368"/>
      <c r="S654" s="368"/>
      <c r="T654" s="126" t="s">
        <v>48</v>
      </c>
    </row>
    <row r="655" spans="2:20" hidden="1" outlineLevel="1">
      <c r="B655" s="199"/>
      <c r="C655" s="199"/>
      <c r="D655" s="372" t="s">
        <v>302</v>
      </c>
      <c r="E655" s="366"/>
      <c r="F655" s="366"/>
      <c r="G655" s="366"/>
      <c r="H655" s="366"/>
      <c r="I655" s="366"/>
      <c r="J655" s="366"/>
      <c r="K655" s="367"/>
      <c r="L655" s="366"/>
      <c r="M655" s="366"/>
      <c r="N655" s="366"/>
      <c r="O655" s="366"/>
      <c r="P655" s="366"/>
      <c r="R655" s="368"/>
      <c r="S655" s="368"/>
      <c r="T655" s="126" t="s">
        <v>48</v>
      </c>
    </row>
    <row r="656" spans="2:20" hidden="1" outlineLevel="1">
      <c r="B656" s="199"/>
      <c r="C656" s="199"/>
      <c r="D656" s="373" t="s">
        <v>302</v>
      </c>
      <c r="E656" s="366"/>
      <c r="F656" s="366"/>
      <c r="G656" s="366"/>
      <c r="H656" s="366"/>
      <c r="I656" s="366"/>
      <c r="J656" s="366"/>
      <c r="K656" s="374"/>
      <c r="L656" s="366"/>
      <c r="M656" s="366"/>
      <c r="N656" s="366"/>
      <c r="O656" s="366"/>
      <c r="P656" s="366"/>
      <c r="R656" s="368"/>
      <c r="S656" s="368"/>
      <c r="T656" s="126" t="s">
        <v>48</v>
      </c>
    </row>
    <row r="657" spans="2:20" ht="15.75" hidden="1" outlineLevel="1" thickBot="1">
      <c r="B657" s="199"/>
      <c r="C657" s="199"/>
      <c r="D657" s="375" t="s">
        <v>303</v>
      </c>
      <c r="E657" s="386">
        <v>2029</v>
      </c>
      <c r="F657" s="377"/>
      <c r="G657" s="366"/>
      <c r="H657" s="366"/>
      <c r="I657" s="366"/>
      <c r="J657" s="366"/>
      <c r="K657" s="367"/>
      <c r="L657" s="366"/>
      <c r="M657" s="366"/>
      <c r="N657" s="366"/>
      <c r="O657" s="366"/>
      <c r="P657" s="366"/>
      <c r="R657" s="368"/>
      <c r="S657" s="368"/>
      <c r="T657" s="126" t="s">
        <v>48</v>
      </c>
    </row>
    <row r="658" spans="2:20" ht="15.75" hidden="1" outlineLevel="1" thickBot="1">
      <c r="B658" s="199"/>
      <c r="C658" s="199"/>
      <c r="D658" s="375" t="s">
        <v>304</v>
      </c>
      <c r="E658" s="378" t="s">
        <v>340</v>
      </c>
      <c r="F658" s="390">
        <v>2.5000000000000001E-2</v>
      </c>
      <c r="G658" s="366"/>
      <c r="H658" s="366"/>
      <c r="I658" s="366"/>
      <c r="J658" s="366"/>
      <c r="K658" s="367"/>
      <c r="L658" s="366"/>
      <c r="M658" s="366"/>
      <c r="N658" s="366"/>
      <c r="O658" s="366"/>
      <c r="P658" s="366"/>
      <c r="R658" s="368"/>
      <c r="S658" s="368"/>
      <c r="T658" s="126" t="s">
        <v>48</v>
      </c>
    </row>
    <row r="659" spans="2:20" ht="15.75" hidden="1" outlineLevel="1" thickBot="1">
      <c r="B659" s="199"/>
      <c r="C659" s="199"/>
      <c r="D659" s="375" t="s">
        <v>306</v>
      </c>
      <c r="E659" s="379" t="s">
        <v>341</v>
      </c>
      <c r="F659" s="380"/>
      <c r="G659" s="366"/>
      <c r="H659" s="366"/>
      <c r="I659" s="366"/>
      <c r="J659" s="366"/>
      <c r="K659" s="367"/>
      <c r="L659" s="366"/>
      <c r="M659" s="366"/>
      <c r="N659" s="366"/>
      <c r="O659" s="366"/>
      <c r="P659" s="366"/>
      <c r="R659" s="368"/>
      <c r="S659" s="368"/>
      <c r="T659" s="126" t="s">
        <v>48</v>
      </c>
    </row>
    <row r="660" spans="2:20" hidden="1" outlineLevel="1">
      <c r="B660" s="199"/>
      <c r="C660" s="199"/>
      <c r="D660" s="375" t="s">
        <v>308</v>
      </c>
      <c r="E660" s="366"/>
      <c r="F660" s="366"/>
      <c r="G660" s="366"/>
      <c r="H660" s="366"/>
      <c r="I660" s="366"/>
      <c r="J660" s="366"/>
      <c r="K660" s="367"/>
      <c r="L660" s="366"/>
      <c r="M660" s="366"/>
      <c r="N660" s="366"/>
      <c r="O660" s="366"/>
      <c r="P660" s="366"/>
      <c r="R660" s="368"/>
      <c r="S660" s="368"/>
      <c r="T660" s="126" t="s">
        <v>48</v>
      </c>
    </row>
    <row r="661" spans="2:20" hidden="1" outlineLevel="1">
      <c r="B661" s="199"/>
      <c r="C661" s="199"/>
      <c r="D661" s="381"/>
      <c r="E661" s="366"/>
      <c r="F661" s="366"/>
      <c r="G661" s="366"/>
      <c r="H661" s="366"/>
      <c r="I661" s="366"/>
      <c r="J661" s="366"/>
      <c r="K661" s="385"/>
      <c r="L661" s="366"/>
      <c r="M661" s="366"/>
      <c r="N661" s="366"/>
      <c r="O661" s="366"/>
      <c r="P661" s="366"/>
      <c r="R661" s="368"/>
      <c r="S661" s="368"/>
      <c r="T661" s="126" t="s">
        <v>48</v>
      </c>
    </row>
    <row r="662" spans="2:20" hidden="1" outlineLevel="1">
      <c r="B662" s="199"/>
      <c r="C662" s="199"/>
      <c r="D662" s="369" t="s">
        <v>346</v>
      </c>
      <c r="E662" s="370"/>
      <c r="F662" s="370"/>
      <c r="G662" s="370"/>
      <c r="H662" s="370"/>
      <c r="I662" s="370"/>
      <c r="J662" s="370"/>
      <c r="K662" s="371">
        <v>25392.408605454548</v>
      </c>
      <c r="L662" s="370"/>
      <c r="M662" s="370"/>
      <c r="N662" s="370"/>
      <c r="O662" s="370"/>
      <c r="P662" s="370"/>
      <c r="R662" s="368"/>
      <c r="S662" s="368"/>
      <c r="T662" s="126" t="s">
        <v>48</v>
      </c>
    </row>
    <row r="663" spans="2:20" hidden="1" outlineLevel="1">
      <c r="B663" s="199"/>
      <c r="C663" s="199"/>
      <c r="D663" s="387" t="s">
        <v>337</v>
      </c>
      <c r="E663" s="366"/>
      <c r="F663" s="366"/>
      <c r="G663" s="366"/>
      <c r="H663" s="366"/>
      <c r="I663" s="366"/>
      <c r="J663" s="366"/>
      <c r="K663" s="388">
        <v>33.747</v>
      </c>
      <c r="L663" s="366"/>
      <c r="M663" s="366"/>
      <c r="N663" s="366"/>
      <c r="O663" s="366"/>
      <c r="P663" s="366"/>
      <c r="R663" s="368"/>
      <c r="S663" s="368"/>
      <c r="T663" s="126" t="s">
        <v>48</v>
      </c>
    </row>
    <row r="664" spans="2:20" hidden="1" outlineLevel="1">
      <c r="B664" s="199"/>
      <c r="C664" s="199"/>
      <c r="D664" s="372" t="s">
        <v>302</v>
      </c>
      <c r="E664" s="366"/>
      <c r="F664" s="366"/>
      <c r="G664" s="366"/>
      <c r="H664" s="366"/>
      <c r="I664" s="366"/>
      <c r="J664" s="366"/>
      <c r="K664" s="367"/>
      <c r="L664" s="366"/>
      <c r="M664" s="366"/>
      <c r="N664" s="366"/>
      <c r="O664" s="366"/>
      <c r="P664" s="366"/>
      <c r="R664" s="368"/>
      <c r="S664" s="368"/>
      <c r="T664" s="126" t="s">
        <v>48</v>
      </c>
    </row>
    <row r="665" spans="2:20" hidden="1" outlineLevel="1">
      <c r="B665" s="199"/>
      <c r="C665" s="199"/>
      <c r="D665" s="373" t="s">
        <v>302</v>
      </c>
      <c r="E665" s="366"/>
      <c r="F665" s="366"/>
      <c r="G665" s="366"/>
      <c r="H665" s="366"/>
      <c r="I665" s="366"/>
      <c r="J665" s="366"/>
      <c r="K665" s="374"/>
      <c r="L665" s="366"/>
      <c r="M665" s="366"/>
      <c r="N665" s="366"/>
      <c r="O665" s="366"/>
      <c r="P665" s="366"/>
      <c r="R665" s="368"/>
      <c r="S665" s="368"/>
      <c r="T665" s="126" t="s">
        <v>48</v>
      </c>
    </row>
    <row r="666" spans="2:20" ht="15.75" hidden="1" outlineLevel="1" thickBot="1">
      <c r="B666" s="199"/>
      <c r="C666" s="199"/>
      <c r="D666" s="375" t="s">
        <v>303</v>
      </c>
      <c r="E666" s="386">
        <v>2025</v>
      </c>
      <c r="F666" s="377"/>
      <c r="G666" s="366"/>
      <c r="H666" s="366"/>
      <c r="I666" s="366"/>
      <c r="J666" s="366"/>
      <c r="K666" s="367"/>
      <c r="L666" s="366"/>
      <c r="M666" s="366"/>
      <c r="N666" s="366"/>
      <c r="O666" s="366"/>
      <c r="P666" s="366"/>
      <c r="R666" s="368"/>
      <c r="S666" s="368"/>
      <c r="T666" s="126" t="s">
        <v>48</v>
      </c>
    </row>
    <row r="667" spans="2:20" ht="15.75" hidden="1" outlineLevel="1" thickBot="1">
      <c r="B667" s="199"/>
      <c r="C667" s="199"/>
      <c r="D667" s="375" t="s">
        <v>304</v>
      </c>
      <c r="E667" s="378" t="s">
        <v>340</v>
      </c>
      <c r="F667" s="390">
        <v>1.4999999999999999E-2</v>
      </c>
      <c r="G667" s="366"/>
      <c r="H667" s="366"/>
      <c r="I667" s="366"/>
      <c r="J667" s="366"/>
      <c r="K667" s="367"/>
      <c r="L667" s="366"/>
      <c r="M667" s="366"/>
      <c r="N667" s="366"/>
      <c r="O667" s="366"/>
      <c r="P667" s="366"/>
      <c r="R667" s="368"/>
      <c r="S667" s="368"/>
      <c r="T667" s="126" t="s">
        <v>48</v>
      </c>
    </row>
    <row r="668" spans="2:20" ht="15.75" hidden="1" outlineLevel="1" thickBot="1">
      <c r="B668" s="199"/>
      <c r="C668" s="199"/>
      <c r="D668" s="375" t="s">
        <v>306</v>
      </c>
      <c r="E668" s="379" t="s">
        <v>341</v>
      </c>
      <c r="F668" s="380"/>
      <c r="G668" s="366"/>
      <c r="H668" s="366"/>
      <c r="I668" s="366"/>
      <c r="J668" s="366"/>
      <c r="K668" s="367"/>
      <c r="L668" s="366"/>
      <c r="M668" s="366"/>
      <c r="N668" s="366"/>
      <c r="O668" s="366"/>
      <c r="P668" s="366"/>
      <c r="R668" s="368"/>
      <c r="S668" s="368"/>
      <c r="T668" s="126" t="s">
        <v>48</v>
      </c>
    </row>
    <row r="669" spans="2:20" hidden="1" outlineLevel="1">
      <c r="B669" s="199"/>
      <c r="C669" s="199"/>
      <c r="D669" s="375" t="s">
        <v>308</v>
      </c>
      <c r="E669" s="366"/>
      <c r="F669" s="366"/>
      <c r="G669" s="366"/>
      <c r="H669" s="366"/>
      <c r="I669" s="366"/>
      <c r="J669" s="366"/>
      <c r="K669" s="367"/>
      <c r="L669" s="366"/>
      <c r="M669" s="366"/>
      <c r="N669" s="366"/>
      <c r="O669" s="366"/>
      <c r="P669" s="366"/>
      <c r="R669" s="368"/>
      <c r="S669" s="368"/>
      <c r="T669" s="126" t="s">
        <v>48</v>
      </c>
    </row>
    <row r="670" spans="2:20" hidden="1" outlineLevel="1">
      <c r="B670" s="199"/>
      <c r="C670" s="199"/>
      <c r="D670" s="381"/>
      <c r="E670" s="366"/>
      <c r="F670" s="366"/>
      <c r="G670" s="366"/>
      <c r="H670" s="366"/>
      <c r="I670" s="366"/>
      <c r="J670" s="366"/>
      <c r="K670" s="385"/>
      <c r="L670" s="366"/>
      <c r="M670" s="366"/>
      <c r="N670" s="366"/>
      <c r="O670" s="366"/>
      <c r="P670" s="366"/>
      <c r="R670" s="368"/>
      <c r="S670" s="368"/>
      <c r="T670" s="126" t="s">
        <v>48</v>
      </c>
    </row>
    <row r="671" spans="2:20" hidden="1" outlineLevel="1">
      <c r="B671" s="199"/>
      <c r="C671" s="199"/>
      <c r="D671" s="369" t="s">
        <v>347</v>
      </c>
      <c r="E671" s="370"/>
      <c r="F671" s="370"/>
      <c r="G671" s="370"/>
      <c r="H671" s="370"/>
      <c r="I671" s="370"/>
      <c r="J671" s="370"/>
      <c r="K671" s="371">
        <v>16111.880921818183</v>
      </c>
      <c r="L671" s="370"/>
      <c r="M671" s="370"/>
      <c r="N671" s="370"/>
      <c r="O671" s="370"/>
      <c r="P671" s="370"/>
      <c r="R671" s="368"/>
      <c r="S671" s="368"/>
      <c r="T671" s="126" t="s">
        <v>48</v>
      </c>
    </row>
    <row r="672" spans="2:20" hidden="1" outlineLevel="1">
      <c r="B672" s="199"/>
      <c r="C672" s="199"/>
      <c r="D672" s="387" t="s">
        <v>337</v>
      </c>
      <c r="E672" s="366"/>
      <c r="F672" s="366"/>
      <c r="G672" s="366"/>
      <c r="H672" s="366"/>
      <c r="I672" s="366"/>
      <c r="J672" s="366"/>
      <c r="K672" s="388">
        <v>21.413</v>
      </c>
      <c r="L672" s="366"/>
      <c r="M672" s="366"/>
      <c r="N672" s="366"/>
      <c r="O672" s="366"/>
      <c r="P672" s="366"/>
      <c r="R672" s="368"/>
      <c r="S672" s="368"/>
      <c r="T672" s="126" t="s">
        <v>48</v>
      </c>
    </row>
    <row r="673" spans="2:20" hidden="1" outlineLevel="1">
      <c r="B673" s="199"/>
      <c r="C673" s="199"/>
      <c r="D673" s="372" t="s">
        <v>302</v>
      </c>
      <c r="E673" s="366"/>
      <c r="F673" s="366"/>
      <c r="G673" s="366"/>
      <c r="H673" s="366"/>
      <c r="I673" s="366"/>
      <c r="J673" s="366"/>
      <c r="K673" s="367"/>
      <c r="L673" s="366"/>
      <c r="M673" s="366"/>
      <c r="N673" s="366"/>
      <c r="O673" s="366"/>
      <c r="P673" s="366"/>
      <c r="R673" s="368"/>
      <c r="S673" s="368"/>
      <c r="T673" s="126" t="s">
        <v>48</v>
      </c>
    </row>
    <row r="674" spans="2:20" hidden="1" outlineLevel="1">
      <c r="B674" s="199"/>
      <c r="C674" s="199"/>
      <c r="D674" s="373" t="s">
        <v>302</v>
      </c>
      <c r="E674" s="366"/>
      <c r="F674" s="366"/>
      <c r="G674" s="366"/>
      <c r="H674" s="366"/>
      <c r="I674" s="366"/>
      <c r="J674" s="366"/>
      <c r="K674" s="374"/>
      <c r="L674" s="366"/>
      <c r="M674" s="366"/>
      <c r="N674" s="366"/>
      <c r="O674" s="366"/>
      <c r="P674" s="366"/>
      <c r="R674" s="368"/>
      <c r="S674" s="368"/>
      <c r="T674" s="126" t="s">
        <v>48</v>
      </c>
    </row>
    <row r="675" spans="2:20" ht="15.75" hidden="1" outlineLevel="1" thickBot="1">
      <c r="B675" s="199"/>
      <c r="C675" s="199"/>
      <c r="D675" s="375" t="s">
        <v>303</v>
      </c>
      <c r="E675" s="386">
        <v>2026</v>
      </c>
      <c r="F675" s="377"/>
      <c r="G675" s="366"/>
      <c r="H675" s="366"/>
      <c r="I675" s="366"/>
      <c r="J675" s="366"/>
      <c r="K675" s="367"/>
      <c r="L675" s="366"/>
      <c r="M675" s="366"/>
      <c r="N675" s="366"/>
      <c r="O675" s="366"/>
      <c r="P675" s="366"/>
      <c r="R675" s="368"/>
      <c r="S675" s="368"/>
      <c r="T675" s="126" t="s">
        <v>48</v>
      </c>
    </row>
    <row r="676" spans="2:20" ht="15.75" hidden="1" outlineLevel="1" thickBot="1">
      <c r="B676" s="199"/>
      <c r="C676" s="199"/>
      <c r="D676" s="375" t="s">
        <v>304</v>
      </c>
      <c r="E676" s="378" t="s">
        <v>340</v>
      </c>
      <c r="F676" s="390">
        <v>1.89E-2</v>
      </c>
      <c r="G676" s="366"/>
      <c r="H676" s="366"/>
      <c r="I676" s="366"/>
      <c r="J676" s="366"/>
      <c r="K676" s="367"/>
      <c r="L676" s="366"/>
      <c r="M676" s="366"/>
      <c r="N676" s="366"/>
      <c r="O676" s="366"/>
      <c r="P676" s="366"/>
      <c r="R676" s="368"/>
      <c r="S676" s="368"/>
      <c r="T676" s="126" t="s">
        <v>48</v>
      </c>
    </row>
    <row r="677" spans="2:20" ht="15.75" hidden="1" outlineLevel="1" thickBot="1">
      <c r="B677" s="199"/>
      <c r="C677" s="199"/>
      <c r="D677" s="375" t="s">
        <v>306</v>
      </c>
      <c r="E677" s="379" t="s">
        <v>341</v>
      </c>
      <c r="F677" s="380"/>
      <c r="G677" s="366"/>
      <c r="H677" s="366"/>
      <c r="I677" s="366"/>
      <c r="J677" s="366"/>
      <c r="K677" s="367"/>
      <c r="L677" s="366"/>
      <c r="M677" s="366"/>
      <c r="N677" s="366"/>
      <c r="O677" s="366"/>
      <c r="P677" s="366"/>
      <c r="R677" s="368"/>
      <c r="S677" s="368"/>
      <c r="T677" s="126" t="s">
        <v>48</v>
      </c>
    </row>
    <row r="678" spans="2:20" hidden="1" outlineLevel="1">
      <c r="B678" s="199"/>
      <c r="C678" s="199"/>
      <c r="D678" s="375" t="s">
        <v>308</v>
      </c>
      <c r="E678" s="366"/>
      <c r="F678" s="366"/>
      <c r="G678" s="366"/>
      <c r="H678" s="366"/>
      <c r="I678" s="366"/>
      <c r="J678" s="366"/>
      <c r="K678" s="367"/>
      <c r="L678" s="366"/>
      <c r="M678" s="366"/>
      <c r="N678" s="366"/>
      <c r="O678" s="366"/>
      <c r="P678" s="366"/>
      <c r="R678" s="368"/>
      <c r="S678" s="368"/>
      <c r="T678" s="126" t="s">
        <v>48</v>
      </c>
    </row>
    <row r="679" spans="2:20" hidden="1" outlineLevel="1">
      <c r="B679" s="199"/>
      <c r="C679" s="199"/>
      <c r="D679" s="381"/>
      <c r="E679" s="366"/>
      <c r="F679" s="366"/>
      <c r="G679" s="366"/>
      <c r="H679" s="366"/>
      <c r="I679" s="366"/>
      <c r="J679" s="366"/>
      <c r="K679" s="385"/>
      <c r="L679" s="366"/>
      <c r="M679" s="366"/>
      <c r="N679" s="366"/>
      <c r="O679" s="366"/>
      <c r="P679" s="366"/>
      <c r="R679" s="368"/>
      <c r="S679" s="368"/>
      <c r="T679" s="126" t="s">
        <v>48</v>
      </c>
    </row>
    <row r="680" spans="2:20" hidden="1" outlineLevel="1">
      <c r="B680" s="199"/>
      <c r="C680" s="199"/>
      <c r="D680" s="369" t="s">
        <v>348</v>
      </c>
      <c r="E680" s="370"/>
      <c r="F680" s="370"/>
      <c r="G680" s="370"/>
      <c r="H680" s="370"/>
      <c r="I680" s="370"/>
      <c r="J680" s="370"/>
      <c r="K680" s="371">
        <v>12788.377534545454</v>
      </c>
      <c r="L680" s="370"/>
      <c r="M680" s="370"/>
      <c r="N680" s="370"/>
      <c r="O680" s="370"/>
      <c r="P680" s="370"/>
      <c r="R680" s="368"/>
      <c r="S680" s="368"/>
      <c r="T680" s="126" t="s">
        <v>48</v>
      </c>
    </row>
    <row r="681" spans="2:20" hidden="1" outlineLevel="1">
      <c r="B681" s="199"/>
      <c r="C681" s="199"/>
      <c r="D681" s="387" t="s">
        <v>337</v>
      </c>
      <c r="E681" s="366"/>
      <c r="F681" s="366"/>
      <c r="G681" s="366"/>
      <c r="H681" s="366"/>
      <c r="I681" s="366"/>
      <c r="J681" s="366"/>
      <c r="K681" s="388">
        <v>16.995999999999999</v>
      </c>
      <c r="L681" s="366"/>
      <c r="M681" s="366"/>
      <c r="N681" s="366"/>
      <c r="O681" s="366"/>
      <c r="P681" s="366"/>
      <c r="R681" s="368"/>
      <c r="S681" s="368"/>
      <c r="T681" s="126" t="s">
        <v>48</v>
      </c>
    </row>
    <row r="682" spans="2:20" hidden="1" outlineLevel="1">
      <c r="B682" s="199"/>
      <c r="C682" s="199"/>
      <c r="D682" s="372" t="s">
        <v>302</v>
      </c>
      <c r="E682" s="366"/>
      <c r="F682" s="366"/>
      <c r="G682" s="366"/>
      <c r="H682" s="366"/>
      <c r="I682" s="366"/>
      <c r="J682" s="366"/>
      <c r="K682" s="367"/>
      <c r="L682" s="366"/>
      <c r="M682" s="366"/>
      <c r="N682" s="366"/>
      <c r="O682" s="366"/>
      <c r="P682" s="366"/>
      <c r="R682" s="368"/>
      <c r="S682" s="368"/>
      <c r="T682" s="126" t="s">
        <v>48</v>
      </c>
    </row>
    <row r="683" spans="2:20" hidden="1" outlineLevel="1">
      <c r="B683" s="199"/>
      <c r="C683" s="199"/>
      <c r="D683" s="373" t="s">
        <v>302</v>
      </c>
      <c r="E683" s="366"/>
      <c r="F683" s="366"/>
      <c r="G683" s="366"/>
      <c r="H683" s="366"/>
      <c r="I683" s="366"/>
      <c r="J683" s="366"/>
      <c r="K683" s="374"/>
      <c r="L683" s="366"/>
      <c r="M683" s="366"/>
      <c r="N683" s="366"/>
      <c r="O683" s="366"/>
      <c r="P683" s="366"/>
      <c r="R683" s="368"/>
      <c r="S683" s="368"/>
      <c r="T683" s="126" t="s">
        <v>48</v>
      </c>
    </row>
    <row r="684" spans="2:20" ht="15.75" hidden="1" outlineLevel="1" thickBot="1">
      <c r="B684" s="199"/>
      <c r="C684" s="199"/>
      <c r="D684" s="375" t="s">
        <v>303</v>
      </c>
      <c r="E684" s="386">
        <v>2026</v>
      </c>
      <c r="F684" s="377"/>
      <c r="G684" s="366"/>
      <c r="H684" s="366"/>
      <c r="I684" s="366"/>
      <c r="J684" s="366"/>
      <c r="K684" s="367"/>
      <c r="L684" s="366"/>
      <c r="M684" s="366"/>
      <c r="N684" s="366"/>
      <c r="O684" s="366"/>
      <c r="P684" s="366"/>
      <c r="R684" s="368"/>
      <c r="S684" s="368"/>
      <c r="T684" s="126" t="s">
        <v>48</v>
      </c>
    </row>
    <row r="685" spans="2:20" ht="15.75" hidden="1" outlineLevel="1" thickBot="1">
      <c r="B685" s="199"/>
      <c r="C685" s="199"/>
      <c r="D685" s="375" t="s">
        <v>304</v>
      </c>
      <c r="E685" s="378" t="s">
        <v>340</v>
      </c>
      <c r="F685" s="390">
        <v>2.3E-2</v>
      </c>
      <c r="G685" s="366"/>
      <c r="H685" s="366"/>
      <c r="I685" s="366"/>
      <c r="J685" s="366"/>
      <c r="K685" s="367"/>
      <c r="L685" s="366"/>
      <c r="M685" s="366"/>
      <c r="N685" s="366"/>
      <c r="O685" s="366"/>
      <c r="P685" s="366"/>
      <c r="R685" s="368"/>
      <c r="S685" s="368"/>
      <c r="T685" s="126" t="s">
        <v>48</v>
      </c>
    </row>
    <row r="686" spans="2:20" ht="15.75" hidden="1" outlineLevel="1" thickBot="1">
      <c r="B686" s="199"/>
      <c r="C686" s="199"/>
      <c r="D686" s="375" t="s">
        <v>306</v>
      </c>
      <c r="E686" s="379" t="s">
        <v>341</v>
      </c>
      <c r="F686" s="380"/>
      <c r="G686" s="366"/>
      <c r="H686" s="366"/>
      <c r="I686" s="366"/>
      <c r="J686" s="366"/>
      <c r="K686" s="367"/>
      <c r="L686" s="366"/>
      <c r="M686" s="366"/>
      <c r="N686" s="366"/>
      <c r="O686" s="366"/>
      <c r="P686" s="366"/>
      <c r="R686" s="368"/>
      <c r="S686" s="368"/>
      <c r="T686" s="126" t="s">
        <v>48</v>
      </c>
    </row>
    <row r="687" spans="2:20" hidden="1" outlineLevel="1">
      <c r="B687" s="199"/>
      <c r="C687" s="199"/>
      <c r="D687" s="375"/>
      <c r="E687" s="366"/>
      <c r="F687" s="366"/>
      <c r="G687" s="366"/>
      <c r="H687" s="366"/>
      <c r="I687" s="366"/>
      <c r="J687" s="366"/>
      <c r="K687" s="367"/>
      <c r="L687" s="366"/>
      <c r="M687" s="366"/>
      <c r="N687" s="366"/>
      <c r="O687" s="366"/>
      <c r="P687" s="366"/>
      <c r="R687" s="368"/>
      <c r="S687" s="368"/>
      <c r="T687" s="126" t="s">
        <v>48</v>
      </c>
    </row>
    <row r="688" spans="2:20" hidden="1" outlineLevel="1">
      <c r="B688" s="199"/>
      <c r="C688" s="199"/>
      <c r="D688" s="381"/>
      <c r="E688" s="366"/>
      <c r="F688" s="366"/>
      <c r="G688" s="366"/>
      <c r="H688" s="366"/>
      <c r="I688" s="366"/>
      <c r="J688" s="366"/>
      <c r="K688" s="385"/>
      <c r="L688" s="366"/>
      <c r="M688" s="366"/>
      <c r="N688" s="366"/>
      <c r="O688" s="366"/>
      <c r="P688" s="366"/>
      <c r="R688" s="368"/>
      <c r="S688" s="368"/>
      <c r="T688" s="126" t="s">
        <v>48</v>
      </c>
    </row>
    <row r="689" spans="2:20" hidden="1" outlineLevel="1">
      <c r="B689" s="199"/>
      <c r="C689" s="199"/>
      <c r="D689" s="369" t="s">
        <v>349</v>
      </c>
      <c r="E689" s="370"/>
      <c r="F689" s="370"/>
      <c r="G689" s="370"/>
      <c r="H689" s="370"/>
      <c r="I689" s="370"/>
      <c r="J689" s="370"/>
      <c r="K689" s="371">
        <v>17456.481454545454</v>
      </c>
      <c r="L689" s="370"/>
      <c r="M689" s="370"/>
      <c r="N689" s="370"/>
      <c r="O689" s="370"/>
      <c r="P689" s="370"/>
      <c r="R689" s="368"/>
      <c r="S689" s="368"/>
      <c r="T689" s="126" t="s">
        <v>48</v>
      </c>
    </row>
    <row r="690" spans="2:20" hidden="1" outlineLevel="1">
      <c r="B690" s="199"/>
      <c r="C690" s="199"/>
      <c r="D690" s="387" t="s">
        <v>337</v>
      </c>
      <c r="E690" s="366"/>
      <c r="F690" s="366"/>
      <c r="G690" s="366"/>
      <c r="H690" s="366"/>
      <c r="I690" s="366"/>
      <c r="J690" s="366"/>
      <c r="K690" s="388">
        <v>23.2</v>
      </c>
      <c r="L690" s="366"/>
      <c r="M690" s="366"/>
      <c r="N690" s="366"/>
      <c r="O690" s="366"/>
      <c r="P690" s="366"/>
      <c r="R690" s="368"/>
      <c r="S690" s="368"/>
      <c r="T690" s="126" t="s">
        <v>48</v>
      </c>
    </row>
    <row r="691" spans="2:20" hidden="1" outlineLevel="1">
      <c r="B691" s="199"/>
      <c r="C691" s="199"/>
      <c r="D691" s="372" t="s">
        <v>302</v>
      </c>
      <c r="E691" s="366"/>
      <c r="F691" s="366"/>
      <c r="G691" s="366"/>
      <c r="H691" s="366"/>
      <c r="I691" s="366"/>
      <c r="J691" s="366"/>
      <c r="K691" s="367"/>
      <c r="L691" s="366"/>
      <c r="M691" s="366"/>
      <c r="N691" s="366"/>
      <c r="O691" s="366"/>
      <c r="P691" s="366"/>
      <c r="R691" s="368"/>
      <c r="S691" s="368"/>
      <c r="T691" s="126" t="s">
        <v>48</v>
      </c>
    </row>
    <row r="692" spans="2:20" hidden="1" outlineLevel="1">
      <c r="B692" s="199"/>
      <c r="C692" s="199"/>
      <c r="D692" s="373" t="s">
        <v>302</v>
      </c>
      <c r="E692" s="366"/>
      <c r="F692" s="366"/>
      <c r="G692" s="366"/>
      <c r="H692" s="366"/>
      <c r="I692" s="366"/>
      <c r="J692" s="366"/>
      <c r="K692" s="374"/>
      <c r="L692" s="366"/>
      <c r="M692" s="366"/>
      <c r="N692" s="366"/>
      <c r="O692" s="366"/>
      <c r="P692" s="366"/>
      <c r="R692" s="368"/>
      <c r="S692" s="368"/>
      <c r="T692" s="126" t="s">
        <v>48</v>
      </c>
    </row>
    <row r="693" spans="2:20" ht="15.75" hidden="1" outlineLevel="1" thickBot="1">
      <c r="B693" s="199"/>
      <c r="C693" s="199"/>
      <c r="D693" s="375" t="s">
        <v>303</v>
      </c>
      <c r="E693" s="386">
        <v>2029</v>
      </c>
      <c r="F693" s="377"/>
      <c r="G693" s="366"/>
      <c r="H693" s="366"/>
      <c r="I693" s="366"/>
      <c r="J693" s="366"/>
      <c r="K693" s="367"/>
      <c r="L693" s="366"/>
      <c r="M693" s="366"/>
      <c r="N693" s="366"/>
      <c r="O693" s="366"/>
      <c r="P693" s="366"/>
      <c r="R693" s="368"/>
      <c r="S693" s="368"/>
      <c r="T693" s="126" t="s">
        <v>48</v>
      </c>
    </row>
    <row r="694" spans="2:20" ht="15.75" hidden="1" outlineLevel="1" thickBot="1">
      <c r="B694" s="199"/>
      <c r="C694" s="199"/>
      <c r="D694" s="375" t="s">
        <v>304</v>
      </c>
      <c r="E694" s="378" t="s">
        <v>340</v>
      </c>
      <c r="F694" s="390">
        <v>2.9499999999999998E-2</v>
      </c>
      <c r="G694" s="366"/>
      <c r="H694" s="366"/>
      <c r="I694" s="366"/>
      <c r="J694" s="366"/>
      <c r="K694" s="367"/>
      <c r="L694" s="366"/>
      <c r="M694" s="366"/>
      <c r="N694" s="366"/>
      <c r="O694" s="366"/>
      <c r="P694" s="366"/>
      <c r="R694" s="368"/>
      <c r="S694" s="368"/>
      <c r="T694" s="126" t="s">
        <v>48</v>
      </c>
    </row>
    <row r="695" spans="2:20" ht="15.75" hidden="1" outlineLevel="1" thickBot="1">
      <c r="B695" s="199"/>
      <c r="C695" s="199"/>
      <c r="D695" s="375" t="s">
        <v>306</v>
      </c>
      <c r="E695" s="379" t="s">
        <v>341</v>
      </c>
      <c r="F695" s="380"/>
      <c r="G695" s="366"/>
      <c r="H695" s="366"/>
      <c r="I695" s="366"/>
      <c r="J695" s="366"/>
      <c r="K695" s="367"/>
      <c r="L695" s="366"/>
      <c r="M695" s="366"/>
      <c r="N695" s="366"/>
      <c r="O695" s="366"/>
      <c r="P695" s="366"/>
      <c r="R695" s="368"/>
      <c r="S695" s="368"/>
      <c r="T695" s="126" t="s">
        <v>48</v>
      </c>
    </row>
    <row r="696" spans="2:20" hidden="1" outlineLevel="1">
      <c r="B696" s="199"/>
      <c r="C696" s="199"/>
      <c r="D696" s="375" t="s">
        <v>308</v>
      </c>
      <c r="E696" s="366"/>
      <c r="F696" s="366"/>
      <c r="G696" s="366"/>
      <c r="H696" s="366"/>
      <c r="I696" s="366"/>
      <c r="J696" s="366"/>
      <c r="K696" s="367"/>
      <c r="L696" s="366"/>
      <c r="M696" s="366"/>
      <c r="N696" s="366"/>
      <c r="O696" s="366"/>
      <c r="P696" s="366"/>
      <c r="R696" s="368"/>
      <c r="S696" s="368"/>
      <c r="T696" s="126" t="s">
        <v>48</v>
      </c>
    </row>
    <row r="697" spans="2:20" hidden="1" outlineLevel="1">
      <c r="B697" s="199"/>
      <c r="C697" s="199"/>
      <c r="D697" s="381"/>
      <c r="E697" s="366"/>
      <c r="F697" s="366"/>
      <c r="G697" s="366"/>
      <c r="H697" s="366"/>
      <c r="I697" s="366"/>
      <c r="J697" s="366"/>
      <c r="K697" s="385"/>
      <c r="L697" s="366"/>
      <c r="M697" s="366"/>
      <c r="N697" s="366"/>
      <c r="O697" s="366"/>
      <c r="P697" s="366"/>
      <c r="R697" s="368"/>
      <c r="S697" s="368"/>
      <c r="T697" s="126" t="s">
        <v>48</v>
      </c>
    </row>
    <row r="698" spans="2:20" hidden="1" outlineLevel="1">
      <c r="B698" s="199"/>
      <c r="C698" s="199"/>
      <c r="D698" s="369" t="s">
        <v>350</v>
      </c>
      <c r="E698" s="370"/>
      <c r="F698" s="370"/>
      <c r="G698" s="370"/>
      <c r="H698" s="370"/>
      <c r="I698" s="370"/>
      <c r="J698" s="370"/>
      <c r="K698" s="371">
        <v>18318.019009090909</v>
      </c>
      <c r="L698" s="370"/>
      <c r="M698" s="370"/>
      <c r="N698" s="370"/>
      <c r="O698" s="370"/>
      <c r="P698" s="370"/>
      <c r="R698" s="368"/>
      <c r="S698" s="368"/>
      <c r="T698" s="126" t="s">
        <v>48</v>
      </c>
    </row>
    <row r="699" spans="2:20" hidden="1" outlineLevel="1">
      <c r="B699" s="199"/>
      <c r="C699" s="199"/>
      <c r="D699" s="387" t="s">
        <v>337</v>
      </c>
      <c r="E699" s="366"/>
      <c r="F699" s="366"/>
      <c r="G699" s="366"/>
      <c r="H699" s="366"/>
      <c r="I699" s="366"/>
      <c r="J699" s="366"/>
      <c r="K699" s="388">
        <v>24.344999999999999</v>
      </c>
      <c r="L699" s="366"/>
      <c r="M699" s="366"/>
      <c r="N699" s="366"/>
      <c r="O699" s="366"/>
      <c r="P699" s="366"/>
      <c r="R699" s="368"/>
      <c r="S699" s="368"/>
      <c r="T699" s="126" t="s">
        <v>48</v>
      </c>
    </row>
    <row r="700" spans="2:20" hidden="1" outlineLevel="1">
      <c r="B700" s="199"/>
      <c r="C700" s="199"/>
      <c r="D700" s="372" t="s">
        <v>302</v>
      </c>
      <c r="E700" s="366"/>
      <c r="F700" s="366"/>
      <c r="G700" s="366"/>
      <c r="H700" s="366"/>
      <c r="I700" s="366"/>
      <c r="J700" s="366"/>
      <c r="K700" s="367"/>
      <c r="L700" s="366"/>
      <c r="M700" s="366"/>
      <c r="N700" s="366"/>
      <c r="O700" s="366"/>
      <c r="P700" s="366"/>
      <c r="R700" s="368"/>
      <c r="S700" s="368"/>
      <c r="T700" s="126" t="s">
        <v>48</v>
      </c>
    </row>
    <row r="701" spans="2:20" hidden="1" outlineLevel="1">
      <c r="B701" s="199"/>
      <c r="C701" s="199"/>
      <c r="D701" s="373" t="s">
        <v>302</v>
      </c>
      <c r="E701" s="366"/>
      <c r="F701" s="366"/>
      <c r="G701" s="366"/>
      <c r="H701" s="366"/>
      <c r="I701" s="366"/>
      <c r="J701" s="366"/>
      <c r="K701" s="374"/>
      <c r="L701" s="366"/>
      <c r="M701" s="366"/>
      <c r="N701" s="366"/>
      <c r="O701" s="366"/>
      <c r="P701" s="366"/>
      <c r="R701" s="368"/>
      <c r="S701" s="368"/>
      <c r="T701" s="126" t="s">
        <v>48</v>
      </c>
    </row>
    <row r="702" spans="2:20" ht="15.75" hidden="1" outlineLevel="1" thickBot="1">
      <c r="B702" s="199"/>
      <c r="C702" s="199"/>
      <c r="D702" s="375" t="s">
        <v>303</v>
      </c>
      <c r="E702" s="386">
        <v>2027</v>
      </c>
      <c r="F702" s="377"/>
      <c r="G702" s="366"/>
      <c r="H702" s="366"/>
      <c r="I702" s="366"/>
      <c r="J702" s="366"/>
      <c r="K702" s="367"/>
      <c r="L702" s="366"/>
      <c r="M702" s="366"/>
      <c r="N702" s="366"/>
      <c r="O702" s="366"/>
      <c r="P702" s="366"/>
      <c r="R702" s="368"/>
      <c r="S702" s="368"/>
      <c r="T702" s="126" t="s">
        <v>48</v>
      </c>
    </row>
    <row r="703" spans="2:20" ht="15.75" hidden="1" outlineLevel="1" thickBot="1">
      <c r="B703" s="199"/>
      <c r="C703" s="199"/>
      <c r="D703" s="375" t="s">
        <v>304</v>
      </c>
      <c r="E703" s="378" t="s">
        <v>340</v>
      </c>
      <c r="F703" s="390">
        <v>1.55E-2</v>
      </c>
      <c r="G703" s="366"/>
      <c r="H703" s="366"/>
      <c r="I703" s="366"/>
      <c r="J703" s="366"/>
      <c r="K703" s="367"/>
      <c r="L703" s="366"/>
      <c r="M703" s="366"/>
      <c r="N703" s="366"/>
      <c r="O703" s="366"/>
      <c r="P703" s="366"/>
      <c r="R703" s="368"/>
      <c r="S703" s="368"/>
      <c r="T703" s="126" t="s">
        <v>48</v>
      </c>
    </row>
    <row r="704" spans="2:20" ht="15.75" hidden="1" outlineLevel="1" thickBot="1">
      <c r="B704" s="199"/>
      <c r="C704" s="199"/>
      <c r="D704" s="375" t="s">
        <v>306</v>
      </c>
      <c r="E704" s="379" t="s">
        <v>341</v>
      </c>
      <c r="F704" s="380"/>
      <c r="G704" s="366"/>
      <c r="H704" s="366"/>
      <c r="I704" s="366"/>
      <c r="J704" s="366"/>
      <c r="K704" s="367"/>
      <c r="L704" s="366"/>
      <c r="M704" s="366"/>
      <c r="N704" s="366"/>
      <c r="O704" s="366"/>
      <c r="P704" s="366"/>
      <c r="R704" s="368"/>
      <c r="S704" s="368"/>
      <c r="T704" s="126" t="s">
        <v>48</v>
      </c>
    </row>
    <row r="705" spans="2:20" hidden="1" outlineLevel="1">
      <c r="B705" s="199"/>
      <c r="C705" s="199"/>
      <c r="D705" s="375" t="s">
        <v>308</v>
      </c>
      <c r="E705" s="366"/>
      <c r="F705" s="366"/>
      <c r="G705" s="366"/>
      <c r="H705" s="366"/>
      <c r="I705" s="366"/>
      <c r="J705" s="366"/>
      <c r="K705" s="367"/>
      <c r="L705" s="366"/>
      <c r="M705" s="366"/>
      <c r="N705" s="366"/>
      <c r="O705" s="366"/>
      <c r="P705" s="366"/>
      <c r="R705" s="368"/>
      <c r="S705" s="368"/>
      <c r="T705" s="126" t="s">
        <v>48</v>
      </c>
    </row>
    <row r="706" spans="2:20" hidden="1" outlineLevel="1">
      <c r="B706" s="199"/>
      <c r="C706" s="199"/>
      <c r="D706" s="381"/>
      <c r="E706" s="366"/>
      <c r="F706" s="366"/>
      <c r="G706" s="366"/>
      <c r="H706" s="366"/>
      <c r="I706" s="366"/>
      <c r="J706" s="366"/>
      <c r="K706" s="385"/>
      <c r="L706" s="366"/>
      <c r="M706" s="366"/>
      <c r="N706" s="366"/>
      <c r="O706" s="366"/>
      <c r="P706" s="366"/>
      <c r="R706" s="368"/>
      <c r="S706" s="368"/>
      <c r="T706" s="126" t="s">
        <v>48</v>
      </c>
    </row>
    <row r="707" spans="2:20" hidden="1" outlineLevel="1">
      <c r="B707" s="199"/>
      <c r="C707" s="199"/>
      <c r="D707" s="369" t="s">
        <v>351</v>
      </c>
      <c r="E707" s="370"/>
      <c r="F707" s="370"/>
      <c r="G707" s="370"/>
      <c r="H707" s="370"/>
      <c r="I707" s="370"/>
      <c r="J707" s="370"/>
      <c r="K707" s="371">
        <v>14696.551541818182</v>
      </c>
      <c r="L707" s="370"/>
      <c r="M707" s="370"/>
      <c r="N707" s="370"/>
      <c r="O707" s="370"/>
      <c r="P707" s="370"/>
      <c r="R707" s="368"/>
      <c r="S707" s="368"/>
      <c r="T707" s="126" t="s">
        <v>48</v>
      </c>
    </row>
    <row r="708" spans="2:20" hidden="1" outlineLevel="1">
      <c r="B708" s="199"/>
      <c r="C708" s="199"/>
      <c r="D708" s="387" t="s">
        <v>337</v>
      </c>
      <c r="E708" s="366"/>
      <c r="F708" s="366"/>
      <c r="G708" s="366"/>
      <c r="H708" s="366"/>
      <c r="I708" s="366"/>
      <c r="J708" s="366"/>
      <c r="K708" s="388">
        <v>19.532</v>
      </c>
      <c r="L708" s="366"/>
      <c r="M708" s="366"/>
      <c r="N708" s="366"/>
      <c r="O708" s="366"/>
      <c r="P708" s="366"/>
      <c r="R708" s="368"/>
      <c r="S708" s="368"/>
      <c r="T708" s="126" t="s">
        <v>48</v>
      </c>
    </row>
    <row r="709" spans="2:20" hidden="1" outlineLevel="1">
      <c r="B709" s="199"/>
      <c r="C709" s="199"/>
      <c r="D709" s="372" t="s">
        <v>302</v>
      </c>
      <c r="E709" s="366"/>
      <c r="F709" s="366"/>
      <c r="G709" s="366"/>
      <c r="H709" s="366"/>
      <c r="I709" s="366"/>
      <c r="J709" s="366"/>
      <c r="K709" s="367"/>
      <c r="L709" s="366"/>
      <c r="M709" s="366"/>
      <c r="N709" s="366"/>
      <c r="O709" s="366"/>
      <c r="P709" s="366"/>
      <c r="R709" s="368"/>
      <c r="S709" s="368"/>
      <c r="T709" s="126" t="s">
        <v>48</v>
      </c>
    </row>
    <row r="710" spans="2:20" hidden="1" outlineLevel="1">
      <c r="B710" s="199"/>
      <c r="C710" s="199"/>
      <c r="D710" s="373" t="s">
        <v>302</v>
      </c>
      <c r="E710" s="366"/>
      <c r="F710" s="366"/>
      <c r="G710" s="366"/>
      <c r="H710" s="366"/>
      <c r="I710" s="366"/>
      <c r="J710" s="366"/>
      <c r="K710" s="374"/>
      <c r="L710" s="366"/>
      <c r="M710" s="366"/>
      <c r="N710" s="366"/>
      <c r="O710" s="366"/>
      <c r="P710" s="366"/>
      <c r="R710" s="368"/>
      <c r="S710" s="368"/>
      <c r="T710" s="126" t="s">
        <v>48</v>
      </c>
    </row>
    <row r="711" spans="2:20" ht="15.75" hidden="1" outlineLevel="1" thickBot="1">
      <c r="B711" s="199"/>
      <c r="C711" s="199"/>
      <c r="D711" s="375" t="s">
        <v>303</v>
      </c>
      <c r="E711" s="386">
        <v>2027</v>
      </c>
      <c r="F711" s="377"/>
      <c r="G711" s="366"/>
      <c r="H711" s="366"/>
      <c r="I711" s="366"/>
      <c r="J711" s="366"/>
      <c r="K711" s="367"/>
      <c r="L711" s="366"/>
      <c r="M711" s="366"/>
      <c r="N711" s="366"/>
      <c r="O711" s="366"/>
      <c r="P711" s="366"/>
      <c r="R711" s="368"/>
      <c r="S711" s="368"/>
      <c r="T711" s="126" t="s">
        <v>48</v>
      </c>
    </row>
    <row r="712" spans="2:20" ht="15.75" hidden="1" outlineLevel="1" thickBot="1">
      <c r="B712" s="199"/>
      <c r="C712" s="199"/>
      <c r="D712" s="375" t="s">
        <v>304</v>
      </c>
      <c r="E712" s="378" t="s">
        <v>340</v>
      </c>
      <c r="F712" s="390">
        <v>1.4E-2</v>
      </c>
      <c r="G712" s="366"/>
      <c r="H712" s="366"/>
      <c r="I712" s="366"/>
      <c r="J712" s="366"/>
      <c r="K712" s="367"/>
      <c r="L712" s="366"/>
      <c r="M712" s="366"/>
      <c r="N712" s="366"/>
      <c r="O712" s="366"/>
      <c r="P712" s="366"/>
      <c r="R712" s="368"/>
      <c r="S712" s="368"/>
      <c r="T712" s="126" t="s">
        <v>48</v>
      </c>
    </row>
    <row r="713" spans="2:20" ht="15.75" hidden="1" outlineLevel="1" thickBot="1">
      <c r="B713" s="199"/>
      <c r="C713" s="199"/>
      <c r="D713" s="375" t="s">
        <v>306</v>
      </c>
      <c r="E713" s="379" t="s">
        <v>341</v>
      </c>
      <c r="F713" s="380"/>
      <c r="G713" s="366"/>
      <c r="H713" s="366"/>
      <c r="I713" s="366"/>
      <c r="J713" s="366"/>
      <c r="K713" s="367"/>
      <c r="L713" s="366"/>
      <c r="M713" s="366"/>
      <c r="N713" s="366"/>
      <c r="O713" s="366"/>
      <c r="P713" s="366"/>
      <c r="R713" s="368"/>
      <c r="S713" s="368"/>
      <c r="T713" s="126" t="s">
        <v>48</v>
      </c>
    </row>
    <row r="714" spans="2:20" hidden="1" outlineLevel="1">
      <c r="B714" s="199"/>
      <c r="C714" s="199"/>
      <c r="D714" s="375" t="s">
        <v>308</v>
      </c>
      <c r="E714" s="366"/>
      <c r="F714" s="366"/>
      <c r="G714" s="366"/>
      <c r="H714" s="366"/>
      <c r="I714" s="366"/>
      <c r="J714" s="366"/>
      <c r="K714" s="367"/>
      <c r="L714" s="366"/>
      <c r="M714" s="366"/>
      <c r="N714" s="366"/>
      <c r="O714" s="366"/>
      <c r="P714" s="366"/>
      <c r="R714" s="368"/>
      <c r="S714" s="368"/>
      <c r="T714" s="126" t="s">
        <v>48</v>
      </c>
    </row>
    <row r="715" spans="2:20" hidden="1" outlineLevel="1">
      <c r="B715" s="199"/>
      <c r="C715" s="199"/>
      <c r="D715" s="381"/>
      <c r="E715" s="366"/>
      <c r="F715" s="366"/>
      <c r="G715" s="366"/>
      <c r="H715" s="366"/>
      <c r="I715" s="366"/>
      <c r="J715" s="366"/>
      <c r="K715" s="385"/>
      <c r="L715" s="366"/>
      <c r="M715" s="366"/>
      <c r="N715" s="366"/>
      <c r="O715" s="366"/>
      <c r="P715" s="366"/>
      <c r="R715" s="368"/>
      <c r="S715" s="368"/>
      <c r="T715" s="126" t="s">
        <v>48</v>
      </c>
    </row>
    <row r="716" spans="2:20" hidden="1" outlineLevel="1">
      <c r="B716" s="199"/>
      <c r="C716" s="199"/>
      <c r="D716" s="369" t="s">
        <v>352</v>
      </c>
      <c r="E716" s="370"/>
      <c r="F716" s="370"/>
      <c r="G716" s="370"/>
      <c r="H716" s="370"/>
      <c r="I716" s="370"/>
      <c r="J716" s="370"/>
      <c r="K716" s="371">
        <v>11411.422316363638</v>
      </c>
      <c r="L716" s="370"/>
      <c r="M716" s="370"/>
      <c r="N716" s="370"/>
      <c r="O716" s="370"/>
      <c r="P716" s="370"/>
      <c r="R716" s="368"/>
      <c r="S716" s="368"/>
      <c r="T716" s="126" t="s">
        <v>48</v>
      </c>
    </row>
    <row r="717" spans="2:20" hidden="1" outlineLevel="1">
      <c r="B717" s="199"/>
      <c r="C717" s="199"/>
      <c r="D717" s="387" t="s">
        <v>337</v>
      </c>
      <c r="E717" s="366"/>
      <c r="F717" s="366"/>
      <c r="G717" s="366"/>
      <c r="H717" s="366"/>
      <c r="I717" s="366"/>
      <c r="J717" s="366"/>
      <c r="K717" s="388">
        <v>15.166</v>
      </c>
      <c r="L717" s="366"/>
      <c r="M717" s="366"/>
      <c r="N717" s="366"/>
      <c r="O717" s="366"/>
      <c r="P717" s="366"/>
      <c r="R717" s="368"/>
      <c r="S717" s="368"/>
      <c r="T717" s="126" t="s">
        <v>48</v>
      </c>
    </row>
    <row r="718" spans="2:20" hidden="1" outlineLevel="1">
      <c r="B718" s="199"/>
      <c r="C718" s="199"/>
      <c r="D718" s="372" t="s">
        <v>302</v>
      </c>
      <c r="E718" s="366"/>
      <c r="F718" s="366"/>
      <c r="G718" s="366"/>
      <c r="H718" s="366"/>
      <c r="I718" s="366"/>
      <c r="J718" s="366"/>
      <c r="K718" s="367"/>
      <c r="L718" s="366"/>
      <c r="M718" s="366"/>
      <c r="N718" s="366"/>
      <c r="O718" s="366"/>
      <c r="P718" s="366"/>
      <c r="R718" s="368"/>
      <c r="S718" s="368"/>
      <c r="T718" s="126" t="s">
        <v>48</v>
      </c>
    </row>
    <row r="719" spans="2:20" hidden="1" outlineLevel="1">
      <c r="B719" s="199"/>
      <c r="C719" s="199"/>
      <c r="D719" s="373" t="s">
        <v>302</v>
      </c>
      <c r="E719" s="366"/>
      <c r="F719" s="366"/>
      <c r="G719" s="366"/>
      <c r="H719" s="366"/>
      <c r="I719" s="366"/>
      <c r="J719" s="366"/>
      <c r="K719" s="374"/>
      <c r="L719" s="366"/>
      <c r="M719" s="366"/>
      <c r="N719" s="366"/>
      <c r="O719" s="366"/>
      <c r="P719" s="366"/>
      <c r="R719" s="368"/>
      <c r="S719" s="368"/>
      <c r="T719" s="126" t="s">
        <v>48</v>
      </c>
    </row>
    <row r="720" spans="2:20" ht="15.75" hidden="1" outlineLevel="1" thickBot="1">
      <c r="B720" s="199"/>
      <c r="C720" s="199"/>
      <c r="D720" s="375" t="s">
        <v>303</v>
      </c>
      <c r="E720" s="386">
        <v>2028</v>
      </c>
      <c r="F720" s="377"/>
      <c r="G720" s="366"/>
      <c r="H720" s="366"/>
      <c r="I720" s="366"/>
      <c r="J720" s="366"/>
      <c r="K720" s="367"/>
      <c r="L720" s="366"/>
      <c r="M720" s="366"/>
      <c r="N720" s="366"/>
      <c r="O720" s="366"/>
      <c r="P720" s="366"/>
      <c r="R720" s="368"/>
      <c r="S720" s="368"/>
      <c r="T720" s="126" t="s">
        <v>48</v>
      </c>
    </row>
    <row r="721" spans="2:20" ht="15.75" hidden="1" outlineLevel="1" thickBot="1">
      <c r="B721" s="199"/>
      <c r="C721" s="199"/>
      <c r="D721" s="375" t="s">
        <v>304</v>
      </c>
      <c r="E721" s="378" t="s">
        <v>340</v>
      </c>
      <c r="F721" s="390">
        <v>2.5000000000000001E-2</v>
      </c>
      <c r="G721" s="366"/>
      <c r="H721" s="366"/>
      <c r="I721" s="366"/>
      <c r="J721" s="366"/>
      <c r="K721" s="367"/>
      <c r="L721" s="366"/>
      <c r="M721" s="366"/>
      <c r="N721" s="366"/>
      <c r="O721" s="366"/>
      <c r="P721" s="366"/>
      <c r="R721" s="368"/>
      <c r="S721" s="368"/>
      <c r="T721" s="126" t="s">
        <v>48</v>
      </c>
    </row>
    <row r="722" spans="2:20" ht="15.75" hidden="1" outlineLevel="1" thickBot="1">
      <c r="B722" s="199"/>
      <c r="C722" s="199"/>
      <c r="D722" s="375" t="s">
        <v>306</v>
      </c>
      <c r="E722" s="379" t="s">
        <v>341</v>
      </c>
      <c r="F722" s="380"/>
      <c r="G722" s="366"/>
      <c r="H722" s="366"/>
      <c r="I722" s="366"/>
      <c r="J722" s="366"/>
      <c r="K722" s="367"/>
      <c r="L722" s="366"/>
      <c r="M722" s="366"/>
      <c r="N722" s="366"/>
      <c r="O722" s="366"/>
      <c r="P722" s="366"/>
      <c r="R722" s="368"/>
      <c r="S722" s="368"/>
      <c r="T722" s="126" t="s">
        <v>48</v>
      </c>
    </row>
    <row r="723" spans="2:20" hidden="1" outlineLevel="1">
      <c r="B723" s="199"/>
      <c r="C723" s="199"/>
      <c r="D723" s="375" t="s">
        <v>308</v>
      </c>
      <c r="E723" s="366"/>
      <c r="F723" s="366"/>
      <c r="G723" s="366"/>
      <c r="H723" s="366"/>
      <c r="I723" s="366"/>
      <c r="J723" s="366"/>
      <c r="K723" s="367"/>
      <c r="L723" s="366"/>
      <c r="M723" s="366"/>
      <c r="N723" s="366"/>
      <c r="O723" s="366"/>
      <c r="P723" s="366"/>
      <c r="R723" s="368"/>
      <c r="S723" s="368"/>
      <c r="T723" s="126" t="s">
        <v>48</v>
      </c>
    </row>
    <row r="724" spans="2:20" hidden="1" outlineLevel="1">
      <c r="B724" s="199"/>
      <c r="C724" s="199"/>
      <c r="D724" s="381"/>
      <c r="E724" s="366"/>
      <c r="F724" s="366"/>
      <c r="G724" s="366"/>
      <c r="H724" s="366"/>
      <c r="I724" s="366"/>
      <c r="J724" s="366"/>
      <c r="K724" s="385"/>
      <c r="L724" s="366"/>
      <c r="M724" s="366"/>
      <c r="N724" s="366"/>
      <c r="O724" s="366"/>
      <c r="P724" s="366"/>
      <c r="R724" s="368"/>
      <c r="S724" s="368"/>
      <c r="T724" s="126" t="s">
        <v>48</v>
      </c>
    </row>
    <row r="725" spans="2:20" hidden="1" outlineLevel="1">
      <c r="B725" s="199"/>
      <c r="C725" s="199"/>
      <c r="D725" s="369" t="s">
        <v>353</v>
      </c>
      <c r="E725" s="370"/>
      <c r="F725" s="370"/>
      <c r="G725" s="370"/>
      <c r="H725" s="370"/>
      <c r="I725" s="370"/>
      <c r="J725" s="370"/>
      <c r="K725" s="371">
        <v>9466.3790163636368</v>
      </c>
      <c r="L725" s="370"/>
      <c r="M725" s="370"/>
      <c r="N725" s="370"/>
      <c r="O725" s="370"/>
      <c r="P725" s="370"/>
      <c r="R725" s="368"/>
      <c r="S725" s="368"/>
      <c r="T725" s="126" t="s">
        <v>48</v>
      </c>
    </row>
    <row r="726" spans="2:20" hidden="1" outlineLevel="1">
      <c r="B726" s="199"/>
      <c r="C726" s="199"/>
      <c r="D726" s="387" t="s">
        <v>337</v>
      </c>
      <c r="E726" s="366"/>
      <c r="F726" s="366"/>
      <c r="G726" s="366"/>
      <c r="H726" s="366"/>
      <c r="I726" s="366"/>
      <c r="J726" s="366"/>
      <c r="K726" s="388">
        <v>12.581</v>
      </c>
      <c r="L726" s="366"/>
      <c r="M726" s="366"/>
      <c r="N726" s="366"/>
      <c r="O726" s="366"/>
      <c r="P726" s="366"/>
      <c r="R726" s="368"/>
      <c r="S726" s="368"/>
      <c r="T726" s="126" t="s">
        <v>48</v>
      </c>
    </row>
    <row r="727" spans="2:20" hidden="1" outlineLevel="1">
      <c r="B727" s="199"/>
      <c r="C727" s="199"/>
      <c r="D727" s="372" t="s">
        <v>302</v>
      </c>
      <c r="E727" s="366"/>
      <c r="F727" s="366"/>
      <c r="G727" s="366"/>
      <c r="H727" s="366"/>
      <c r="I727" s="366"/>
      <c r="J727" s="366"/>
      <c r="K727" s="367"/>
      <c r="L727" s="366"/>
      <c r="M727" s="366"/>
      <c r="N727" s="366"/>
      <c r="O727" s="366"/>
      <c r="P727" s="366"/>
      <c r="R727" s="368"/>
      <c r="S727" s="368"/>
      <c r="T727" s="126" t="s">
        <v>48</v>
      </c>
    </row>
    <row r="728" spans="2:20" hidden="1" outlineLevel="1">
      <c r="B728" s="199"/>
      <c r="C728" s="199"/>
      <c r="D728" s="373" t="s">
        <v>302</v>
      </c>
      <c r="E728" s="366"/>
      <c r="F728" s="366"/>
      <c r="G728" s="366"/>
      <c r="H728" s="366"/>
      <c r="I728" s="366"/>
      <c r="J728" s="366"/>
      <c r="K728" s="374"/>
      <c r="L728" s="366"/>
      <c r="M728" s="366"/>
      <c r="N728" s="366"/>
      <c r="O728" s="366"/>
      <c r="P728" s="366"/>
      <c r="R728" s="368"/>
      <c r="S728" s="368"/>
      <c r="T728" s="126" t="s">
        <v>48</v>
      </c>
    </row>
    <row r="729" spans="2:20" ht="15.75" hidden="1" outlineLevel="1" thickBot="1">
      <c r="B729" s="199"/>
      <c r="C729" s="199"/>
      <c r="D729" s="375" t="s">
        <v>303</v>
      </c>
      <c r="E729" s="386">
        <v>2027</v>
      </c>
      <c r="F729" s="377"/>
      <c r="G729" s="366"/>
      <c r="H729" s="366"/>
      <c r="I729" s="366"/>
      <c r="J729" s="366"/>
      <c r="K729" s="367"/>
      <c r="L729" s="366"/>
      <c r="M729" s="366"/>
      <c r="N729" s="366"/>
      <c r="O729" s="366"/>
      <c r="P729" s="366"/>
      <c r="R729" s="368"/>
      <c r="S729" s="368"/>
      <c r="T729" s="126" t="s">
        <v>48</v>
      </c>
    </row>
    <row r="730" spans="2:20" ht="15.75" hidden="1" outlineLevel="1" thickBot="1">
      <c r="B730" s="199"/>
      <c r="C730" s="199"/>
      <c r="D730" s="375" t="s">
        <v>304</v>
      </c>
      <c r="E730" s="378" t="s">
        <v>340</v>
      </c>
      <c r="F730" s="390">
        <v>2.9000000000000001E-2</v>
      </c>
      <c r="G730" s="366"/>
      <c r="H730" s="366"/>
      <c r="I730" s="366"/>
      <c r="J730" s="366"/>
      <c r="K730" s="367"/>
      <c r="L730" s="366"/>
      <c r="M730" s="366"/>
      <c r="N730" s="366"/>
      <c r="O730" s="366"/>
      <c r="P730" s="366"/>
      <c r="R730" s="368"/>
      <c r="S730" s="368"/>
      <c r="T730" s="126" t="s">
        <v>48</v>
      </c>
    </row>
    <row r="731" spans="2:20" ht="15.75" hidden="1" outlineLevel="1" thickBot="1">
      <c r="B731" s="199"/>
      <c r="C731" s="199"/>
      <c r="D731" s="375" t="s">
        <v>306</v>
      </c>
      <c r="E731" s="379" t="s">
        <v>341</v>
      </c>
      <c r="F731" s="380"/>
      <c r="G731" s="366"/>
      <c r="H731" s="366"/>
      <c r="I731" s="366"/>
      <c r="J731" s="366"/>
      <c r="K731" s="367"/>
      <c r="L731" s="366"/>
      <c r="M731" s="366"/>
      <c r="N731" s="366"/>
      <c r="O731" s="366"/>
      <c r="P731" s="366"/>
      <c r="R731" s="368"/>
      <c r="S731" s="368"/>
      <c r="T731" s="126" t="s">
        <v>48</v>
      </c>
    </row>
    <row r="732" spans="2:20" hidden="1" outlineLevel="1">
      <c r="B732" s="199"/>
      <c r="C732" s="199"/>
      <c r="D732" s="375" t="s">
        <v>308</v>
      </c>
      <c r="E732" s="366"/>
      <c r="F732" s="366"/>
      <c r="G732" s="366"/>
      <c r="H732" s="366"/>
      <c r="I732" s="366"/>
      <c r="J732" s="366"/>
      <c r="K732" s="367"/>
      <c r="L732" s="366"/>
      <c r="M732" s="366"/>
      <c r="N732" s="366"/>
      <c r="O732" s="366"/>
      <c r="P732" s="366"/>
      <c r="R732" s="368"/>
      <c r="S732" s="368"/>
      <c r="T732" s="126" t="s">
        <v>48</v>
      </c>
    </row>
    <row r="733" spans="2:20" hidden="1" outlineLevel="1">
      <c r="B733" s="199"/>
      <c r="C733" s="199"/>
      <c r="D733" s="381"/>
      <c r="E733" s="366"/>
      <c r="F733" s="366"/>
      <c r="G733" s="366"/>
      <c r="H733" s="366"/>
      <c r="I733" s="366"/>
      <c r="J733" s="366"/>
      <c r="K733" s="385"/>
      <c r="L733" s="366"/>
      <c r="M733" s="366"/>
      <c r="N733" s="366"/>
      <c r="O733" s="366"/>
      <c r="P733" s="366"/>
      <c r="R733" s="368"/>
      <c r="S733" s="368"/>
      <c r="T733" s="126" t="s">
        <v>48</v>
      </c>
    </row>
    <row r="734" spans="2:20" hidden="1" outlineLevel="1">
      <c r="B734" s="199"/>
      <c r="C734" s="199"/>
      <c r="D734" s="369" t="s">
        <v>354</v>
      </c>
      <c r="E734" s="370"/>
      <c r="F734" s="370"/>
      <c r="G734" s="370"/>
      <c r="H734" s="370"/>
      <c r="I734" s="370"/>
      <c r="J734" s="370"/>
      <c r="K734" s="371">
        <v>6398.7033745454546</v>
      </c>
      <c r="L734" s="370"/>
      <c r="M734" s="370"/>
      <c r="N734" s="370"/>
      <c r="O734" s="370"/>
      <c r="P734" s="370"/>
      <c r="R734" s="368"/>
      <c r="S734" s="368"/>
      <c r="T734" s="126" t="s">
        <v>48</v>
      </c>
    </row>
    <row r="735" spans="2:20" hidden="1" outlineLevel="1">
      <c r="B735" s="199"/>
      <c r="C735" s="199"/>
      <c r="D735" s="387" t="s">
        <v>337</v>
      </c>
      <c r="E735" s="366"/>
      <c r="F735" s="366"/>
      <c r="G735" s="366"/>
      <c r="H735" s="366"/>
      <c r="I735" s="366"/>
      <c r="J735" s="366"/>
      <c r="K735" s="388">
        <v>8.5039999999999996</v>
      </c>
      <c r="L735" s="366"/>
      <c r="M735" s="366"/>
      <c r="N735" s="366"/>
      <c r="O735" s="366"/>
      <c r="P735" s="366"/>
      <c r="R735" s="368"/>
      <c r="S735" s="368"/>
      <c r="T735" s="126" t="s">
        <v>48</v>
      </c>
    </row>
    <row r="736" spans="2:20" hidden="1" outlineLevel="1">
      <c r="B736" s="199"/>
      <c r="C736" s="199"/>
      <c r="D736" s="372" t="s">
        <v>302</v>
      </c>
      <c r="E736" s="366"/>
      <c r="F736" s="366"/>
      <c r="G736" s="366"/>
      <c r="H736" s="366"/>
      <c r="I736" s="366"/>
      <c r="J736" s="366"/>
      <c r="K736" s="367"/>
      <c r="L736" s="366"/>
      <c r="M736" s="366"/>
      <c r="N736" s="366"/>
      <c r="O736" s="366"/>
      <c r="P736" s="366"/>
      <c r="R736" s="368"/>
      <c r="S736" s="368"/>
      <c r="T736" s="126" t="s">
        <v>48</v>
      </c>
    </row>
    <row r="737" spans="2:20" hidden="1" outlineLevel="1">
      <c r="B737" s="199"/>
      <c r="C737" s="199"/>
      <c r="D737" s="373" t="s">
        <v>302</v>
      </c>
      <c r="E737" s="366"/>
      <c r="F737" s="366"/>
      <c r="G737" s="366"/>
      <c r="H737" s="366"/>
      <c r="I737" s="366"/>
      <c r="J737" s="366"/>
      <c r="K737" s="374"/>
      <c r="L737" s="366"/>
      <c r="M737" s="366"/>
      <c r="N737" s="366"/>
      <c r="O737" s="366"/>
      <c r="P737" s="366"/>
      <c r="R737" s="368"/>
      <c r="S737" s="368"/>
      <c r="T737" s="126" t="s">
        <v>48</v>
      </c>
    </row>
    <row r="738" spans="2:20" ht="15.75" hidden="1" outlineLevel="1" thickBot="1">
      <c r="B738" s="199"/>
      <c r="C738" s="199"/>
      <c r="D738" s="375" t="s">
        <v>303</v>
      </c>
      <c r="E738" s="386">
        <v>2026</v>
      </c>
      <c r="F738" s="377"/>
      <c r="G738" s="366"/>
      <c r="H738" s="366"/>
      <c r="I738" s="366"/>
      <c r="J738" s="366"/>
      <c r="K738" s="367"/>
      <c r="L738" s="366"/>
      <c r="M738" s="366"/>
      <c r="N738" s="366"/>
      <c r="O738" s="366"/>
      <c r="P738" s="366"/>
      <c r="R738" s="368"/>
      <c r="S738" s="368"/>
      <c r="T738" s="126" t="s">
        <v>48</v>
      </c>
    </row>
    <row r="739" spans="2:20" ht="15.75" hidden="1" outlineLevel="1" thickBot="1">
      <c r="B739" s="199"/>
      <c r="C739" s="199"/>
      <c r="D739" s="375" t="s">
        <v>304</v>
      </c>
      <c r="E739" s="378" t="s">
        <v>340</v>
      </c>
      <c r="F739" s="390">
        <v>2.5000000000000001E-2</v>
      </c>
      <c r="G739" s="366"/>
      <c r="H739" s="366"/>
      <c r="I739" s="366"/>
      <c r="J739" s="366"/>
      <c r="K739" s="367"/>
      <c r="L739" s="366"/>
      <c r="M739" s="366"/>
      <c r="N739" s="366"/>
      <c r="O739" s="366"/>
      <c r="P739" s="366"/>
      <c r="R739" s="368"/>
      <c r="S739" s="368"/>
      <c r="T739" s="126" t="s">
        <v>48</v>
      </c>
    </row>
    <row r="740" spans="2:20" ht="15.75" hidden="1" outlineLevel="1" thickBot="1">
      <c r="B740" s="199"/>
      <c r="C740" s="199"/>
      <c r="D740" s="375" t="s">
        <v>306</v>
      </c>
      <c r="E740" s="379" t="s">
        <v>341</v>
      </c>
      <c r="F740" s="380"/>
      <c r="G740" s="366"/>
      <c r="H740" s="366"/>
      <c r="I740" s="366"/>
      <c r="J740" s="366"/>
      <c r="K740" s="367"/>
      <c r="L740" s="366"/>
      <c r="M740" s="366"/>
      <c r="N740" s="366"/>
      <c r="O740" s="366"/>
      <c r="P740" s="366"/>
      <c r="R740" s="368"/>
      <c r="S740" s="368"/>
      <c r="T740" s="126" t="s">
        <v>48</v>
      </c>
    </row>
    <row r="741" spans="2:20" hidden="1" outlineLevel="1">
      <c r="B741" s="199"/>
      <c r="C741" s="199"/>
      <c r="D741" s="375" t="s">
        <v>308</v>
      </c>
      <c r="E741" s="366"/>
      <c r="F741" s="366"/>
      <c r="G741" s="366"/>
      <c r="H741" s="366"/>
      <c r="I741" s="366"/>
      <c r="J741" s="366"/>
      <c r="K741" s="367"/>
      <c r="L741" s="366"/>
      <c r="M741" s="366"/>
      <c r="N741" s="366"/>
      <c r="O741" s="366"/>
      <c r="P741" s="366"/>
      <c r="R741" s="368"/>
      <c r="S741" s="368"/>
      <c r="T741" s="126" t="s">
        <v>48</v>
      </c>
    </row>
    <row r="742" spans="2:20" hidden="1" outlineLevel="1">
      <c r="B742" s="199"/>
      <c r="C742" s="199"/>
      <c r="D742" s="381"/>
      <c r="E742" s="366"/>
      <c r="F742" s="366"/>
      <c r="G742" s="366"/>
      <c r="H742" s="366"/>
      <c r="I742" s="366"/>
      <c r="J742" s="366"/>
      <c r="K742" s="385"/>
      <c r="L742" s="366"/>
      <c r="M742" s="366"/>
      <c r="N742" s="366"/>
      <c r="O742" s="366"/>
      <c r="P742" s="366"/>
      <c r="R742" s="368"/>
      <c r="S742" s="368"/>
      <c r="T742" s="126" t="s">
        <v>48</v>
      </c>
    </row>
    <row r="743" spans="2:20" hidden="1" outlineLevel="1">
      <c r="B743" s="199"/>
      <c r="C743" s="199"/>
      <c r="D743" s="369" t="s">
        <v>355</v>
      </c>
      <c r="E743" s="370"/>
      <c r="F743" s="370"/>
      <c r="G743" s="370"/>
      <c r="H743" s="370"/>
      <c r="I743" s="370"/>
      <c r="J743" s="370"/>
      <c r="K743" s="371">
        <v>9698.1288563636372</v>
      </c>
      <c r="L743" s="370"/>
      <c r="M743" s="370"/>
      <c r="N743" s="370"/>
      <c r="O743" s="370"/>
      <c r="P743" s="370"/>
      <c r="R743" s="368"/>
      <c r="S743" s="368"/>
      <c r="T743" s="126" t="s">
        <v>48</v>
      </c>
    </row>
    <row r="744" spans="2:20" hidden="1" outlineLevel="1">
      <c r="B744" s="199"/>
      <c r="C744" s="199"/>
      <c r="D744" s="387" t="s">
        <v>337</v>
      </c>
      <c r="E744" s="366"/>
      <c r="F744" s="366"/>
      <c r="G744" s="366"/>
      <c r="H744" s="366"/>
      <c r="I744" s="366"/>
      <c r="J744" s="366"/>
      <c r="K744" s="388">
        <v>12.888999999999999</v>
      </c>
      <c r="L744" s="366"/>
      <c r="M744" s="366"/>
      <c r="N744" s="366"/>
      <c r="O744" s="366"/>
      <c r="P744" s="366"/>
      <c r="R744" s="368"/>
      <c r="S744" s="368"/>
      <c r="T744" s="126" t="s">
        <v>48</v>
      </c>
    </row>
    <row r="745" spans="2:20" hidden="1" outlineLevel="1">
      <c r="B745" s="199"/>
      <c r="C745" s="199"/>
      <c r="D745" s="372" t="s">
        <v>302</v>
      </c>
      <c r="E745" s="366"/>
      <c r="F745" s="366"/>
      <c r="G745" s="366"/>
      <c r="H745" s="366"/>
      <c r="I745" s="366"/>
      <c r="J745" s="366"/>
      <c r="K745" s="367"/>
      <c r="L745" s="366"/>
      <c r="M745" s="366"/>
      <c r="N745" s="366"/>
      <c r="O745" s="366"/>
      <c r="P745" s="366"/>
      <c r="R745" s="368"/>
      <c r="S745" s="368"/>
      <c r="T745" s="126" t="s">
        <v>48</v>
      </c>
    </row>
    <row r="746" spans="2:20" hidden="1" outlineLevel="1">
      <c r="B746" s="199"/>
      <c r="C746" s="199"/>
      <c r="D746" s="373" t="s">
        <v>302</v>
      </c>
      <c r="E746" s="366"/>
      <c r="F746" s="366"/>
      <c r="G746" s="366"/>
      <c r="H746" s="366"/>
      <c r="I746" s="366"/>
      <c r="J746" s="366"/>
      <c r="K746" s="374"/>
      <c r="L746" s="366"/>
      <c r="M746" s="366"/>
      <c r="N746" s="366"/>
      <c r="O746" s="366"/>
      <c r="P746" s="366"/>
      <c r="R746" s="368"/>
      <c r="S746" s="368"/>
      <c r="T746" s="126" t="s">
        <v>48</v>
      </c>
    </row>
    <row r="747" spans="2:20" ht="15.75" hidden="1" outlineLevel="1" thickBot="1">
      <c r="B747" s="199"/>
      <c r="C747" s="199"/>
      <c r="D747" s="375" t="s">
        <v>303</v>
      </c>
      <c r="E747" s="386">
        <v>2029</v>
      </c>
      <c r="F747" s="377"/>
      <c r="G747" s="366"/>
      <c r="H747" s="366"/>
      <c r="I747" s="366"/>
      <c r="J747" s="366"/>
      <c r="K747" s="367"/>
      <c r="L747" s="366"/>
      <c r="M747" s="366"/>
      <c r="N747" s="366"/>
      <c r="O747" s="366"/>
      <c r="P747" s="366"/>
      <c r="R747" s="368"/>
      <c r="S747" s="368"/>
      <c r="T747" s="126" t="s">
        <v>48</v>
      </c>
    </row>
    <row r="748" spans="2:20" ht="15.75" hidden="1" outlineLevel="1" thickBot="1">
      <c r="B748" s="199"/>
      <c r="C748" s="199"/>
      <c r="D748" s="375" t="s">
        <v>304</v>
      </c>
      <c r="E748" s="378" t="s">
        <v>340</v>
      </c>
      <c r="F748" s="390">
        <v>2.9499999999999998E-2</v>
      </c>
      <c r="G748" s="366"/>
      <c r="H748" s="366"/>
      <c r="I748" s="366"/>
      <c r="J748" s="366"/>
      <c r="K748" s="367"/>
      <c r="L748" s="366"/>
      <c r="M748" s="366"/>
      <c r="N748" s="366"/>
      <c r="O748" s="366"/>
      <c r="P748" s="366"/>
      <c r="R748" s="368"/>
      <c r="S748" s="368"/>
      <c r="T748" s="126" t="s">
        <v>48</v>
      </c>
    </row>
    <row r="749" spans="2:20" ht="15.75" hidden="1" outlineLevel="1" thickBot="1">
      <c r="B749" s="199"/>
      <c r="C749" s="199"/>
      <c r="D749" s="375" t="s">
        <v>306</v>
      </c>
      <c r="E749" s="379" t="s">
        <v>341</v>
      </c>
      <c r="F749" s="380"/>
      <c r="G749" s="366"/>
      <c r="H749" s="366"/>
      <c r="I749" s="366"/>
      <c r="J749" s="366"/>
      <c r="K749" s="367"/>
      <c r="L749" s="366"/>
      <c r="M749" s="366"/>
      <c r="N749" s="366"/>
      <c r="O749" s="366"/>
      <c r="P749" s="366"/>
      <c r="R749" s="368"/>
      <c r="S749" s="368"/>
      <c r="T749" s="126" t="s">
        <v>48</v>
      </c>
    </row>
    <row r="750" spans="2:20" hidden="1" outlineLevel="1">
      <c r="B750" s="199"/>
      <c r="C750" s="199"/>
      <c r="D750" s="375" t="s">
        <v>308</v>
      </c>
      <c r="E750" s="366"/>
      <c r="F750" s="366"/>
      <c r="G750" s="366"/>
      <c r="H750" s="366"/>
      <c r="I750" s="366"/>
      <c r="J750" s="366"/>
      <c r="K750" s="367"/>
      <c r="L750" s="366"/>
      <c r="M750" s="366"/>
      <c r="N750" s="366"/>
      <c r="O750" s="366"/>
      <c r="P750" s="366"/>
      <c r="R750" s="368"/>
      <c r="S750" s="368"/>
      <c r="T750" s="126" t="s">
        <v>48</v>
      </c>
    </row>
    <row r="751" spans="2:20" hidden="1" outlineLevel="1">
      <c r="B751" s="199"/>
      <c r="C751" s="199"/>
      <c r="D751" s="381"/>
      <c r="E751" s="366"/>
      <c r="F751" s="366"/>
      <c r="G751" s="366"/>
      <c r="H751" s="366"/>
      <c r="I751" s="366"/>
      <c r="J751" s="366"/>
      <c r="K751" s="385"/>
      <c r="L751" s="366"/>
      <c r="M751" s="366"/>
      <c r="N751" s="366"/>
      <c r="O751" s="366"/>
      <c r="P751" s="366"/>
      <c r="R751" s="368"/>
      <c r="S751" s="368"/>
      <c r="T751" s="126" t="s">
        <v>48</v>
      </c>
    </row>
    <row r="752" spans="2:20" hidden="1" outlineLevel="1">
      <c r="B752" s="199"/>
      <c r="C752" s="199"/>
      <c r="D752" s="369" t="s">
        <v>356</v>
      </c>
      <c r="E752" s="370"/>
      <c r="F752" s="370"/>
      <c r="G752" s="370"/>
      <c r="H752" s="370"/>
      <c r="I752" s="370"/>
      <c r="J752" s="370"/>
      <c r="K752" s="371">
        <v>9193.9977109090905</v>
      </c>
      <c r="L752" s="370"/>
      <c r="M752" s="370"/>
      <c r="N752" s="370"/>
      <c r="O752" s="370"/>
      <c r="P752" s="370"/>
      <c r="R752" s="368"/>
      <c r="S752" s="368"/>
      <c r="T752" s="126" t="s">
        <v>48</v>
      </c>
    </row>
    <row r="753" spans="2:20" hidden="1" outlineLevel="1">
      <c r="B753" s="199"/>
      <c r="C753" s="199"/>
      <c r="D753" s="387" t="s">
        <v>337</v>
      </c>
      <c r="E753" s="366"/>
      <c r="F753" s="366"/>
      <c r="G753" s="366"/>
      <c r="H753" s="366"/>
      <c r="I753" s="366"/>
      <c r="J753" s="366"/>
      <c r="K753" s="388">
        <v>12.218999999999999</v>
      </c>
      <c r="L753" s="366"/>
      <c r="M753" s="366"/>
      <c r="N753" s="366"/>
      <c r="O753" s="366"/>
      <c r="P753" s="366"/>
      <c r="R753" s="368"/>
      <c r="S753" s="368"/>
      <c r="T753" s="126" t="s">
        <v>48</v>
      </c>
    </row>
    <row r="754" spans="2:20" hidden="1" outlineLevel="1">
      <c r="B754" s="199"/>
      <c r="C754" s="199"/>
      <c r="D754" s="372" t="s">
        <v>302</v>
      </c>
      <c r="E754" s="366"/>
      <c r="F754" s="366"/>
      <c r="G754" s="366"/>
      <c r="H754" s="366"/>
      <c r="I754" s="366"/>
      <c r="J754" s="366"/>
      <c r="K754" s="367"/>
      <c r="L754" s="366"/>
      <c r="M754" s="366"/>
      <c r="N754" s="366"/>
      <c r="O754" s="366"/>
      <c r="P754" s="366"/>
      <c r="R754" s="368"/>
      <c r="S754" s="368"/>
      <c r="T754" s="126" t="s">
        <v>48</v>
      </c>
    </row>
    <row r="755" spans="2:20" hidden="1" outlineLevel="1">
      <c r="B755" s="199"/>
      <c r="C755" s="199"/>
      <c r="D755" s="373" t="s">
        <v>302</v>
      </c>
      <c r="E755" s="366"/>
      <c r="F755" s="366"/>
      <c r="G755" s="366"/>
      <c r="H755" s="366"/>
      <c r="I755" s="366"/>
      <c r="J755" s="366"/>
      <c r="K755" s="374"/>
      <c r="L755" s="366"/>
      <c r="M755" s="366"/>
      <c r="N755" s="366"/>
      <c r="O755" s="366"/>
      <c r="P755" s="366"/>
      <c r="R755" s="368"/>
      <c r="S755" s="368"/>
      <c r="T755" s="126" t="s">
        <v>48</v>
      </c>
    </row>
    <row r="756" spans="2:20" ht="15.75" hidden="1" outlineLevel="1" thickBot="1">
      <c r="B756" s="199"/>
      <c r="C756" s="199"/>
      <c r="D756" s="375" t="s">
        <v>303</v>
      </c>
      <c r="E756" s="386">
        <v>2029</v>
      </c>
      <c r="F756" s="377"/>
      <c r="G756" s="366"/>
      <c r="H756" s="366"/>
      <c r="I756" s="366"/>
      <c r="J756" s="366"/>
      <c r="K756" s="367"/>
      <c r="L756" s="366"/>
      <c r="M756" s="366"/>
      <c r="N756" s="366"/>
      <c r="O756" s="366"/>
      <c r="P756" s="366"/>
      <c r="R756" s="368"/>
      <c r="S756" s="368"/>
      <c r="T756" s="126" t="s">
        <v>48</v>
      </c>
    </row>
    <row r="757" spans="2:20" ht="15.75" hidden="1" outlineLevel="1" thickBot="1">
      <c r="B757" s="199"/>
      <c r="C757" s="199"/>
      <c r="D757" s="375" t="s">
        <v>304</v>
      </c>
      <c r="E757" s="378" t="s">
        <v>340</v>
      </c>
      <c r="F757" s="390">
        <v>2.5000000000000001E-2</v>
      </c>
      <c r="G757" s="366"/>
      <c r="H757" s="366"/>
      <c r="I757" s="366"/>
      <c r="J757" s="366"/>
      <c r="K757" s="367"/>
      <c r="L757" s="366"/>
      <c r="M757" s="366"/>
      <c r="N757" s="366"/>
      <c r="O757" s="366"/>
      <c r="P757" s="366"/>
      <c r="R757" s="368"/>
      <c r="S757" s="368"/>
      <c r="T757" s="126" t="s">
        <v>48</v>
      </c>
    </row>
    <row r="758" spans="2:20" ht="15.75" hidden="1" outlineLevel="1" thickBot="1">
      <c r="B758" s="199"/>
      <c r="C758" s="199"/>
      <c r="D758" s="375" t="s">
        <v>306</v>
      </c>
      <c r="E758" s="379" t="s">
        <v>341</v>
      </c>
      <c r="F758" s="380"/>
      <c r="G758" s="366"/>
      <c r="H758" s="366"/>
      <c r="I758" s="366"/>
      <c r="J758" s="366"/>
      <c r="K758" s="367"/>
      <c r="L758" s="366"/>
      <c r="M758" s="366"/>
      <c r="N758" s="366"/>
      <c r="O758" s="366"/>
      <c r="P758" s="366"/>
      <c r="R758" s="368"/>
      <c r="S758" s="368"/>
      <c r="T758" s="126" t="s">
        <v>48</v>
      </c>
    </row>
    <row r="759" spans="2:20" hidden="1" outlineLevel="1">
      <c r="B759" s="199"/>
      <c r="C759" s="199"/>
      <c r="D759" s="375" t="s">
        <v>308</v>
      </c>
      <c r="E759" s="366"/>
      <c r="F759" s="366"/>
      <c r="G759" s="366"/>
      <c r="H759" s="366"/>
      <c r="I759" s="366"/>
      <c r="J759" s="366"/>
      <c r="K759" s="367"/>
      <c r="L759" s="366"/>
      <c r="M759" s="366"/>
      <c r="N759" s="366"/>
      <c r="O759" s="366"/>
      <c r="P759" s="366"/>
      <c r="R759" s="368"/>
      <c r="S759" s="368"/>
      <c r="T759" s="126" t="s">
        <v>48</v>
      </c>
    </row>
    <row r="760" spans="2:20" hidden="1" outlineLevel="1">
      <c r="B760" s="199"/>
      <c r="C760" s="199"/>
      <c r="D760" s="381"/>
      <c r="E760" s="366"/>
      <c r="F760" s="366"/>
      <c r="G760" s="366"/>
      <c r="H760" s="366"/>
      <c r="I760" s="366"/>
      <c r="J760" s="366"/>
      <c r="K760" s="385"/>
      <c r="L760" s="366"/>
      <c r="M760" s="366"/>
      <c r="N760" s="366"/>
      <c r="O760" s="366"/>
      <c r="P760" s="366"/>
      <c r="R760" s="368"/>
      <c r="S760" s="368"/>
      <c r="T760" s="126" t="s">
        <v>48</v>
      </c>
    </row>
    <row r="761" spans="2:20" hidden="1" outlineLevel="1">
      <c r="B761" s="199"/>
      <c r="C761" s="199"/>
      <c r="D761" s="369" t="s">
        <v>357</v>
      </c>
      <c r="E761" s="370"/>
      <c r="F761" s="370"/>
      <c r="G761" s="370"/>
      <c r="H761" s="370"/>
      <c r="I761" s="370"/>
      <c r="J761" s="370"/>
      <c r="K761" s="371">
        <v>6480.7187400000003</v>
      </c>
      <c r="L761" s="370"/>
      <c r="M761" s="370"/>
      <c r="N761" s="370"/>
      <c r="O761" s="370"/>
      <c r="P761" s="370"/>
      <c r="R761" s="368"/>
      <c r="S761" s="368"/>
      <c r="T761" s="126" t="s">
        <v>48</v>
      </c>
    </row>
    <row r="762" spans="2:20" hidden="1" outlineLevel="1">
      <c r="B762" s="199"/>
      <c r="C762" s="199"/>
      <c r="D762" s="387" t="s">
        <v>337</v>
      </c>
      <c r="E762" s="366"/>
      <c r="F762" s="366"/>
      <c r="G762" s="366"/>
      <c r="H762" s="366"/>
      <c r="I762" s="366"/>
      <c r="J762" s="366"/>
      <c r="K762" s="388">
        <v>8.6129999999999995</v>
      </c>
      <c r="L762" s="366"/>
      <c r="M762" s="366"/>
      <c r="N762" s="366"/>
      <c r="O762" s="366"/>
      <c r="P762" s="366"/>
      <c r="R762" s="368"/>
      <c r="S762" s="368"/>
      <c r="T762" s="126" t="s">
        <v>48</v>
      </c>
    </row>
    <row r="763" spans="2:20" hidden="1" outlineLevel="1">
      <c r="B763" s="199"/>
      <c r="C763" s="199"/>
      <c r="D763" s="372" t="s">
        <v>302</v>
      </c>
      <c r="E763" s="366"/>
      <c r="F763" s="366"/>
      <c r="G763" s="366"/>
      <c r="H763" s="366"/>
      <c r="I763" s="366"/>
      <c r="J763" s="366"/>
      <c r="K763" s="367"/>
      <c r="L763" s="366"/>
      <c r="M763" s="366"/>
      <c r="N763" s="366"/>
      <c r="O763" s="366"/>
      <c r="P763" s="366"/>
      <c r="R763" s="368"/>
      <c r="S763" s="368"/>
      <c r="T763" s="126" t="s">
        <v>48</v>
      </c>
    </row>
    <row r="764" spans="2:20" hidden="1" outlineLevel="1">
      <c r="B764" s="199"/>
      <c r="C764" s="199"/>
      <c r="D764" s="373" t="s">
        <v>302</v>
      </c>
      <c r="E764" s="366"/>
      <c r="F764" s="366"/>
      <c r="G764" s="366"/>
      <c r="H764" s="366"/>
      <c r="I764" s="366"/>
      <c r="J764" s="366"/>
      <c r="K764" s="374"/>
      <c r="L764" s="366"/>
      <c r="M764" s="366"/>
      <c r="N764" s="366"/>
      <c r="O764" s="366"/>
      <c r="P764" s="366"/>
      <c r="R764" s="368"/>
      <c r="S764" s="368"/>
      <c r="T764" s="126" t="s">
        <v>48</v>
      </c>
    </row>
    <row r="765" spans="2:20" ht="15.75" hidden="1" outlineLevel="1" thickBot="1">
      <c r="B765" s="199"/>
      <c r="C765" s="199"/>
      <c r="D765" s="375" t="s">
        <v>303</v>
      </c>
      <c r="E765" s="386">
        <v>2026</v>
      </c>
      <c r="F765" s="377"/>
      <c r="G765" s="366"/>
      <c r="H765" s="366"/>
      <c r="I765" s="366"/>
      <c r="J765" s="366"/>
      <c r="K765" s="367"/>
      <c r="L765" s="366"/>
      <c r="M765" s="366"/>
      <c r="N765" s="366"/>
      <c r="O765" s="366"/>
      <c r="P765" s="366"/>
      <c r="R765" s="368"/>
      <c r="S765" s="368"/>
      <c r="T765" s="126" t="s">
        <v>48</v>
      </c>
    </row>
    <row r="766" spans="2:20" ht="15.75" hidden="1" outlineLevel="1" thickBot="1">
      <c r="B766" s="199"/>
      <c r="C766" s="199"/>
      <c r="D766" s="375" t="s">
        <v>304</v>
      </c>
      <c r="E766" s="378" t="s">
        <v>340</v>
      </c>
      <c r="F766" s="390">
        <v>2.1499999999999998E-2</v>
      </c>
      <c r="G766" s="366"/>
      <c r="H766" s="366"/>
      <c r="I766" s="366"/>
      <c r="J766" s="366"/>
      <c r="K766" s="367"/>
      <c r="L766" s="366"/>
      <c r="M766" s="366"/>
      <c r="N766" s="366"/>
      <c r="O766" s="366"/>
      <c r="P766" s="366"/>
      <c r="R766" s="368"/>
      <c r="S766" s="368"/>
      <c r="T766" s="126" t="s">
        <v>48</v>
      </c>
    </row>
    <row r="767" spans="2:20" ht="15.75" hidden="1" outlineLevel="1" thickBot="1">
      <c r="B767" s="199"/>
      <c r="C767" s="199"/>
      <c r="D767" s="375" t="s">
        <v>306</v>
      </c>
      <c r="E767" s="379" t="s">
        <v>341</v>
      </c>
      <c r="F767" s="380"/>
      <c r="G767" s="366"/>
      <c r="H767" s="366"/>
      <c r="I767" s="366"/>
      <c r="J767" s="366"/>
      <c r="K767" s="367"/>
      <c r="L767" s="366"/>
      <c r="M767" s="366"/>
      <c r="N767" s="366"/>
      <c r="O767" s="366"/>
      <c r="P767" s="366"/>
      <c r="R767" s="368"/>
      <c r="S767" s="368"/>
      <c r="T767" s="126" t="s">
        <v>48</v>
      </c>
    </row>
    <row r="768" spans="2:20" hidden="1" outlineLevel="1">
      <c r="B768" s="199"/>
      <c r="C768" s="199"/>
      <c r="D768" s="375" t="s">
        <v>308</v>
      </c>
      <c r="E768" s="366"/>
      <c r="F768" s="366"/>
      <c r="G768" s="366"/>
      <c r="H768" s="366"/>
      <c r="I768" s="366"/>
      <c r="J768" s="366"/>
      <c r="K768" s="367"/>
      <c r="L768" s="366"/>
      <c r="M768" s="366"/>
      <c r="N768" s="366"/>
      <c r="O768" s="366"/>
      <c r="P768" s="366"/>
      <c r="R768" s="368"/>
      <c r="S768" s="368"/>
      <c r="T768" s="126" t="s">
        <v>48</v>
      </c>
    </row>
    <row r="769" spans="2:20" hidden="1" outlineLevel="1">
      <c r="B769" s="199"/>
      <c r="C769" s="199"/>
      <c r="D769" s="381"/>
      <c r="E769" s="366"/>
      <c r="F769" s="366"/>
      <c r="G769" s="366"/>
      <c r="H769" s="366"/>
      <c r="I769" s="366"/>
      <c r="J769" s="366"/>
      <c r="K769" s="385"/>
      <c r="L769" s="366"/>
      <c r="M769" s="366"/>
      <c r="N769" s="366"/>
      <c r="O769" s="366"/>
      <c r="P769" s="366"/>
      <c r="R769" s="368"/>
      <c r="S769" s="368"/>
      <c r="T769" s="126" t="s">
        <v>48</v>
      </c>
    </row>
    <row r="770" spans="2:20" hidden="1" outlineLevel="1">
      <c r="B770" s="199"/>
      <c r="C770" s="199"/>
      <c r="D770" s="369" t="s">
        <v>358</v>
      </c>
      <c r="E770" s="370"/>
      <c r="F770" s="370"/>
      <c r="G770" s="370"/>
      <c r="H770" s="370"/>
      <c r="I770" s="370"/>
      <c r="J770" s="370"/>
      <c r="K770" s="371">
        <v>6732.7843127272736</v>
      </c>
      <c r="L770" s="370"/>
      <c r="M770" s="370"/>
      <c r="N770" s="370"/>
      <c r="O770" s="370"/>
      <c r="P770" s="370"/>
      <c r="R770" s="368"/>
      <c r="S770" s="368"/>
      <c r="T770" s="126" t="s">
        <v>48</v>
      </c>
    </row>
    <row r="771" spans="2:20" hidden="1" outlineLevel="1">
      <c r="B771" s="199"/>
      <c r="C771" s="199"/>
      <c r="D771" s="387" t="s">
        <v>337</v>
      </c>
      <c r="E771" s="366"/>
      <c r="F771" s="366"/>
      <c r="G771" s="366"/>
      <c r="H771" s="366"/>
      <c r="I771" s="366"/>
      <c r="J771" s="366"/>
      <c r="K771" s="388">
        <v>8.9480000000000004</v>
      </c>
      <c r="L771" s="366"/>
      <c r="M771" s="366"/>
      <c r="N771" s="366"/>
      <c r="O771" s="366"/>
      <c r="P771" s="366"/>
      <c r="R771" s="368"/>
      <c r="S771" s="368"/>
      <c r="T771" s="126" t="s">
        <v>48</v>
      </c>
    </row>
    <row r="772" spans="2:20" hidden="1" outlineLevel="1">
      <c r="B772" s="199"/>
      <c r="C772" s="199"/>
      <c r="D772" s="372" t="s">
        <v>302</v>
      </c>
      <c r="E772" s="366"/>
      <c r="F772" s="366"/>
      <c r="G772" s="366"/>
      <c r="H772" s="366"/>
      <c r="I772" s="366"/>
      <c r="J772" s="366"/>
      <c r="K772" s="367"/>
      <c r="L772" s="366"/>
      <c r="M772" s="366"/>
      <c r="N772" s="366"/>
      <c r="O772" s="366"/>
      <c r="P772" s="366"/>
      <c r="R772" s="368"/>
      <c r="S772" s="368"/>
      <c r="T772" s="126" t="s">
        <v>48</v>
      </c>
    </row>
    <row r="773" spans="2:20" hidden="1" outlineLevel="1">
      <c r="B773" s="199"/>
      <c r="C773" s="199"/>
      <c r="D773" s="373" t="s">
        <v>302</v>
      </c>
      <c r="E773" s="366"/>
      <c r="F773" s="366"/>
      <c r="G773" s="366"/>
      <c r="H773" s="366"/>
      <c r="I773" s="366"/>
      <c r="J773" s="366"/>
      <c r="K773" s="374"/>
      <c r="L773" s="366"/>
      <c r="M773" s="366"/>
      <c r="N773" s="366"/>
      <c r="O773" s="366"/>
      <c r="P773" s="366"/>
      <c r="R773" s="368"/>
      <c r="S773" s="368"/>
      <c r="T773" s="126" t="s">
        <v>48</v>
      </c>
    </row>
    <row r="774" spans="2:20" ht="15.75" hidden="1" outlineLevel="1" thickBot="1">
      <c r="B774" s="199"/>
      <c r="C774" s="199"/>
      <c r="D774" s="375" t="s">
        <v>303</v>
      </c>
      <c r="E774" s="386">
        <v>2027</v>
      </c>
      <c r="F774" s="377"/>
      <c r="G774" s="366"/>
      <c r="H774" s="366"/>
      <c r="I774" s="366"/>
      <c r="J774" s="366"/>
      <c r="K774" s="367"/>
      <c r="L774" s="366"/>
      <c r="M774" s="366"/>
      <c r="N774" s="366"/>
      <c r="O774" s="366"/>
      <c r="P774" s="366"/>
      <c r="R774" s="368"/>
      <c r="S774" s="368"/>
      <c r="T774" s="126" t="s">
        <v>48</v>
      </c>
    </row>
    <row r="775" spans="2:20" ht="15.75" hidden="1" outlineLevel="1" thickBot="1">
      <c r="B775" s="199"/>
      <c r="C775" s="199"/>
      <c r="D775" s="375" t="s">
        <v>304</v>
      </c>
      <c r="E775" s="378" t="s">
        <v>340</v>
      </c>
      <c r="F775" s="390">
        <v>1.6500000000000001E-2</v>
      </c>
      <c r="G775" s="366"/>
      <c r="H775" s="366"/>
      <c r="I775" s="366"/>
      <c r="J775" s="366"/>
      <c r="K775" s="367"/>
      <c r="L775" s="366"/>
      <c r="M775" s="366"/>
      <c r="N775" s="366"/>
      <c r="O775" s="366"/>
      <c r="P775" s="366"/>
      <c r="R775" s="368"/>
      <c r="S775" s="368"/>
      <c r="T775" s="126" t="s">
        <v>48</v>
      </c>
    </row>
    <row r="776" spans="2:20" ht="15.75" hidden="1" outlineLevel="1" thickBot="1">
      <c r="B776" s="199"/>
      <c r="C776" s="199"/>
      <c r="D776" s="375" t="s">
        <v>306</v>
      </c>
      <c r="E776" s="379" t="s">
        <v>341</v>
      </c>
      <c r="F776" s="380"/>
      <c r="G776" s="366"/>
      <c r="H776" s="366"/>
      <c r="I776" s="366"/>
      <c r="J776" s="366"/>
      <c r="K776" s="367"/>
      <c r="L776" s="366"/>
      <c r="M776" s="366"/>
      <c r="N776" s="366"/>
      <c r="O776" s="366"/>
      <c r="P776" s="366"/>
      <c r="R776" s="368"/>
      <c r="S776" s="368"/>
      <c r="T776" s="126" t="s">
        <v>48</v>
      </c>
    </row>
    <row r="777" spans="2:20" hidden="1" outlineLevel="1">
      <c r="B777" s="199"/>
      <c r="C777" s="199"/>
      <c r="D777" s="375" t="s">
        <v>308</v>
      </c>
      <c r="E777" s="366"/>
      <c r="F777" s="366"/>
      <c r="G777" s="366"/>
      <c r="H777" s="366"/>
      <c r="I777" s="366"/>
      <c r="J777" s="366"/>
      <c r="K777" s="367"/>
      <c r="L777" s="366"/>
      <c r="M777" s="366"/>
      <c r="N777" s="366"/>
      <c r="O777" s="366"/>
      <c r="P777" s="366"/>
      <c r="R777" s="368"/>
      <c r="S777" s="368"/>
      <c r="T777" s="126" t="s">
        <v>48</v>
      </c>
    </row>
    <row r="778" spans="2:20" hidden="1" outlineLevel="1">
      <c r="B778" s="199"/>
      <c r="C778" s="199"/>
      <c r="D778" s="381"/>
      <c r="E778" s="366"/>
      <c r="F778" s="366"/>
      <c r="G778" s="366"/>
      <c r="H778" s="366"/>
      <c r="I778" s="366"/>
      <c r="J778" s="366"/>
      <c r="K778" s="385"/>
      <c r="L778" s="366"/>
      <c r="M778" s="366"/>
      <c r="N778" s="366"/>
      <c r="O778" s="366"/>
      <c r="P778" s="366"/>
      <c r="R778" s="368"/>
      <c r="S778" s="368"/>
      <c r="T778" s="126" t="s">
        <v>48</v>
      </c>
    </row>
    <row r="779" spans="2:20" hidden="1" outlineLevel="1">
      <c r="B779" s="199"/>
      <c r="C779" s="199"/>
      <c r="D779" s="369" t="s">
        <v>359</v>
      </c>
      <c r="E779" s="370"/>
      <c r="F779" s="370"/>
      <c r="G779" s="370"/>
      <c r="H779" s="370"/>
      <c r="I779" s="370"/>
      <c r="J779" s="370"/>
      <c r="K779" s="371">
        <v>2722.3081854545453</v>
      </c>
      <c r="L779" s="370"/>
      <c r="M779" s="370"/>
      <c r="N779" s="370"/>
      <c r="O779" s="370"/>
      <c r="P779" s="370"/>
      <c r="R779" s="368"/>
      <c r="S779" s="368"/>
      <c r="T779" s="126" t="s">
        <v>48</v>
      </c>
    </row>
    <row r="780" spans="2:20" hidden="1" outlineLevel="1">
      <c r="B780" s="199"/>
      <c r="C780" s="199"/>
      <c r="D780" s="387" t="s">
        <v>337</v>
      </c>
      <c r="E780" s="366"/>
      <c r="F780" s="366"/>
      <c r="G780" s="366"/>
      <c r="H780" s="366"/>
      <c r="I780" s="366"/>
      <c r="J780" s="366"/>
      <c r="K780" s="388">
        <v>3.6179999999999999</v>
      </c>
      <c r="L780" s="366"/>
      <c r="M780" s="366"/>
      <c r="N780" s="366"/>
      <c r="O780" s="366"/>
      <c r="P780" s="366"/>
      <c r="R780" s="368"/>
      <c r="S780" s="368"/>
      <c r="T780" s="126" t="s">
        <v>48</v>
      </c>
    </row>
    <row r="781" spans="2:20" hidden="1" outlineLevel="1">
      <c r="B781" s="199"/>
      <c r="C781" s="199"/>
      <c r="D781" s="372" t="s">
        <v>302</v>
      </c>
      <c r="E781" s="366"/>
      <c r="F781" s="366"/>
      <c r="G781" s="366"/>
      <c r="H781" s="366"/>
      <c r="I781" s="366"/>
      <c r="J781" s="366"/>
      <c r="K781" s="367"/>
      <c r="L781" s="366"/>
      <c r="M781" s="366"/>
      <c r="N781" s="366"/>
      <c r="O781" s="366"/>
      <c r="P781" s="366"/>
      <c r="R781" s="368"/>
      <c r="S781" s="368"/>
      <c r="T781" s="126" t="s">
        <v>48</v>
      </c>
    </row>
    <row r="782" spans="2:20" hidden="1" outlineLevel="1">
      <c r="B782" s="199"/>
      <c r="C782" s="199"/>
      <c r="D782" s="373" t="s">
        <v>302</v>
      </c>
      <c r="E782" s="366"/>
      <c r="F782" s="366"/>
      <c r="G782" s="366"/>
      <c r="H782" s="366"/>
      <c r="I782" s="366"/>
      <c r="J782" s="366"/>
      <c r="K782" s="374"/>
      <c r="L782" s="366"/>
      <c r="M782" s="366"/>
      <c r="N782" s="366"/>
      <c r="O782" s="366"/>
      <c r="P782" s="366"/>
      <c r="R782" s="368"/>
      <c r="S782" s="368"/>
      <c r="T782" s="126" t="s">
        <v>48</v>
      </c>
    </row>
    <row r="783" spans="2:20" ht="15.75" hidden="1" outlineLevel="1" thickBot="1">
      <c r="B783" s="199"/>
      <c r="C783" s="199"/>
      <c r="D783" s="375" t="s">
        <v>303</v>
      </c>
      <c r="E783" s="386">
        <v>2027</v>
      </c>
      <c r="F783" s="377"/>
      <c r="G783" s="366"/>
      <c r="H783" s="366"/>
      <c r="I783" s="366"/>
      <c r="J783" s="366"/>
      <c r="K783" s="367"/>
      <c r="L783" s="366"/>
      <c r="M783" s="366"/>
      <c r="N783" s="366"/>
      <c r="O783" s="366"/>
      <c r="P783" s="366"/>
      <c r="R783" s="368"/>
      <c r="S783" s="368"/>
      <c r="T783" s="126" t="s">
        <v>48</v>
      </c>
    </row>
    <row r="784" spans="2:20" ht="15.75" hidden="1" outlineLevel="1" thickBot="1">
      <c r="B784" s="199"/>
      <c r="C784" s="199"/>
      <c r="D784" s="375" t="s">
        <v>304</v>
      </c>
      <c r="E784" s="378" t="s">
        <v>340</v>
      </c>
      <c r="F784" s="390">
        <v>0.03</v>
      </c>
      <c r="G784" s="366"/>
      <c r="H784" s="366"/>
      <c r="I784" s="366"/>
      <c r="J784" s="366"/>
      <c r="K784" s="367"/>
      <c r="L784" s="366"/>
      <c r="M784" s="366"/>
      <c r="N784" s="366"/>
      <c r="O784" s="366"/>
      <c r="P784" s="366"/>
      <c r="R784" s="368"/>
      <c r="S784" s="368"/>
      <c r="T784" s="126" t="s">
        <v>48</v>
      </c>
    </row>
    <row r="785" spans="2:20" ht="15.75" hidden="1" outlineLevel="1" thickBot="1">
      <c r="B785" s="199"/>
      <c r="C785" s="199"/>
      <c r="D785" s="375" t="s">
        <v>306</v>
      </c>
      <c r="E785" s="379" t="s">
        <v>341</v>
      </c>
      <c r="F785" s="380"/>
      <c r="G785" s="366"/>
      <c r="H785" s="366"/>
      <c r="I785" s="366"/>
      <c r="J785" s="366"/>
      <c r="K785" s="367"/>
      <c r="L785" s="366"/>
      <c r="M785" s="366"/>
      <c r="N785" s="366"/>
      <c r="O785" s="366"/>
      <c r="P785" s="366"/>
      <c r="R785" s="368"/>
      <c r="S785" s="368"/>
      <c r="T785" s="126" t="s">
        <v>48</v>
      </c>
    </row>
    <row r="786" spans="2:20" hidden="1" outlineLevel="1">
      <c r="B786" s="199"/>
      <c r="C786" s="199"/>
      <c r="D786" s="375" t="s">
        <v>308</v>
      </c>
      <c r="E786" s="366"/>
      <c r="F786" s="366"/>
      <c r="G786" s="366"/>
      <c r="H786" s="366"/>
      <c r="I786" s="366"/>
      <c r="J786" s="366"/>
      <c r="K786" s="367"/>
      <c r="L786" s="366"/>
      <c r="M786" s="366"/>
      <c r="N786" s="366"/>
      <c r="O786" s="366"/>
      <c r="P786" s="366"/>
      <c r="R786" s="368"/>
      <c r="S786" s="368"/>
      <c r="T786" s="126" t="s">
        <v>48</v>
      </c>
    </row>
    <row r="787" spans="2:20" hidden="1" outlineLevel="1">
      <c r="B787" s="199"/>
      <c r="C787" s="199"/>
      <c r="D787" s="381"/>
      <c r="E787" s="366"/>
      <c r="F787" s="366"/>
      <c r="G787" s="366"/>
      <c r="H787" s="366"/>
      <c r="I787" s="366"/>
      <c r="J787" s="366"/>
      <c r="K787" s="385"/>
      <c r="L787" s="366"/>
      <c r="M787" s="366"/>
      <c r="N787" s="366"/>
      <c r="O787" s="366"/>
      <c r="P787" s="366"/>
      <c r="R787" s="368"/>
      <c r="S787" s="368"/>
      <c r="T787" s="126" t="s">
        <v>48</v>
      </c>
    </row>
    <row r="788" spans="2:20" hidden="1" outlineLevel="1">
      <c r="B788" s="199"/>
      <c r="C788" s="199"/>
      <c r="D788" s="369" t="s">
        <v>360</v>
      </c>
      <c r="E788" s="370"/>
      <c r="F788" s="370"/>
      <c r="G788" s="370"/>
      <c r="H788" s="370"/>
      <c r="I788" s="370"/>
      <c r="J788" s="370"/>
      <c r="K788" s="371">
        <v>0</v>
      </c>
      <c r="L788" s="370"/>
      <c r="M788" s="370"/>
      <c r="N788" s="370"/>
      <c r="O788" s="370"/>
      <c r="P788" s="370"/>
      <c r="R788" s="368"/>
      <c r="S788" s="368"/>
      <c r="T788" s="126" t="s">
        <v>48</v>
      </c>
    </row>
    <row r="789" spans="2:20" hidden="1" outlineLevel="1">
      <c r="B789" s="199"/>
      <c r="C789" s="199"/>
      <c r="D789" s="387" t="s">
        <v>337</v>
      </c>
      <c r="E789" s="366"/>
      <c r="F789" s="366"/>
      <c r="G789" s="366"/>
      <c r="H789" s="366"/>
      <c r="I789" s="366"/>
      <c r="J789" s="366"/>
      <c r="K789" s="388" t="s">
        <v>235</v>
      </c>
      <c r="L789" s="366"/>
      <c r="M789" s="366"/>
      <c r="N789" s="366"/>
      <c r="O789" s="366"/>
      <c r="P789" s="366"/>
      <c r="R789" s="368"/>
      <c r="S789" s="368"/>
      <c r="T789" s="126" t="s">
        <v>48</v>
      </c>
    </row>
    <row r="790" spans="2:20" hidden="1" outlineLevel="1">
      <c r="B790" s="199"/>
      <c r="C790" s="199"/>
      <c r="D790" s="372" t="s">
        <v>302</v>
      </c>
      <c r="E790" s="366"/>
      <c r="F790" s="366"/>
      <c r="G790" s="366"/>
      <c r="H790" s="366"/>
      <c r="I790" s="366"/>
      <c r="J790" s="366"/>
      <c r="K790" s="367"/>
      <c r="L790" s="366"/>
      <c r="M790" s="366"/>
      <c r="N790" s="366"/>
      <c r="O790" s="366"/>
      <c r="P790" s="366"/>
      <c r="R790" s="368"/>
      <c r="S790" s="368"/>
      <c r="T790" s="126" t="s">
        <v>48</v>
      </c>
    </row>
    <row r="791" spans="2:20" hidden="1" outlineLevel="1">
      <c r="B791" s="199"/>
      <c r="C791" s="199"/>
      <c r="D791" s="373" t="s">
        <v>302</v>
      </c>
      <c r="E791" s="366"/>
      <c r="F791" s="366"/>
      <c r="G791" s="366"/>
      <c r="H791" s="366"/>
      <c r="I791" s="366"/>
      <c r="J791" s="366"/>
      <c r="K791" s="374"/>
      <c r="L791" s="366"/>
      <c r="M791" s="366"/>
      <c r="N791" s="366"/>
      <c r="O791" s="366"/>
      <c r="P791" s="366"/>
      <c r="R791" s="368"/>
      <c r="S791" s="368"/>
      <c r="T791" s="126" t="s">
        <v>48</v>
      </c>
    </row>
    <row r="792" spans="2:20" ht="15.75" hidden="1" outlineLevel="1" thickBot="1">
      <c r="B792" s="199"/>
      <c r="C792" s="199"/>
      <c r="D792" s="375" t="s">
        <v>303</v>
      </c>
      <c r="E792" s="386">
        <v>2025</v>
      </c>
      <c r="F792" s="377"/>
      <c r="G792" s="366"/>
      <c r="H792" s="366"/>
      <c r="I792" s="366"/>
      <c r="J792" s="366"/>
      <c r="K792" s="367"/>
      <c r="L792" s="366"/>
      <c r="M792" s="366"/>
      <c r="N792" s="366"/>
      <c r="O792" s="366"/>
      <c r="P792" s="366"/>
      <c r="R792" s="368"/>
      <c r="S792" s="368"/>
      <c r="T792" s="126" t="s">
        <v>48</v>
      </c>
    </row>
    <row r="793" spans="2:20" ht="15.75" hidden="1" outlineLevel="1" thickBot="1">
      <c r="B793" s="199"/>
      <c r="C793" s="199"/>
      <c r="D793" s="375" t="s">
        <v>304</v>
      </c>
      <c r="E793" s="378" t="s">
        <v>340</v>
      </c>
      <c r="F793" s="390">
        <v>2.0500000000000001E-2</v>
      </c>
      <c r="G793" s="366"/>
      <c r="H793" s="366"/>
      <c r="I793" s="366"/>
      <c r="J793" s="366"/>
      <c r="K793" s="367"/>
      <c r="L793" s="366"/>
      <c r="M793" s="366"/>
      <c r="N793" s="366"/>
      <c r="O793" s="366"/>
      <c r="P793" s="366"/>
      <c r="R793" s="368"/>
      <c r="S793" s="368"/>
      <c r="T793" s="126" t="s">
        <v>48</v>
      </c>
    </row>
    <row r="794" spans="2:20" ht="15.75" hidden="1" outlineLevel="1" thickBot="1">
      <c r="B794" s="199"/>
      <c r="C794" s="199"/>
      <c r="D794" s="375" t="s">
        <v>306</v>
      </c>
      <c r="E794" s="379" t="s">
        <v>341</v>
      </c>
      <c r="F794" s="380"/>
      <c r="G794" s="366"/>
      <c r="H794" s="366"/>
      <c r="I794" s="366"/>
      <c r="J794" s="366"/>
      <c r="K794" s="367"/>
      <c r="L794" s="366"/>
      <c r="M794" s="366"/>
      <c r="N794" s="366"/>
      <c r="O794" s="366"/>
      <c r="P794" s="366"/>
      <c r="R794" s="368"/>
      <c r="S794" s="368"/>
      <c r="T794" s="126" t="s">
        <v>48</v>
      </c>
    </row>
    <row r="795" spans="2:20" hidden="1" outlineLevel="1">
      <c r="B795" s="199"/>
      <c r="C795" s="199"/>
      <c r="D795" s="375" t="s">
        <v>308</v>
      </c>
      <c r="E795" s="366"/>
      <c r="F795" s="366"/>
      <c r="G795" s="366"/>
      <c r="H795" s="366"/>
      <c r="I795" s="366"/>
      <c r="J795" s="366"/>
      <c r="K795" s="367"/>
      <c r="L795" s="366"/>
      <c r="M795" s="366"/>
      <c r="N795" s="366"/>
      <c r="O795" s="366"/>
      <c r="P795" s="366"/>
      <c r="R795" s="368"/>
      <c r="S795" s="368"/>
      <c r="T795" s="126" t="s">
        <v>48</v>
      </c>
    </row>
    <row r="796" spans="2:20" hidden="1" outlineLevel="1">
      <c r="B796" s="199"/>
      <c r="C796" s="199"/>
      <c r="D796" s="381"/>
      <c r="E796" s="366"/>
      <c r="F796" s="366"/>
      <c r="G796" s="366"/>
      <c r="H796" s="366"/>
      <c r="I796" s="366"/>
      <c r="J796" s="366"/>
      <c r="K796" s="385"/>
      <c r="L796" s="366"/>
      <c r="M796" s="366"/>
      <c r="N796" s="366"/>
      <c r="O796" s="366"/>
      <c r="P796" s="366"/>
      <c r="R796" s="368"/>
      <c r="S796" s="368"/>
      <c r="T796" s="126" t="s">
        <v>48</v>
      </c>
    </row>
    <row r="797" spans="2:20" hidden="1" outlineLevel="1">
      <c r="B797" s="199"/>
      <c r="C797" s="199"/>
      <c r="D797" s="369" t="s">
        <v>361</v>
      </c>
      <c r="E797" s="370"/>
      <c r="F797" s="370"/>
      <c r="G797" s="370"/>
      <c r="H797" s="370"/>
      <c r="I797" s="370"/>
      <c r="J797" s="370"/>
      <c r="K797" s="371">
        <v>71086.253681818183</v>
      </c>
      <c r="L797" s="370"/>
      <c r="M797" s="370"/>
      <c r="N797" s="370"/>
      <c r="O797" s="370"/>
      <c r="P797" s="370"/>
      <c r="R797" s="368"/>
      <c r="S797" s="368"/>
      <c r="T797" s="126" t="s">
        <v>48</v>
      </c>
    </row>
    <row r="798" spans="2:20" hidden="1" outlineLevel="1">
      <c r="B798" s="199"/>
      <c r="C798" s="199"/>
      <c r="D798" s="387" t="s">
        <v>337</v>
      </c>
      <c r="E798" s="366"/>
      <c r="F798" s="366"/>
      <c r="G798" s="366"/>
      <c r="H798" s="366"/>
      <c r="I798" s="366"/>
      <c r="J798" s="366"/>
      <c r="K798" s="388">
        <v>94.474999999999994</v>
      </c>
      <c r="L798" s="366"/>
      <c r="M798" s="366"/>
      <c r="N798" s="366"/>
      <c r="O798" s="366"/>
      <c r="P798" s="366"/>
      <c r="R798" s="368"/>
      <c r="S798" s="368"/>
      <c r="T798" s="126" t="s">
        <v>48</v>
      </c>
    </row>
    <row r="799" spans="2:20" hidden="1" outlineLevel="1">
      <c r="B799" s="199"/>
      <c r="C799" s="199"/>
      <c r="D799" s="372" t="s">
        <v>302</v>
      </c>
      <c r="E799" s="366"/>
      <c r="F799" s="366"/>
      <c r="G799" s="366"/>
      <c r="H799" s="366"/>
      <c r="I799" s="366"/>
      <c r="J799" s="366"/>
      <c r="K799" s="367"/>
      <c r="L799" s="366"/>
      <c r="M799" s="366"/>
      <c r="N799" s="366"/>
      <c r="O799" s="366"/>
      <c r="P799" s="366"/>
      <c r="R799" s="368"/>
      <c r="S799" s="368"/>
      <c r="T799" s="126" t="s">
        <v>48</v>
      </c>
    </row>
    <row r="800" spans="2:20" hidden="1" outlineLevel="1">
      <c r="B800" s="199"/>
      <c r="C800" s="199"/>
      <c r="D800" s="373" t="s">
        <v>302</v>
      </c>
      <c r="E800" s="366"/>
      <c r="F800" s="366"/>
      <c r="G800" s="366"/>
      <c r="H800" s="366"/>
      <c r="I800" s="366"/>
      <c r="J800" s="366"/>
      <c r="K800" s="374"/>
      <c r="L800" s="366"/>
      <c r="M800" s="366"/>
      <c r="N800" s="366"/>
      <c r="O800" s="366"/>
      <c r="P800" s="366"/>
      <c r="R800" s="368"/>
      <c r="S800" s="368"/>
      <c r="T800" s="126" t="s">
        <v>48</v>
      </c>
    </row>
    <row r="801" spans="2:20" ht="15.75" hidden="1" outlineLevel="1" thickBot="1">
      <c r="B801" s="199"/>
      <c r="C801" s="199"/>
      <c r="D801" s="375" t="s">
        <v>303</v>
      </c>
      <c r="E801" s="386">
        <v>2030</v>
      </c>
      <c r="F801" s="377"/>
      <c r="G801" s="366"/>
      <c r="H801" s="366"/>
      <c r="I801" s="366"/>
      <c r="J801" s="366"/>
      <c r="K801" s="367"/>
      <c r="L801" s="366"/>
      <c r="M801" s="366"/>
      <c r="N801" s="366"/>
      <c r="O801" s="366"/>
      <c r="P801" s="366"/>
      <c r="R801" s="368"/>
      <c r="S801" s="368"/>
      <c r="T801" s="126" t="s">
        <v>48</v>
      </c>
    </row>
    <row r="802" spans="2:20" ht="15.75" hidden="1" outlineLevel="1" thickBot="1">
      <c r="B802" s="199"/>
      <c r="C802" s="199"/>
      <c r="D802" s="375" t="s">
        <v>304</v>
      </c>
      <c r="E802" s="378" t="s">
        <v>340</v>
      </c>
      <c r="F802" s="390">
        <v>2.1999999999999999E-2</v>
      </c>
      <c r="G802" s="366"/>
      <c r="H802" s="366"/>
      <c r="I802" s="366"/>
      <c r="J802" s="366"/>
      <c r="K802" s="367"/>
      <c r="L802" s="366"/>
      <c r="M802" s="366"/>
      <c r="N802" s="366"/>
      <c r="O802" s="366"/>
      <c r="P802" s="366"/>
      <c r="R802" s="368"/>
      <c r="S802" s="368"/>
      <c r="T802" s="126" t="s">
        <v>48</v>
      </c>
    </row>
    <row r="803" spans="2:20" ht="15.75" hidden="1" outlineLevel="1" thickBot="1">
      <c r="B803" s="199"/>
      <c r="C803" s="199"/>
      <c r="D803" s="375" t="s">
        <v>306</v>
      </c>
      <c r="E803" s="379" t="s">
        <v>341</v>
      </c>
      <c r="F803" s="380"/>
      <c r="G803" s="366"/>
      <c r="H803" s="366"/>
      <c r="I803" s="366"/>
      <c r="J803" s="366"/>
      <c r="K803" s="367"/>
      <c r="L803" s="366"/>
      <c r="M803" s="366"/>
      <c r="N803" s="366"/>
      <c r="O803" s="366"/>
      <c r="P803" s="366"/>
      <c r="R803" s="368"/>
      <c r="S803" s="368"/>
      <c r="T803" s="126" t="s">
        <v>48</v>
      </c>
    </row>
    <row r="804" spans="2:20" hidden="1" outlineLevel="1">
      <c r="B804" s="199"/>
      <c r="C804" s="199"/>
      <c r="D804" s="375" t="s">
        <v>308</v>
      </c>
      <c r="E804" s="366"/>
      <c r="F804" s="366"/>
      <c r="G804" s="366"/>
      <c r="H804" s="366"/>
      <c r="I804" s="366"/>
      <c r="J804" s="366"/>
      <c r="K804" s="367"/>
      <c r="L804" s="366"/>
      <c r="M804" s="366"/>
      <c r="N804" s="366"/>
      <c r="O804" s="366"/>
      <c r="P804" s="366"/>
      <c r="R804" s="368"/>
      <c r="S804" s="368"/>
      <c r="T804" s="126" t="s">
        <v>48</v>
      </c>
    </row>
    <row r="805" spans="2:20" hidden="1" outlineLevel="1">
      <c r="B805" s="199"/>
      <c r="C805" s="199"/>
      <c r="D805" s="381"/>
      <c r="E805" s="366"/>
      <c r="F805" s="366"/>
      <c r="G805" s="366"/>
      <c r="H805" s="366"/>
      <c r="I805" s="366"/>
      <c r="J805" s="366"/>
      <c r="K805" s="385"/>
      <c r="L805" s="366"/>
      <c r="M805" s="366"/>
      <c r="N805" s="366"/>
      <c r="O805" s="366"/>
      <c r="P805" s="366"/>
      <c r="R805" s="368"/>
      <c r="S805" s="368"/>
      <c r="T805" s="126" t="s">
        <v>48</v>
      </c>
    </row>
    <row r="806" spans="2:20" hidden="1" outlineLevel="1">
      <c r="B806" s="199"/>
      <c r="C806" s="199"/>
      <c r="D806" s="369" t="s">
        <v>362</v>
      </c>
      <c r="E806" s="370"/>
      <c r="F806" s="370"/>
      <c r="G806" s="370"/>
      <c r="H806" s="370"/>
      <c r="I806" s="370"/>
      <c r="J806" s="370"/>
      <c r="K806" s="371">
        <v>49189.655974545451</v>
      </c>
      <c r="L806" s="370"/>
      <c r="M806" s="370"/>
      <c r="N806" s="370"/>
      <c r="O806" s="370"/>
      <c r="P806" s="370"/>
      <c r="R806" s="368"/>
      <c r="S806" s="368"/>
      <c r="T806" s="126" t="s">
        <v>48</v>
      </c>
    </row>
    <row r="807" spans="2:20" hidden="1" outlineLevel="1">
      <c r="B807" s="199"/>
      <c r="C807" s="199"/>
      <c r="D807" s="387" t="s">
        <v>337</v>
      </c>
      <c r="E807" s="366"/>
      <c r="F807" s="366"/>
      <c r="G807" s="366"/>
      <c r="H807" s="366"/>
      <c r="I807" s="366"/>
      <c r="J807" s="366"/>
      <c r="K807" s="388">
        <v>65.373999999999995</v>
      </c>
      <c r="L807" s="366"/>
      <c r="M807" s="366"/>
      <c r="N807" s="366"/>
      <c r="O807" s="366"/>
      <c r="P807" s="366"/>
      <c r="R807" s="368"/>
      <c r="S807" s="368"/>
      <c r="T807" s="126" t="s">
        <v>48</v>
      </c>
    </row>
    <row r="808" spans="2:20" hidden="1" outlineLevel="1">
      <c r="B808" s="199"/>
      <c r="C808" s="199"/>
      <c r="D808" s="372" t="s">
        <v>302</v>
      </c>
      <c r="E808" s="366"/>
      <c r="F808" s="366"/>
      <c r="G808" s="366"/>
      <c r="H808" s="366"/>
      <c r="I808" s="366"/>
      <c r="J808" s="366"/>
      <c r="K808" s="367"/>
      <c r="L808" s="366"/>
      <c r="M808" s="366"/>
      <c r="N808" s="366"/>
      <c r="O808" s="366"/>
      <c r="P808" s="366"/>
      <c r="R808" s="368"/>
      <c r="S808" s="368"/>
      <c r="T808" s="126" t="s">
        <v>48</v>
      </c>
    </row>
    <row r="809" spans="2:20" hidden="1" outlineLevel="1">
      <c r="B809" s="199"/>
      <c r="C809" s="199"/>
      <c r="D809" s="373" t="s">
        <v>302</v>
      </c>
      <c r="E809" s="366"/>
      <c r="F809" s="366"/>
      <c r="G809" s="366"/>
      <c r="H809" s="366"/>
      <c r="I809" s="366"/>
      <c r="J809" s="366"/>
      <c r="K809" s="374"/>
      <c r="L809" s="366"/>
      <c r="M809" s="366"/>
      <c r="N809" s="366"/>
      <c r="O809" s="366"/>
      <c r="P809" s="366"/>
      <c r="R809" s="368"/>
      <c r="S809" s="368"/>
      <c r="T809" s="126" t="s">
        <v>48</v>
      </c>
    </row>
    <row r="810" spans="2:20" ht="15.75" hidden="1" outlineLevel="1" thickBot="1">
      <c r="B810" s="199"/>
      <c r="C810" s="199"/>
      <c r="D810" s="375" t="s">
        <v>303</v>
      </c>
      <c r="E810" s="386">
        <v>2028</v>
      </c>
      <c r="F810" s="377"/>
      <c r="G810" s="366"/>
      <c r="H810" s="366"/>
      <c r="I810" s="366"/>
      <c r="J810" s="366"/>
      <c r="K810" s="367"/>
      <c r="L810" s="366"/>
      <c r="M810" s="366"/>
      <c r="N810" s="366"/>
      <c r="O810" s="366"/>
      <c r="P810" s="366"/>
      <c r="R810" s="368"/>
      <c r="S810" s="368"/>
      <c r="T810" s="126" t="s">
        <v>48</v>
      </c>
    </row>
    <row r="811" spans="2:20" ht="15.75" hidden="1" outlineLevel="1" thickBot="1">
      <c r="B811" s="199"/>
      <c r="C811" s="199"/>
      <c r="D811" s="375" t="s">
        <v>304</v>
      </c>
      <c r="E811" s="378" t="s">
        <v>340</v>
      </c>
      <c r="F811" s="390">
        <v>2.1499999999999998E-2</v>
      </c>
      <c r="G811" s="366"/>
      <c r="H811" s="366"/>
      <c r="I811" s="366"/>
      <c r="J811" s="366"/>
      <c r="K811" s="367"/>
      <c r="L811" s="366"/>
      <c r="M811" s="366"/>
      <c r="N811" s="366"/>
      <c r="O811" s="366"/>
      <c r="P811" s="366"/>
      <c r="R811" s="368"/>
      <c r="S811" s="368"/>
      <c r="T811" s="126" t="s">
        <v>48</v>
      </c>
    </row>
    <row r="812" spans="2:20" ht="15.75" hidden="1" outlineLevel="1" thickBot="1">
      <c r="B812" s="199"/>
      <c r="C812" s="199"/>
      <c r="D812" s="375" t="s">
        <v>306</v>
      </c>
      <c r="E812" s="379" t="s">
        <v>341</v>
      </c>
      <c r="F812" s="380"/>
      <c r="G812" s="366"/>
      <c r="H812" s="366"/>
      <c r="I812" s="366"/>
      <c r="J812" s="366"/>
      <c r="K812" s="367"/>
      <c r="L812" s="366"/>
      <c r="M812" s="366"/>
      <c r="N812" s="366"/>
      <c r="O812" s="366"/>
      <c r="P812" s="366"/>
      <c r="R812" s="368"/>
      <c r="S812" s="368"/>
      <c r="T812" s="126" t="s">
        <v>48</v>
      </c>
    </row>
    <row r="813" spans="2:20" hidden="1" outlineLevel="1">
      <c r="B813" s="199"/>
      <c r="C813" s="199"/>
      <c r="D813" s="375" t="s">
        <v>308</v>
      </c>
      <c r="E813" s="366"/>
      <c r="F813" s="366"/>
      <c r="G813" s="366"/>
      <c r="H813" s="366"/>
      <c r="I813" s="366"/>
      <c r="J813" s="366"/>
      <c r="K813" s="367"/>
      <c r="L813" s="366"/>
      <c r="M813" s="366"/>
      <c r="N813" s="366"/>
      <c r="O813" s="366"/>
      <c r="P813" s="366"/>
      <c r="R813" s="368"/>
      <c r="S813" s="368"/>
      <c r="T813" s="126" t="s">
        <v>48</v>
      </c>
    </row>
    <row r="814" spans="2:20" hidden="1" outlineLevel="1">
      <c r="B814" s="199"/>
      <c r="C814" s="199"/>
      <c r="D814" s="381"/>
      <c r="E814" s="366"/>
      <c r="F814" s="366"/>
      <c r="G814" s="366"/>
      <c r="H814" s="366"/>
      <c r="I814" s="366"/>
      <c r="J814" s="366"/>
      <c r="K814" s="385"/>
      <c r="L814" s="366"/>
      <c r="M814" s="366"/>
      <c r="N814" s="366"/>
      <c r="O814" s="366"/>
      <c r="P814" s="366"/>
      <c r="R814" s="368"/>
      <c r="S814" s="368"/>
      <c r="T814" s="126" t="s">
        <v>48</v>
      </c>
    </row>
    <row r="815" spans="2:20" hidden="1" outlineLevel="1">
      <c r="B815" s="199"/>
      <c r="C815" s="199"/>
      <c r="D815" s="369" t="s">
        <v>363</v>
      </c>
      <c r="E815" s="370"/>
      <c r="F815" s="370"/>
      <c r="G815" s="370"/>
      <c r="H815" s="370"/>
      <c r="I815" s="370"/>
      <c r="J815" s="370"/>
      <c r="K815" s="371">
        <v>10139.0555</v>
      </c>
      <c r="L815" s="370"/>
      <c r="M815" s="370"/>
      <c r="N815" s="370"/>
      <c r="O815" s="370"/>
      <c r="P815" s="370"/>
      <c r="R815" s="368"/>
      <c r="S815" s="368"/>
      <c r="T815" s="126" t="s">
        <v>48</v>
      </c>
    </row>
    <row r="816" spans="2:20" hidden="1" outlineLevel="1">
      <c r="B816" s="199"/>
      <c r="C816" s="199"/>
      <c r="D816" s="387" t="s">
        <v>337</v>
      </c>
      <c r="E816" s="366"/>
      <c r="F816" s="366"/>
      <c r="G816" s="366"/>
      <c r="H816" s="366"/>
      <c r="I816" s="366"/>
      <c r="J816" s="366"/>
      <c r="K816" s="388">
        <v>13.475</v>
      </c>
      <c r="L816" s="366"/>
      <c r="M816" s="366"/>
      <c r="N816" s="366"/>
      <c r="O816" s="366"/>
      <c r="P816" s="366"/>
      <c r="R816" s="368"/>
      <c r="S816" s="368"/>
      <c r="T816" s="126" t="s">
        <v>48</v>
      </c>
    </row>
    <row r="817" spans="2:20" hidden="1" outlineLevel="1">
      <c r="B817" s="199"/>
      <c r="C817" s="199"/>
      <c r="D817" s="372" t="s">
        <v>302</v>
      </c>
      <c r="E817" s="366"/>
      <c r="F817" s="366"/>
      <c r="G817" s="366"/>
      <c r="H817" s="366"/>
      <c r="I817" s="366"/>
      <c r="J817" s="366"/>
      <c r="K817" s="367"/>
      <c r="L817" s="366"/>
      <c r="M817" s="366"/>
      <c r="N817" s="366"/>
      <c r="O817" s="366"/>
      <c r="P817" s="366"/>
      <c r="R817" s="368"/>
      <c r="S817" s="368"/>
      <c r="T817" s="126" t="s">
        <v>48</v>
      </c>
    </row>
    <row r="818" spans="2:20" hidden="1" outlineLevel="1">
      <c r="B818" s="199"/>
      <c r="C818" s="199"/>
      <c r="D818" s="373" t="s">
        <v>302</v>
      </c>
      <c r="E818" s="366"/>
      <c r="F818" s="366"/>
      <c r="G818" s="366"/>
      <c r="H818" s="366"/>
      <c r="I818" s="366"/>
      <c r="J818" s="366"/>
      <c r="K818" s="374"/>
      <c r="L818" s="366"/>
      <c r="M818" s="366"/>
      <c r="N818" s="366"/>
      <c r="O818" s="366"/>
      <c r="P818" s="366"/>
      <c r="R818" s="368"/>
      <c r="S818" s="368"/>
      <c r="T818" s="126" t="s">
        <v>48</v>
      </c>
    </row>
    <row r="819" spans="2:20" ht="15.75" hidden="1" outlineLevel="1" thickBot="1">
      <c r="B819" s="199"/>
      <c r="C819" s="199"/>
      <c r="D819" s="375" t="s">
        <v>303</v>
      </c>
      <c r="E819" s="386">
        <v>2028</v>
      </c>
      <c r="F819" s="377"/>
      <c r="G819" s="366"/>
      <c r="H819" s="366"/>
      <c r="I819" s="366"/>
      <c r="J819" s="366"/>
      <c r="K819" s="367"/>
      <c r="L819" s="366"/>
      <c r="M819" s="366"/>
      <c r="N819" s="366"/>
      <c r="O819" s="366"/>
      <c r="P819" s="366"/>
      <c r="R819" s="368"/>
      <c r="S819" s="368"/>
      <c r="T819" s="126" t="s">
        <v>48</v>
      </c>
    </row>
    <row r="820" spans="2:20" ht="15.75" hidden="1" outlineLevel="1" thickBot="1">
      <c r="B820" s="199"/>
      <c r="C820" s="199"/>
      <c r="D820" s="375" t="s">
        <v>304</v>
      </c>
      <c r="E820" s="378" t="s">
        <v>340</v>
      </c>
      <c r="F820" s="390">
        <v>2.0500000000000001E-2</v>
      </c>
      <c r="G820" s="366"/>
      <c r="H820" s="366"/>
      <c r="I820" s="366"/>
      <c r="J820" s="366"/>
      <c r="K820" s="367"/>
      <c r="L820" s="366"/>
      <c r="M820" s="366"/>
      <c r="N820" s="366"/>
      <c r="O820" s="366"/>
      <c r="P820" s="366"/>
      <c r="R820" s="368"/>
      <c r="S820" s="368"/>
      <c r="T820" s="126" t="s">
        <v>48</v>
      </c>
    </row>
    <row r="821" spans="2:20" ht="15.75" hidden="1" outlineLevel="1" thickBot="1">
      <c r="B821" s="199"/>
      <c r="C821" s="199"/>
      <c r="D821" s="375" t="s">
        <v>306</v>
      </c>
      <c r="E821" s="379" t="s">
        <v>341</v>
      </c>
      <c r="F821" s="380"/>
      <c r="G821" s="366"/>
      <c r="H821" s="366"/>
      <c r="I821" s="366"/>
      <c r="J821" s="366"/>
      <c r="K821" s="367"/>
      <c r="L821" s="366"/>
      <c r="M821" s="366"/>
      <c r="N821" s="366"/>
      <c r="O821" s="366"/>
      <c r="P821" s="366"/>
      <c r="R821" s="368"/>
      <c r="S821" s="368"/>
      <c r="T821" s="126" t="s">
        <v>48</v>
      </c>
    </row>
    <row r="822" spans="2:20" hidden="1" outlineLevel="1">
      <c r="B822" s="199"/>
      <c r="C822" s="199"/>
      <c r="D822" s="375" t="s">
        <v>308</v>
      </c>
      <c r="E822" s="366"/>
      <c r="F822" s="366"/>
      <c r="G822" s="366"/>
      <c r="H822" s="366"/>
      <c r="I822" s="366"/>
      <c r="J822" s="366"/>
      <c r="K822" s="367"/>
      <c r="L822" s="366"/>
      <c r="M822" s="366"/>
      <c r="N822" s="366"/>
      <c r="O822" s="366"/>
      <c r="P822" s="366"/>
      <c r="R822" s="368"/>
      <c r="S822" s="368"/>
      <c r="T822" s="126" t="s">
        <v>48</v>
      </c>
    </row>
    <row r="823" spans="2:20" hidden="1" outlineLevel="1">
      <c r="B823" s="199"/>
      <c r="C823" s="199"/>
      <c r="D823" s="381"/>
      <c r="E823" s="366"/>
      <c r="F823" s="366"/>
      <c r="G823" s="366"/>
      <c r="H823" s="366"/>
      <c r="I823" s="366"/>
      <c r="J823" s="366"/>
      <c r="K823" s="385"/>
      <c r="L823" s="366"/>
      <c r="M823" s="366"/>
      <c r="N823" s="366"/>
      <c r="O823" s="366"/>
      <c r="P823" s="366"/>
      <c r="R823" s="368"/>
      <c r="S823" s="368"/>
      <c r="T823" s="126" t="s">
        <v>48</v>
      </c>
    </row>
    <row r="824" spans="2:20" hidden="1" outlineLevel="1">
      <c r="B824" s="199"/>
      <c r="C824" s="199"/>
      <c r="D824" s="369" t="s">
        <v>364</v>
      </c>
      <c r="E824" s="370"/>
      <c r="F824" s="370"/>
      <c r="G824" s="370"/>
      <c r="H824" s="370"/>
      <c r="I824" s="370"/>
      <c r="J824" s="370"/>
      <c r="K824" s="371">
        <v>10139.0555</v>
      </c>
      <c r="L824" s="370"/>
      <c r="M824" s="370"/>
      <c r="N824" s="370"/>
      <c r="O824" s="370"/>
      <c r="P824" s="370"/>
      <c r="R824" s="368"/>
      <c r="S824" s="368"/>
      <c r="T824" s="126" t="s">
        <v>48</v>
      </c>
    </row>
    <row r="825" spans="2:20" hidden="1" outlineLevel="1">
      <c r="B825" s="199"/>
      <c r="C825" s="199"/>
      <c r="D825" s="387" t="s">
        <v>337</v>
      </c>
      <c r="E825" s="366"/>
      <c r="F825" s="366"/>
      <c r="G825" s="366"/>
      <c r="H825" s="366"/>
      <c r="I825" s="366"/>
      <c r="J825" s="366"/>
      <c r="K825" s="388">
        <v>13.475</v>
      </c>
      <c r="L825" s="366"/>
      <c r="M825" s="366"/>
      <c r="N825" s="366"/>
      <c r="O825" s="366"/>
      <c r="P825" s="366"/>
      <c r="R825" s="368"/>
      <c r="S825" s="368"/>
      <c r="T825" s="126" t="s">
        <v>48</v>
      </c>
    </row>
    <row r="826" spans="2:20" hidden="1" outlineLevel="1">
      <c r="B826" s="199"/>
      <c r="C826" s="199"/>
      <c r="D826" s="372" t="s">
        <v>302</v>
      </c>
      <c r="E826" s="366"/>
      <c r="F826" s="366"/>
      <c r="G826" s="366"/>
      <c r="H826" s="366"/>
      <c r="I826" s="366"/>
      <c r="J826" s="366"/>
      <c r="K826" s="367"/>
      <c r="L826" s="366"/>
      <c r="M826" s="366"/>
      <c r="N826" s="366"/>
      <c r="O826" s="366"/>
      <c r="P826" s="366"/>
      <c r="R826" s="368"/>
      <c r="S826" s="368"/>
      <c r="T826" s="126" t="s">
        <v>48</v>
      </c>
    </row>
    <row r="827" spans="2:20" hidden="1" outlineLevel="1">
      <c r="B827" s="199"/>
      <c r="C827" s="199"/>
      <c r="D827" s="373" t="s">
        <v>302</v>
      </c>
      <c r="E827" s="366"/>
      <c r="F827" s="366"/>
      <c r="G827" s="366"/>
      <c r="H827" s="366"/>
      <c r="I827" s="366"/>
      <c r="J827" s="366"/>
      <c r="K827" s="374"/>
      <c r="L827" s="366"/>
      <c r="M827" s="366"/>
      <c r="N827" s="366"/>
      <c r="O827" s="366"/>
      <c r="P827" s="366"/>
      <c r="R827" s="368"/>
      <c r="S827" s="368"/>
      <c r="T827" s="126" t="s">
        <v>48</v>
      </c>
    </row>
    <row r="828" spans="2:20" ht="15.75" hidden="1" outlineLevel="1" thickBot="1">
      <c r="B828" s="199"/>
      <c r="C828" s="199"/>
      <c r="D828" s="375" t="s">
        <v>303</v>
      </c>
      <c r="E828" s="386">
        <v>2028</v>
      </c>
      <c r="F828" s="377"/>
      <c r="G828" s="366"/>
      <c r="H828" s="366"/>
      <c r="I828" s="366"/>
      <c r="J828" s="366"/>
      <c r="K828" s="367"/>
      <c r="L828" s="366"/>
      <c r="M828" s="366"/>
      <c r="N828" s="366"/>
      <c r="O828" s="366"/>
      <c r="P828" s="366"/>
      <c r="R828" s="368"/>
      <c r="S828" s="368"/>
      <c r="T828" s="126" t="s">
        <v>48</v>
      </c>
    </row>
    <row r="829" spans="2:20" ht="15.75" hidden="1" outlineLevel="1" thickBot="1">
      <c r="B829" s="199"/>
      <c r="C829" s="199"/>
      <c r="D829" s="375" t="s">
        <v>304</v>
      </c>
      <c r="E829" s="378" t="s">
        <v>340</v>
      </c>
      <c r="F829" s="390">
        <v>2.0500000000000001E-2</v>
      </c>
      <c r="G829" s="366"/>
      <c r="H829" s="366"/>
      <c r="I829" s="366"/>
      <c r="J829" s="366"/>
      <c r="K829" s="367"/>
      <c r="L829" s="366"/>
      <c r="M829" s="366"/>
      <c r="N829" s="366"/>
      <c r="O829" s="366"/>
      <c r="P829" s="366"/>
      <c r="R829" s="368"/>
      <c r="S829" s="368"/>
      <c r="T829" s="126" t="s">
        <v>48</v>
      </c>
    </row>
    <row r="830" spans="2:20" ht="15.75" hidden="1" outlineLevel="1" thickBot="1">
      <c r="B830" s="199"/>
      <c r="C830" s="199"/>
      <c r="D830" s="375" t="s">
        <v>306</v>
      </c>
      <c r="E830" s="379" t="s">
        <v>341</v>
      </c>
      <c r="F830" s="380"/>
      <c r="G830" s="366"/>
      <c r="H830" s="366"/>
      <c r="I830" s="366"/>
      <c r="J830" s="366"/>
      <c r="K830" s="367"/>
      <c r="L830" s="366"/>
      <c r="M830" s="366"/>
      <c r="N830" s="366"/>
      <c r="O830" s="366"/>
      <c r="P830" s="366"/>
      <c r="R830" s="368"/>
      <c r="S830" s="368"/>
      <c r="T830" s="126" t="s">
        <v>48</v>
      </c>
    </row>
    <row r="831" spans="2:20" hidden="1" outlineLevel="1">
      <c r="B831" s="199"/>
      <c r="C831" s="199"/>
      <c r="D831" s="375" t="s">
        <v>308</v>
      </c>
      <c r="E831" s="366"/>
      <c r="F831" s="366"/>
      <c r="G831" s="366"/>
      <c r="H831" s="366"/>
      <c r="I831" s="366"/>
      <c r="J831" s="366"/>
      <c r="K831" s="367"/>
      <c r="L831" s="366"/>
      <c r="M831" s="366"/>
      <c r="N831" s="366"/>
      <c r="O831" s="366"/>
      <c r="P831" s="366"/>
      <c r="R831" s="368"/>
      <c r="S831" s="368"/>
      <c r="T831" s="126" t="s">
        <v>48</v>
      </c>
    </row>
    <row r="832" spans="2:20" hidden="1" outlineLevel="1">
      <c r="B832" s="199"/>
      <c r="C832" s="199"/>
      <c r="D832" s="381"/>
      <c r="E832" s="366"/>
      <c r="F832" s="366"/>
      <c r="G832" s="366"/>
      <c r="H832" s="366"/>
      <c r="I832" s="366"/>
      <c r="J832" s="366"/>
      <c r="K832" s="385"/>
      <c r="L832" s="366"/>
      <c r="M832" s="366"/>
      <c r="N832" s="366"/>
      <c r="O832" s="366"/>
      <c r="P832" s="366"/>
      <c r="R832" s="368"/>
      <c r="S832" s="368"/>
      <c r="T832" s="126" t="s">
        <v>48</v>
      </c>
    </row>
    <row r="833" spans="2:20" hidden="1" outlineLevel="1">
      <c r="B833" s="199"/>
      <c r="C833" s="199"/>
      <c r="D833" s="369" t="s">
        <v>365</v>
      </c>
      <c r="E833" s="370"/>
      <c r="F833" s="370"/>
      <c r="G833" s="370"/>
      <c r="H833" s="370"/>
      <c r="I833" s="370"/>
      <c r="J833" s="370"/>
      <c r="K833" s="371">
        <v>147.41109090909092</v>
      </c>
      <c r="L833" s="370"/>
      <c r="M833" s="370"/>
      <c r="N833" s="370"/>
      <c r="O833" s="370"/>
      <c r="P833" s="370"/>
      <c r="R833" s="368"/>
      <c r="S833" s="368"/>
      <c r="T833" s="126" t="s">
        <v>48</v>
      </c>
    </row>
    <row r="834" spans="2:20" hidden="1" outlineLevel="1">
      <c r="B834" s="199"/>
      <c r="C834" s="199"/>
      <c r="D834" s="387" t="s">
        <v>337</v>
      </c>
      <c r="E834" s="366"/>
      <c r="F834" s="366"/>
      <c r="G834" s="366"/>
      <c r="H834" s="366"/>
      <c r="I834" s="366"/>
      <c r="J834" s="366"/>
      <c r="K834" s="388">
        <v>231.64599999999999</v>
      </c>
      <c r="L834" s="366"/>
      <c r="M834" s="366"/>
      <c r="N834" s="366"/>
      <c r="O834" s="366"/>
      <c r="P834" s="366"/>
      <c r="R834" s="368"/>
      <c r="S834" s="368"/>
      <c r="T834" s="126" t="s">
        <v>48</v>
      </c>
    </row>
    <row r="835" spans="2:20" hidden="1" outlineLevel="1">
      <c r="B835" s="199"/>
      <c r="C835" s="199"/>
      <c r="D835" s="372" t="s">
        <v>302</v>
      </c>
      <c r="E835" s="366"/>
      <c r="F835" s="366"/>
      <c r="G835" s="366"/>
      <c r="H835" s="366"/>
      <c r="I835" s="366"/>
      <c r="J835" s="366"/>
      <c r="K835" s="367"/>
      <c r="L835" s="366"/>
      <c r="M835" s="366"/>
      <c r="N835" s="366"/>
      <c r="O835" s="366"/>
      <c r="P835" s="366"/>
      <c r="R835" s="368"/>
      <c r="S835" s="368"/>
      <c r="T835" s="126" t="s">
        <v>48</v>
      </c>
    </row>
    <row r="836" spans="2:20" hidden="1" outlineLevel="1">
      <c r="B836" s="199"/>
      <c r="C836" s="199"/>
      <c r="D836" s="373" t="s">
        <v>302</v>
      </c>
      <c r="E836" s="366"/>
      <c r="F836" s="366"/>
      <c r="G836" s="366"/>
      <c r="H836" s="366"/>
      <c r="I836" s="366"/>
      <c r="J836" s="366"/>
      <c r="K836" s="374"/>
      <c r="L836" s="366"/>
      <c r="M836" s="366"/>
      <c r="N836" s="366"/>
      <c r="O836" s="366"/>
      <c r="P836" s="366"/>
      <c r="R836" s="368"/>
      <c r="S836" s="368"/>
      <c r="T836" s="126" t="s">
        <v>48</v>
      </c>
    </row>
    <row r="837" spans="2:20" ht="15.75" hidden="1" outlineLevel="1" thickBot="1">
      <c r="B837" s="199"/>
      <c r="C837" s="199"/>
      <c r="D837" s="375" t="s">
        <v>303</v>
      </c>
      <c r="E837" s="386">
        <v>2028</v>
      </c>
      <c r="F837" s="377"/>
      <c r="G837" s="366"/>
      <c r="H837" s="366"/>
      <c r="I837" s="366"/>
      <c r="J837" s="366"/>
      <c r="K837" s="367"/>
      <c r="L837" s="366"/>
      <c r="M837" s="366"/>
      <c r="N837" s="366"/>
      <c r="O837" s="366"/>
      <c r="P837" s="366"/>
      <c r="R837" s="368"/>
      <c r="S837" s="368"/>
      <c r="T837" s="126" t="s">
        <v>48</v>
      </c>
    </row>
    <row r="838" spans="2:20" ht="15.75" hidden="1" outlineLevel="1" thickBot="1">
      <c r="B838" s="199"/>
      <c r="C838" s="199"/>
      <c r="D838" s="375" t="s">
        <v>304</v>
      </c>
      <c r="E838" s="378" t="s">
        <v>366</v>
      </c>
      <c r="F838" s="390">
        <v>8.0600000000000005E-2</v>
      </c>
      <c r="G838" s="366"/>
      <c r="H838" s="366"/>
      <c r="I838" s="366"/>
      <c r="J838" s="366"/>
      <c r="K838" s="367"/>
      <c r="L838" s="366"/>
      <c r="M838" s="366"/>
      <c r="N838" s="366"/>
      <c r="O838" s="366"/>
      <c r="P838" s="366"/>
      <c r="R838" s="368"/>
      <c r="S838" s="368"/>
      <c r="T838" s="126" t="s">
        <v>48</v>
      </c>
    </row>
    <row r="839" spans="2:20" ht="15.75" hidden="1" outlineLevel="1" thickBot="1">
      <c r="B839" s="199"/>
      <c r="C839" s="199"/>
      <c r="D839" s="375" t="s">
        <v>306</v>
      </c>
      <c r="E839" s="379" t="s">
        <v>367</v>
      </c>
      <c r="F839" s="380"/>
      <c r="G839" s="366"/>
      <c r="H839" s="366"/>
      <c r="I839" s="366"/>
      <c r="J839" s="366"/>
      <c r="K839" s="367"/>
      <c r="L839" s="366"/>
      <c r="M839" s="366"/>
      <c r="N839" s="366"/>
      <c r="O839" s="366"/>
      <c r="P839" s="366"/>
      <c r="R839" s="368"/>
      <c r="S839" s="368"/>
      <c r="T839" s="126" t="s">
        <v>48</v>
      </c>
    </row>
    <row r="840" spans="2:20" hidden="1" outlineLevel="1">
      <c r="B840" s="199"/>
      <c r="C840" s="199"/>
      <c r="D840" s="375" t="s">
        <v>308</v>
      </c>
      <c r="E840" s="366"/>
      <c r="F840" s="366"/>
      <c r="G840" s="366"/>
      <c r="H840" s="366"/>
      <c r="I840" s="366"/>
      <c r="J840" s="366"/>
      <c r="K840" s="367"/>
      <c r="L840" s="366"/>
      <c r="M840" s="366"/>
      <c r="N840" s="366"/>
      <c r="O840" s="366"/>
      <c r="P840" s="366"/>
      <c r="R840" s="368"/>
      <c r="S840" s="368"/>
      <c r="T840" s="126" t="s">
        <v>48</v>
      </c>
    </row>
    <row r="841" spans="2:20" hidden="1" outlineLevel="1">
      <c r="B841" s="199"/>
      <c r="C841" s="199"/>
      <c r="D841" s="381"/>
      <c r="E841" s="366"/>
      <c r="F841" s="366"/>
      <c r="G841" s="366"/>
      <c r="H841" s="366"/>
      <c r="I841" s="366"/>
      <c r="J841" s="366"/>
      <c r="K841" s="385"/>
      <c r="L841" s="366"/>
      <c r="M841" s="366"/>
      <c r="N841" s="366"/>
      <c r="O841" s="366"/>
      <c r="P841" s="366"/>
      <c r="R841" s="368"/>
      <c r="S841" s="368"/>
      <c r="T841" s="126" t="s">
        <v>48</v>
      </c>
    </row>
    <row r="842" spans="2:20" hidden="1" outlineLevel="1">
      <c r="B842" s="199"/>
      <c r="C842" s="199"/>
      <c r="D842" s="369" t="s">
        <v>368</v>
      </c>
      <c r="E842" s="370"/>
      <c r="F842" s="370"/>
      <c r="G842" s="370"/>
      <c r="H842" s="370"/>
      <c r="I842" s="370"/>
      <c r="J842" s="370"/>
      <c r="K842" s="371">
        <v>70.775090909090906</v>
      </c>
      <c r="L842" s="370"/>
      <c r="M842" s="370"/>
      <c r="N842" s="370"/>
      <c r="O842" s="370"/>
      <c r="P842" s="370"/>
      <c r="R842" s="368"/>
      <c r="S842" s="368"/>
      <c r="T842" s="126" t="s">
        <v>48</v>
      </c>
    </row>
    <row r="843" spans="2:20" hidden="1" outlineLevel="1">
      <c r="B843" s="199"/>
      <c r="C843" s="199"/>
      <c r="D843" s="387" t="s">
        <v>337</v>
      </c>
      <c r="E843" s="366"/>
      <c r="F843" s="366"/>
      <c r="G843" s="366"/>
      <c r="H843" s="366"/>
      <c r="I843" s="366"/>
      <c r="J843" s="366"/>
      <c r="K843" s="388">
        <v>111.218</v>
      </c>
      <c r="L843" s="366"/>
      <c r="M843" s="366"/>
      <c r="N843" s="366"/>
      <c r="O843" s="366"/>
      <c r="P843" s="366"/>
      <c r="R843" s="368"/>
      <c r="S843" s="368"/>
      <c r="T843" s="126" t="s">
        <v>48</v>
      </c>
    </row>
    <row r="844" spans="2:20" hidden="1" outlineLevel="1">
      <c r="B844" s="199"/>
      <c r="C844" s="199"/>
      <c r="D844" s="372" t="s">
        <v>302</v>
      </c>
      <c r="E844" s="366"/>
      <c r="F844" s="366"/>
      <c r="G844" s="366"/>
      <c r="H844" s="366"/>
      <c r="I844" s="366"/>
      <c r="J844" s="366"/>
      <c r="K844" s="367"/>
      <c r="L844" s="366"/>
      <c r="M844" s="366"/>
      <c r="N844" s="366"/>
      <c r="O844" s="366"/>
      <c r="P844" s="366"/>
      <c r="R844" s="368"/>
      <c r="S844" s="368"/>
      <c r="T844" s="126" t="s">
        <v>48</v>
      </c>
    </row>
    <row r="845" spans="2:20" hidden="1" outlineLevel="1">
      <c r="B845" s="199"/>
      <c r="C845" s="199"/>
      <c r="D845" s="373" t="s">
        <v>302</v>
      </c>
      <c r="E845" s="366"/>
      <c r="F845" s="366"/>
      <c r="G845" s="366"/>
      <c r="H845" s="366"/>
      <c r="I845" s="366"/>
      <c r="J845" s="366"/>
      <c r="K845" s="374"/>
      <c r="L845" s="366"/>
      <c r="M845" s="366"/>
      <c r="N845" s="366"/>
      <c r="O845" s="366"/>
      <c r="P845" s="366"/>
      <c r="R845" s="368"/>
      <c r="S845" s="368"/>
      <c r="T845" s="126" t="s">
        <v>48</v>
      </c>
    </row>
    <row r="846" spans="2:20" ht="15.75" hidden="1" outlineLevel="1" thickBot="1">
      <c r="B846" s="199"/>
      <c r="C846" s="199"/>
      <c r="D846" s="375" t="s">
        <v>303</v>
      </c>
      <c r="E846" s="386">
        <v>2028</v>
      </c>
      <c r="F846" s="377"/>
      <c r="G846" s="366"/>
      <c r="H846" s="366"/>
      <c r="I846" s="366"/>
      <c r="J846" s="366"/>
      <c r="K846" s="367"/>
      <c r="L846" s="366"/>
      <c r="M846" s="366"/>
      <c r="N846" s="366"/>
      <c r="O846" s="366"/>
      <c r="P846" s="366"/>
      <c r="R846" s="368"/>
      <c r="S846" s="368"/>
      <c r="T846" s="126" t="s">
        <v>48</v>
      </c>
    </row>
    <row r="847" spans="2:20" ht="15.75" hidden="1" outlineLevel="1" thickBot="1">
      <c r="B847" s="199"/>
      <c r="C847" s="199"/>
      <c r="D847" s="375" t="s">
        <v>304</v>
      </c>
      <c r="E847" s="378" t="s">
        <v>366</v>
      </c>
      <c r="F847" s="390">
        <v>7.2999999999999995E-2</v>
      </c>
      <c r="G847" s="366"/>
      <c r="H847" s="366"/>
      <c r="I847" s="366"/>
      <c r="J847" s="366"/>
      <c r="K847" s="367"/>
      <c r="L847" s="366"/>
      <c r="M847" s="366"/>
      <c r="N847" s="366"/>
      <c r="O847" s="366"/>
      <c r="P847" s="366"/>
      <c r="R847" s="368"/>
      <c r="S847" s="368"/>
      <c r="T847" s="126" t="s">
        <v>48</v>
      </c>
    </row>
    <row r="848" spans="2:20" ht="15.75" hidden="1" outlineLevel="1" thickBot="1">
      <c r="B848" s="199"/>
      <c r="C848" s="199"/>
      <c r="D848" s="375" t="s">
        <v>306</v>
      </c>
      <c r="E848" s="379" t="s">
        <v>367</v>
      </c>
      <c r="F848" s="380"/>
      <c r="G848" s="366"/>
      <c r="H848" s="366"/>
      <c r="I848" s="366"/>
      <c r="J848" s="366"/>
      <c r="K848" s="367"/>
      <c r="L848" s="366"/>
      <c r="M848" s="366"/>
      <c r="N848" s="366"/>
      <c r="O848" s="366"/>
      <c r="P848" s="366"/>
      <c r="R848" s="368"/>
      <c r="S848" s="368"/>
      <c r="T848" s="126" t="s">
        <v>48</v>
      </c>
    </row>
    <row r="849" spans="2:20" hidden="1" outlineLevel="1">
      <c r="B849" s="199"/>
      <c r="C849" s="199"/>
      <c r="D849" s="375" t="s">
        <v>308</v>
      </c>
      <c r="E849" s="366"/>
      <c r="F849" s="366"/>
      <c r="G849" s="366"/>
      <c r="H849" s="366"/>
      <c r="I849" s="366"/>
      <c r="J849" s="366"/>
      <c r="K849" s="367"/>
      <c r="L849" s="366"/>
      <c r="M849" s="366"/>
      <c r="N849" s="366"/>
      <c r="O849" s="366"/>
      <c r="P849" s="366"/>
      <c r="R849" s="368"/>
      <c r="S849" s="368"/>
      <c r="T849" s="126" t="s">
        <v>48</v>
      </c>
    </row>
    <row r="850" spans="2:20" hidden="1" outlineLevel="1">
      <c r="B850" s="199"/>
      <c r="C850" s="199"/>
      <c r="D850" s="381"/>
      <c r="E850" s="366"/>
      <c r="F850" s="366"/>
      <c r="G850" s="366"/>
      <c r="H850" s="366"/>
      <c r="I850" s="366"/>
      <c r="J850" s="366"/>
      <c r="K850" s="385"/>
      <c r="L850" s="366"/>
      <c r="M850" s="366"/>
      <c r="N850" s="366"/>
      <c r="O850" s="366"/>
      <c r="P850" s="366"/>
      <c r="R850" s="368"/>
      <c r="S850" s="368"/>
      <c r="T850" s="126" t="s">
        <v>48</v>
      </c>
    </row>
    <row r="851" spans="2:20" hidden="1" outlineLevel="1">
      <c r="B851" s="199"/>
      <c r="C851" s="199"/>
      <c r="D851" s="369" t="s">
        <v>369</v>
      </c>
      <c r="E851" s="370"/>
      <c r="F851" s="370"/>
      <c r="G851" s="370"/>
      <c r="H851" s="370"/>
      <c r="I851" s="370"/>
      <c r="J851" s="370"/>
      <c r="K851" s="371">
        <v>59.017000000000003</v>
      </c>
      <c r="L851" s="370"/>
      <c r="M851" s="370"/>
      <c r="N851" s="370"/>
      <c r="O851" s="370"/>
      <c r="P851" s="370"/>
      <c r="R851" s="368"/>
      <c r="S851" s="368"/>
      <c r="T851" s="126" t="s">
        <v>48</v>
      </c>
    </row>
    <row r="852" spans="2:20" hidden="1" outlineLevel="1">
      <c r="B852" s="199"/>
      <c r="C852" s="199"/>
      <c r="D852" s="387" t="s">
        <v>337</v>
      </c>
      <c r="E852" s="366"/>
      <c r="F852" s="366"/>
      <c r="G852" s="366"/>
      <c r="H852" s="366"/>
      <c r="I852" s="366"/>
      <c r="J852" s="366"/>
      <c r="K852" s="388">
        <v>92.741</v>
      </c>
      <c r="L852" s="366"/>
      <c r="M852" s="366"/>
      <c r="N852" s="366"/>
      <c r="O852" s="366"/>
      <c r="P852" s="366"/>
      <c r="R852" s="368"/>
      <c r="S852" s="368"/>
      <c r="T852" s="126" t="s">
        <v>48</v>
      </c>
    </row>
    <row r="853" spans="2:20" hidden="1" outlineLevel="1">
      <c r="B853" s="199"/>
      <c r="C853" s="199"/>
      <c r="D853" s="372" t="s">
        <v>302</v>
      </c>
      <c r="E853" s="366"/>
      <c r="F853" s="366"/>
      <c r="G853" s="366"/>
      <c r="H853" s="366"/>
      <c r="I853" s="366"/>
      <c r="J853" s="366"/>
      <c r="K853" s="367"/>
      <c r="L853" s="366"/>
      <c r="M853" s="366"/>
      <c r="N853" s="366"/>
      <c r="O853" s="366"/>
      <c r="P853" s="366"/>
      <c r="R853" s="368"/>
      <c r="S853" s="368"/>
      <c r="T853" s="126" t="s">
        <v>48</v>
      </c>
    </row>
    <row r="854" spans="2:20" hidden="1" outlineLevel="1">
      <c r="B854" s="199"/>
      <c r="C854" s="199"/>
      <c r="D854" s="373" t="s">
        <v>302</v>
      </c>
      <c r="E854" s="366"/>
      <c r="F854" s="366"/>
      <c r="G854" s="366"/>
      <c r="H854" s="366"/>
      <c r="I854" s="366"/>
      <c r="J854" s="366"/>
      <c r="K854" s="374"/>
      <c r="L854" s="366"/>
      <c r="M854" s="366"/>
      <c r="N854" s="366"/>
      <c r="O854" s="366"/>
      <c r="P854" s="366"/>
      <c r="R854" s="368"/>
      <c r="S854" s="368"/>
      <c r="T854" s="126" t="s">
        <v>48</v>
      </c>
    </row>
    <row r="855" spans="2:20" ht="15.75" hidden="1" outlineLevel="1" thickBot="1">
      <c r="B855" s="199"/>
      <c r="C855" s="199"/>
      <c r="D855" s="375" t="s">
        <v>303</v>
      </c>
      <c r="E855" s="386">
        <v>2028</v>
      </c>
      <c r="F855" s="377"/>
      <c r="G855" s="366"/>
      <c r="H855" s="366"/>
      <c r="I855" s="366"/>
      <c r="J855" s="366"/>
      <c r="K855" s="367"/>
      <c r="L855" s="366"/>
      <c r="M855" s="366"/>
      <c r="N855" s="366"/>
      <c r="O855" s="366"/>
      <c r="P855" s="366"/>
      <c r="R855" s="368"/>
      <c r="S855" s="368"/>
      <c r="T855" s="126" t="s">
        <v>48</v>
      </c>
    </row>
    <row r="856" spans="2:20" ht="15.75" hidden="1" outlineLevel="1" thickBot="1">
      <c r="B856" s="199"/>
      <c r="C856" s="199"/>
      <c r="D856" s="375" t="s">
        <v>304</v>
      </c>
      <c r="E856" s="378" t="s">
        <v>366</v>
      </c>
      <c r="F856" s="390">
        <v>7.5499999999999998E-2</v>
      </c>
      <c r="G856" s="366"/>
      <c r="H856" s="366"/>
      <c r="I856" s="366"/>
      <c r="J856" s="366"/>
      <c r="K856" s="367"/>
      <c r="L856" s="366"/>
      <c r="M856" s="366"/>
      <c r="N856" s="366"/>
      <c r="O856" s="366"/>
      <c r="P856" s="366"/>
      <c r="R856" s="368"/>
      <c r="S856" s="368"/>
      <c r="T856" s="126" t="s">
        <v>48</v>
      </c>
    </row>
    <row r="857" spans="2:20" ht="15.75" hidden="1" outlineLevel="1" thickBot="1">
      <c r="B857" s="199"/>
      <c r="C857" s="199"/>
      <c r="D857" s="375" t="s">
        <v>306</v>
      </c>
      <c r="E857" s="379" t="s">
        <v>367</v>
      </c>
      <c r="F857" s="380"/>
      <c r="G857" s="366"/>
      <c r="H857" s="366"/>
      <c r="I857" s="366"/>
      <c r="J857" s="366"/>
      <c r="K857" s="367"/>
      <c r="L857" s="366"/>
      <c r="M857" s="366"/>
      <c r="N857" s="366"/>
      <c r="O857" s="366"/>
      <c r="P857" s="366"/>
      <c r="R857" s="368"/>
      <c r="S857" s="368"/>
      <c r="T857" s="126" t="s">
        <v>48</v>
      </c>
    </row>
    <row r="858" spans="2:20" hidden="1" outlineLevel="1">
      <c r="B858" s="199"/>
      <c r="C858" s="199"/>
      <c r="D858" s="375" t="s">
        <v>308</v>
      </c>
      <c r="E858" s="366"/>
      <c r="F858" s="366"/>
      <c r="G858" s="366"/>
      <c r="H858" s="366"/>
      <c r="I858" s="366"/>
      <c r="J858" s="366"/>
      <c r="K858" s="367"/>
      <c r="L858" s="366"/>
      <c r="M858" s="366"/>
      <c r="N858" s="366"/>
      <c r="O858" s="366"/>
      <c r="P858" s="366"/>
      <c r="R858" s="368"/>
      <c r="S858" s="368"/>
      <c r="T858" s="126" t="s">
        <v>48</v>
      </c>
    </row>
    <row r="859" spans="2:20" hidden="1" outlineLevel="1">
      <c r="B859" s="199"/>
      <c r="C859" s="199"/>
      <c r="D859" s="381"/>
      <c r="E859" s="366"/>
      <c r="F859" s="366"/>
      <c r="G859" s="366"/>
      <c r="H859" s="366"/>
      <c r="I859" s="366"/>
      <c r="J859" s="366"/>
      <c r="K859" s="385"/>
      <c r="L859" s="366"/>
      <c r="M859" s="366"/>
      <c r="N859" s="366"/>
      <c r="O859" s="366"/>
      <c r="P859" s="366"/>
      <c r="R859" s="368"/>
      <c r="S859" s="368"/>
      <c r="T859" s="126" t="s">
        <v>48</v>
      </c>
    </row>
    <row r="860" spans="2:20" hidden="1" outlineLevel="1">
      <c r="B860" s="199"/>
      <c r="C860" s="199"/>
      <c r="D860" s="369" t="s">
        <v>370</v>
      </c>
      <c r="E860" s="370"/>
      <c r="F860" s="370"/>
      <c r="G860" s="370"/>
      <c r="H860" s="370"/>
      <c r="I860" s="370"/>
      <c r="J860" s="370"/>
      <c r="K860" s="371">
        <v>2.6829090909090909</v>
      </c>
      <c r="L860" s="370"/>
      <c r="M860" s="370"/>
      <c r="N860" s="370"/>
      <c r="O860" s="370"/>
      <c r="P860" s="370"/>
      <c r="R860" s="368"/>
      <c r="S860" s="368"/>
      <c r="T860" s="126" t="s">
        <v>48</v>
      </c>
    </row>
    <row r="861" spans="2:20" hidden="1" outlineLevel="1">
      <c r="B861" s="199"/>
      <c r="C861" s="199"/>
      <c r="D861" s="387" t="s">
        <v>337</v>
      </c>
      <c r="E861" s="366"/>
      <c r="F861" s="366"/>
      <c r="G861" s="366"/>
      <c r="H861" s="366"/>
      <c r="I861" s="366"/>
      <c r="J861" s="366"/>
      <c r="K861" s="388">
        <v>4.2160000000000002</v>
      </c>
      <c r="L861" s="366"/>
      <c r="M861" s="366"/>
      <c r="N861" s="366"/>
      <c r="O861" s="366"/>
      <c r="P861" s="366"/>
      <c r="R861" s="368"/>
      <c r="S861" s="368"/>
      <c r="T861" s="126" t="s">
        <v>48</v>
      </c>
    </row>
    <row r="862" spans="2:20" hidden="1" outlineLevel="1">
      <c r="B862" s="199"/>
      <c r="C862" s="199"/>
      <c r="D862" s="372" t="s">
        <v>302</v>
      </c>
      <c r="E862" s="366"/>
      <c r="F862" s="366"/>
      <c r="G862" s="366"/>
      <c r="H862" s="366"/>
      <c r="I862" s="366"/>
      <c r="J862" s="366"/>
      <c r="K862" s="367"/>
      <c r="L862" s="366"/>
      <c r="M862" s="366"/>
      <c r="N862" s="366"/>
      <c r="O862" s="366"/>
      <c r="P862" s="366"/>
      <c r="R862" s="368"/>
      <c r="S862" s="368"/>
      <c r="T862" s="126" t="s">
        <v>48</v>
      </c>
    </row>
    <row r="863" spans="2:20" hidden="1" outlineLevel="1">
      <c r="B863" s="199"/>
      <c r="C863" s="199"/>
      <c r="D863" s="373" t="s">
        <v>302</v>
      </c>
      <c r="E863" s="366"/>
      <c r="F863" s="366"/>
      <c r="G863" s="366"/>
      <c r="H863" s="366"/>
      <c r="I863" s="366"/>
      <c r="J863" s="366"/>
      <c r="K863" s="374"/>
      <c r="L863" s="366"/>
      <c r="M863" s="366"/>
      <c r="N863" s="366"/>
      <c r="O863" s="366"/>
      <c r="P863" s="366"/>
      <c r="R863" s="368"/>
      <c r="S863" s="368"/>
      <c r="T863" s="126" t="s">
        <v>48</v>
      </c>
    </row>
    <row r="864" spans="2:20" ht="15.75" hidden="1" outlineLevel="1" thickBot="1">
      <c r="B864" s="199"/>
      <c r="C864" s="199"/>
      <c r="D864" s="375" t="s">
        <v>303</v>
      </c>
      <c r="E864" s="386">
        <v>2025</v>
      </c>
      <c r="F864" s="377"/>
      <c r="G864" s="366"/>
      <c r="H864" s="366"/>
      <c r="I864" s="366"/>
      <c r="J864" s="366"/>
      <c r="K864" s="367"/>
      <c r="L864" s="366"/>
      <c r="M864" s="366"/>
      <c r="N864" s="366"/>
      <c r="O864" s="366"/>
      <c r="P864" s="366"/>
      <c r="R864" s="368"/>
      <c r="S864" s="368"/>
      <c r="T864" s="126" t="s">
        <v>48</v>
      </c>
    </row>
    <row r="865" spans="2:20" ht="15.75" hidden="1" outlineLevel="1" thickBot="1">
      <c r="B865" s="199"/>
      <c r="C865" s="199"/>
      <c r="D865" s="375" t="s">
        <v>304</v>
      </c>
      <c r="E865" s="378" t="s">
        <v>366</v>
      </c>
      <c r="F865" s="390">
        <v>4.7800000000000002E-2</v>
      </c>
      <c r="G865" s="366"/>
      <c r="H865" s="366"/>
      <c r="I865" s="366"/>
      <c r="J865" s="366"/>
      <c r="K865" s="367"/>
      <c r="L865" s="366"/>
      <c r="M865" s="366"/>
      <c r="N865" s="366"/>
      <c r="O865" s="366"/>
      <c r="P865" s="366"/>
      <c r="R865" s="368"/>
      <c r="S865" s="368"/>
      <c r="T865" s="126" t="s">
        <v>48</v>
      </c>
    </row>
    <row r="866" spans="2:20" ht="15.75" hidden="1" outlineLevel="1" thickBot="1">
      <c r="B866" s="199"/>
      <c r="C866" s="199"/>
      <c r="D866" s="375" t="s">
        <v>306</v>
      </c>
      <c r="E866" s="379" t="s">
        <v>367</v>
      </c>
      <c r="F866" s="380"/>
      <c r="G866" s="366"/>
      <c r="H866" s="366"/>
      <c r="I866" s="366"/>
      <c r="J866" s="366"/>
      <c r="K866" s="367"/>
      <c r="L866" s="366"/>
      <c r="M866" s="366"/>
      <c r="N866" s="366"/>
      <c r="O866" s="366"/>
      <c r="P866" s="366"/>
      <c r="R866" s="368"/>
      <c r="S866" s="368"/>
      <c r="T866" s="126" t="s">
        <v>48</v>
      </c>
    </row>
    <row r="867" spans="2:20" hidden="1" outlineLevel="1">
      <c r="B867" s="199"/>
      <c r="C867" s="199"/>
      <c r="D867" s="375" t="s">
        <v>308</v>
      </c>
      <c r="E867" s="366"/>
      <c r="F867" s="366"/>
      <c r="G867" s="366"/>
      <c r="H867" s="366"/>
      <c r="I867" s="366"/>
      <c r="J867" s="366"/>
      <c r="K867" s="367"/>
      <c r="L867" s="366"/>
      <c r="M867" s="366"/>
      <c r="N867" s="366"/>
      <c r="O867" s="366"/>
      <c r="P867" s="366"/>
      <c r="R867" s="368"/>
      <c r="S867" s="368"/>
      <c r="T867" s="126" t="s">
        <v>48</v>
      </c>
    </row>
    <row r="868" spans="2:20" hidden="1" outlineLevel="1">
      <c r="B868" s="199"/>
      <c r="C868" s="199"/>
      <c r="D868" s="381"/>
      <c r="E868" s="366"/>
      <c r="F868" s="366"/>
      <c r="G868" s="366"/>
      <c r="H868" s="366"/>
      <c r="I868" s="366"/>
      <c r="J868" s="366"/>
      <c r="K868" s="385"/>
      <c r="L868" s="366"/>
      <c r="M868" s="366"/>
      <c r="N868" s="366"/>
      <c r="O868" s="366"/>
      <c r="P868" s="366"/>
      <c r="R868" s="368"/>
      <c r="S868" s="368"/>
      <c r="T868" s="126" t="s">
        <v>48</v>
      </c>
    </row>
    <row r="869" spans="2:20" hidden="1" outlineLevel="1">
      <c r="B869" s="199"/>
      <c r="C869" s="199"/>
      <c r="D869" s="369" t="s">
        <v>371</v>
      </c>
      <c r="E869" s="370"/>
      <c r="F869" s="370"/>
      <c r="G869" s="370"/>
      <c r="H869" s="370"/>
      <c r="I869" s="370"/>
      <c r="J869" s="370"/>
      <c r="K869" s="371">
        <v>17.917454545454547</v>
      </c>
      <c r="L869" s="370"/>
      <c r="M869" s="370"/>
      <c r="N869" s="370"/>
      <c r="O869" s="370"/>
      <c r="P869" s="370"/>
      <c r="R869" s="368"/>
      <c r="S869" s="368"/>
      <c r="T869" s="126" t="s">
        <v>48</v>
      </c>
    </row>
    <row r="870" spans="2:20" hidden="1" outlineLevel="1">
      <c r="B870" s="199"/>
      <c r="C870" s="199"/>
      <c r="D870" s="387" t="s">
        <v>337</v>
      </c>
      <c r="E870" s="366"/>
      <c r="F870" s="366"/>
      <c r="G870" s="366"/>
      <c r="H870" s="366"/>
      <c r="I870" s="366"/>
      <c r="J870" s="366"/>
      <c r="K870" s="388">
        <v>28.155999999999999</v>
      </c>
      <c r="L870" s="366"/>
      <c r="M870" s="366"/>
      <c r="N870" s="366"/>
      <c r="O870" s="366"/>
      <c r="P870" s="366"/>
      <c r="R870" s="368"/>
      <c r="S870" s="368"/>
      <c r="T870" s="126" t="s">
        <v>48</v>
      </c>
    </row>
    <row r="871" spans="2:20" hidden="1" outlineLevel="1">
      <c r="B871" s="199"/>
      <c r="C871" s="199"/>
      <c r="D871" s="372" t="s">
        <v>302</v>
      </c>
      <c r="E871" s="366"/>
      <c r="F871" s="366"/>
      <c r="G871" s="366"/>
      <c r="H871" s="366"/>
      <c r="I871" s="366"/>
      <c r="J871" s="366"/>
      <c r="K871" s="367"/>
      <c r="L871" s="366"/>
      <c r="M871" s="366"/>
      <c r="N871" s="366"/>
      <c r="O871" s="366"/>
      <c r="P871" s="366"/>
      <c r="R871" s="368"/>
      <c r="S871" s="368"/>
      <c r="T871" s="126" t="s">
        <v>48</v>
      </c>
    </row>
    <row r="872" spans="2:20" hidden="1" outlineLevel="1">
      <c r="B872" s="199"/>
      <c r="C872" s="199"/>
      <c r="D872" s="373" t="s">
        <v>302</v>
      </c>
      <c r="E872" s="366"/>
      <c r="F872" s="366"/>
      <c r="G872" s="366"/>
      <c r="H872" s="366"/>
      <c r="I872" s="366"/>
      <c r="J872" s="366"/>
      <c r="K872" s="374"/>
      <c r="L872" s="366"/>
      <c r="M872" s="366"/>
      <c r="N872" s="366"/>
      <c r="O872" s="366"/>
      <c r="P872" s="366"/>
      <c r="R872" s="368"/>
      <c r="S872" s="368"/>
      <c r="T872" s="126" t="s">
        <v>48</v>
      </c>
    </row>
    <row r="873" spans="2:20" ht="15.75" hidden="1" outlineLevel="1" thickBot="1">
      <c r="B873" s="199"/>
      <c r="C873" s="199"/>
      <c r="D873" s="375" t="s">
        <v>303</v>
      </c>
      <c r="E873" s="386">
        <v>2029</v>
      </c>
      <c r="F873" s="377"/>
      <c r="G873" s="366"/>
      <c r="H873" s="366"/>
      <c r="I873" s="366"/>
      <c r="J873" s="366"/>
      <c r="K873" s="367"/>
      <c r="L873" s="366"/>
      <c r="M873" s="366"/>
      <c r="N873" s="366"/>
      <c r="O873" s="366"/>
      <c r="P873" s="366"/>
      <c r="R873" s="368"/>
      <c r="S873" s="368"/>
      <c r="T873" s="126" t="s">
        <v>48</v>
      </c>
    </row>
    <row r="874" spans="2:20" ht="15.75" hidden="1" outlineLevel="1" thickBot="1">
      <c r="B874" s="199"/>
      <c r="C874" s="199"/>
      <c r="D874" s="375" t="s">
        <v>304</v>
      </c>
      <c r="E874" s="378" t="s">
        <v>366</v>
      </c>
      <c r="F874" s="390">
        <v>7.4300000000000005E-2</v>
      </c>
      <c r="G874" s="366"/>
      <c r="H874" s="366"/>
      <c r="I874" s="366"/>
      <c r="J874" s="366"/>
      <c r="K874" s="367"/>
      <c r="L874" s="366"/>
      <c r="M874" s="366"/>
      <c r="N874" s="366"/>
      <c r="O874" s="366"/>
      <c r="P874" s="366"/>
      <c r="R874" s="368"/>
      <c r="S874" s="368"/>
      <c r="T874" s="126" t="s">
        <v>48</v>
      </c>
    </row>
    <row r="875" spans="2:20" ht="15.75" hidden="1" outlineLevel="1" thickBot="1">
      <c r="B875" s="199"/>
      <c r="C875" s="199"/>
      <c r="D875" s="375" t="s">
        <v>306</v>
      </c>
      <c r="E875" s="379" t="s">
        <v>367</v>
      </c>
      <c r="F875" s="380"/>
      <c r="G875" s="366"/>
      <c r="H875" s="366"/>
      <c r="I875" s="366"/>
      <c r="J875" s="366"/>
      <c r="K875" s="367"/>
      <c r="L875" s="366"/>
      <c r="M875" s="366"/>
      <c r="N875" s="366"/>
      <c r="O875" s="366"/>
      <c r="P875" s="366"/>
      <c r="R875" s="368"/>
      <c r="S875" s="368"/>
      <c r="T875" s="126" t="s">
        <v>48</v>
      </c>
    </row>
    <row r="876" spans="2:20" hidden="1" outlineLevel="1">
      <c r="B876" s="199"/>
      <c r="C876" s="199"/>
      <c r="D876" s="375" t="s">
        <v>308</v>
      </c>
      <c r="E876" s="366"/>
      <c r="F876" s="366"/>
      <c r="G876" s="366"/>
      <c r="H876" s="366"/>
      <c r="I876" s="366"/>
      <c r="J876" s="366"/>
      <c r="K876" s="367"/>
      <c r="L876" s="366"/>
      <c r="M876" s="366"/>
      <c r="N876" s="366"/>
      <c r="O876" s="366"/>
      <c r="P876" s="366"/>
      <c r="R876" s="368"/>
      <c r="S876" s="368"/>
      <c r="T876" s="126" t="s">
        <v>48</v>
      </c>
    </row>
    <row r="877" spans="2:20" hidden="1" outlineLevel="1">
      <c r="B877" s="199"/>
      <c r="C877" s="199"/>
      <c r="D877" s="381"/>
      <c r="E877" s="366"/>
      <c r="F877" s="366"/>
      <c r="G877" s="366"/>
      <c r="H877" s="366"/>
      <c r="I877" s="366"/>
      <c r="J877" s="366"/>
      <c r="K877" s="385"/>
      <c r="L877" s="366"/>
      <c r="M877" s="366"/>
      <c r="N877" s="366"/>
      <c r="O877" s="366"/>
      <c r="P877" s="366"/>
      <c r="R877" s="368"/>
      <c r="S877" s="368"/>
      <c r="T877" s="126" t="s">
        <v>48</v>
      </c>
    </row>
    <row r="878" spans="2:20" hidden="1" outlineLevel="1">
      <c r="B878" s="199"/>
      <c r="C878" s="199"/>
      <c r="D878" s="369" t="s">
        <v>372</v>
      </c>
      <c r="E878" s="370"/>
      <c r="F878" s="370"/>
      <c r="G878" s="370"/>
      <c r="H878" s="370"/>
      <c r="I878" s="370"/>
      <c r="J878" s="370"/>
      <c r="K878" s="371">
        <v>3.2225454545454548</v>
      </c>
      <c r="L878" s="370"/>
      <c r="M878" s="370"/>
      <c r="N878" s="370"/>
      <c r="O878" s="370"/>
      <c r="P878" s="370"/>
      <c r="R878" s="368"/>
      <c r="S878" s="368"/>
      <c r="T878" s="126" t="s">
        <v>48</v>
      </c>
    </row>
    <row r="879" spans="2:20" hidden="1" outlineLevel="1">
      <c r="B879" s="199"/>
      <c r="C879" s="199"/>
      <c r="D879" s="387" t="s">
        <v>337</v>
      </c>
      <c r="E879" s="366"/>
      <c r="F879" s="366"/>
      <c r="G879" s="366"/>
      <c r="H879" s="366"/>
      <c r="I879" s="366"/>
      <c r="J879" s="366"/>
      <c r="K879" s="388">
        <v>5.0640000000000001</v>
      </c>
      <c r="L879" s="366"/>
      <c r="M879" s="366"/>
      <c r="N879" s="366"/>
      <c r="O879" s="366"/>
      <c r="P879" s="366"/>
      <c r="R879" s="368"/>
      <c r="S879" s="368"/>
      <c r="T879" s="126" t="s">
        <v>48</v>
      </c>
    </row>
    <row r="880" spans="2:20" hidden="1" outlineLevel="1">
      <c r="B880" s="199"/>
      <c r="C880" s="199"/>
      <c r="D880" s="372" t="s">
        <v>302</v>
      </c>
      <c r="E880" s="366"/>
      <c r="F880" s="366"/>
      <c r="G880" s="366"/>
      <c r="H880" s="366"/>
      <c r="I880" s="366"/>
      <c r="J880" s="366"/>
      <c r="K880" s="367"/>
      <c r="L880" s="366"/>
      <c r="M880" s="366"/>
      <c r="N880" s="366"/>
      <c r="O880" s="366"/>
      <c r="P880" s="366"/>
      <c r="R880" s="368"/>
      <c r="S880" s="368"/>
      <c r="T880" s="126" t="s">
        <v>48</v>
      </c>
    </row>
    <row r="881" spans="2:20" hidden="1" outlineLevel="1">
      <c r="B881" s="199"/>
      <c r="C881" s="199"/>
      <c r="D881" s="373" t="s">
        <v>302</v>
      </c>
      <c r="E881" s="366"/>
      <c r="F881" s="366"/>
      <c r="G881" s="366"/>
      <c r="H881" s="366"/>
      <c r="I881" s="366"/>
      <c r="J881" s="366"/>
      <c r="K881" s="374"/>
      <c r="L881" s="366"/>
      <c r="M881" s="366"/>
      <c r="N881" s="366"/>
      <c r="O881" s="366"/>
      <c r="P881" s="366"/>
      <c r="R881" s="368"/>
      <c r="S881" s="368"/>
      <c r="T881" s="126" t="s">
        <v>48</v>
      </c>
    </row>
    <row r="882" spans="2:20" ht="15.75" hidden="1" outlineLevel="1" thickBot="1">
      <c r="B882" s="199"/>
      <c r="C882" s="199"/>
      <c r="D882" s="375" t="s">
        <v>303</v>
      </c>
      <c r="E882" s="386">
        <v>2025</v>
      </c>
      <c r="F882" s="377"/>
      <c r="G882" s="366"/>
      <c r="H882" s="366"/>
      <c r="I882" s="366"/>
      <c r="J882" s="366"/>
      <c r="K882" s="367"/>
      <c r="L882" s="366"/>
      <c r="M882" s="366"/>
      <c r="N882" s="366"/>
      <c r="O882" s="366"/>
      <c r="P882" s="366"/>
      <c r="R882" s="368"/>
      <c r="S882" s="368"/>
      <c r="T882" s="126" t="s">
        <v>48</v>
      </c>
    </row>
    <row r="883" spans="2:20" ht="15.75" hidden="1" outlineLevel="1" thickBot="1">
      <c r="B883" s="199"/>
      <c r="C883" s="199"/>
      <c r="D883" s="375" t="s">
        <v>304</v>
      </c>
      <c r="E883" s="378" t="s">
        <v>366</v>
      </c>
      <c r="F883" s="390">
        <v>7.85E-2</v>
      </c>
      <c r="G883" s="366"/>
      <c r="H883" s="366"/>
      <c r="I883" s="366"/>
      <c r="J883" s="366"/>
      <c r="K883" s="367"/>
      <c r="L883" s="366"/>
      <c r="M883" s="366"/>
      <c r="N883" s="366"/>
      <c r="O883" s="366"/>
      <c r="P883" s="366"/>
      <c r="R883" s="368"/>
      <c r="S883" s="368"/>
      <c r="T883" s="126" t="s">
        <v>48</v>
      </c>
    </row>
    <row r="884" spans="2:20" ht="15.75" hidden="1" outlineLevel="1" thickBot="1">
      <c r="B884" s="199"/>
      <c r="C884" s="199"/>
      <c r="D884" s="375" t="s">
        <v>306</v>
      </c>
      <c r="E884" s="379" t="s">
        <v>367</v>
      </c>
      <c r="F884" s="380"/>
      <c r="G884" s="366"/>
      <c r="H884" s="366"/>
      <c r="I884" s="366"/>
      <c r="J884" s="366"/>
      <c r="K884" s="367"/>
      <c r="L884" s="366"/>
      <c r="M884" s="366"/>
      <c r="N884" s="366"/>
      <c r="O884" s="366"/>
      <c r="P884" s="366"/>
      <c r="R884" s="368"/>
      <c r="S884" s="368"/>
      <c r="T884" s="126" t="s">
        <v>48</v>
      </c>
    </row>
    <row r="885" spans="2:20" hidden="1" outlineLevel="1">
      <c r="B885" s="199"/>
      <c r="C885" s="199"/>
      <c r="D885" s="375" t="s">
        <v>308</v>
      </c>
      <c r="E885" s="366"/>
      <c r="F885" s="366"/>
      <c r="G885" s="366"/>
      <c r="H885" s="366"/>
      <c r="I885" s="366"/>
      <c r="J885" s="366"/>
      <c r="K885" s="367"/>
      <c r="L885" s="366"/>
      <c r="M885" s="366"/>
      <c r="N885" s="366"/>
      <c r="O885" s="366"/>
      <c r="P885" s="366"/>
      <c r="R885" s="368"/>
      <c r="S885" s="368"/>
      <c r="T885" s="126" t="s">
        <v>48</v>
      </c>
    </row>
    <row r="886" spans="2:20" hidden="1" outlineLevel="1">
      <c r="B886" s="199"/>
      <c r="C886" s="199"/>
      <c r="D886" s="381"/>
      <c r="E886" s="366"/>
      <c r="F886" s="366"/>
      <c r="G886" s="366"/>
      <c r="H886" s="366"/>
      <c r="I886" s="366"/>
      <c r="J886" s="366"/>
      <c r="K886" s="385"/>
      <c r="L886" s="366"/>
      <c r="M886" s="366"/>
      <c r="N886" s="366"/>
      <c r="O886" s="366"/>
      <c r="P886" s="366"/>
      <c r="R886" s="368"/>
      <c r="S886" s="368"/>
      <c r="T886" s="126" t="s">
        <v>48</v>
      </c>
    </row>
    <row r="887" spans="2:20" hidden="1" outlineLevel="1">
      <c r="B887" s="199"/>
      <c r="C887" s="199"/>
      <c r="D887" s="369" t="s">
        <v>373</v>
      </c>
      <c r="E887" s="370"/>
      <c r="F887" s="370"/>
      <c r="G887" s="370"/>
      <c r="H887" s="370"/>
      <c r="I887" s="370"/>
      <c r="J887" s="370"/>
      <c r="K887" s="371">
        <v>29.476363636363637</v>
      </c>
      <c r="L887" s="370"/>
      <c r="M887" s="370"/>
      <c r="N887" s="370"/>
      <c r="O887" s="370"/>
      <c r="P887" s="370"/>
      <c r="R887" s="368"/>
      <c r="S887" s="368"/>
      <c r="T887" s="126" t="s">
        <v>48</v>
      </c>
    </row>
    <row r="888" spans="2:20" hidden="1" outlineLevel="1">
      <c r="B888" s="199"/>
      <c r="C888" s="199"/>
      <c r="D888" s="387" t="s">
        <v>337</v>
      </c>
      <c r="E888" s="366"/>
      <c r="F888" s="366"/>
      <c r="G888" s="366"/>
      <c r="H888" s="366"/>
      <c r="I888" s="366"/>
      <c r="J888" s="366"/>
      <c r="K888" s="388">
        <v>46.32</v>
      </c>
      <c r="L888" s="366"/>
      <c r="M888" s="366"/>
      <c r="N888" s="366"/>
      <c r="O888" s="366"/>
      <c r="P888" s="366"/>
      <c r="R888" s="368"/>
      <c r="S888" s="368"/>
      <c r="T888" s="126" t="s">
        <v>48</v>
      </c>
    </row>
    <row r="889" spans="2:20" hidden="1" outlineLevel="1">
      <c r="B889" s="199"/>
      <c r="C889" s="199"/>
      <c r="D889" s="372" t="s">
        <v>302</v>
      </c>
      <c r="E889" s="366"/>
      <c r="F889" s="366"/>
      <c r="G889" s="366"/>
      <c r="H889" s="366"/>
      <c r="I889" s="366"/>
      <c r="J889" s="366"/>
      <c r="K889" s="367"/>
      <c r="L889" s="366"/>
      <c r="M889" s="366"/>
      <c r="N889" s="366"/>
      <c r="O889" s="366"/>
      <c r="P889" s="366"/>
      <c r="R889" s="368"/>
      <c r="S889" s="368"/>
      <c r="T889" s="126" t="s">
        <v>48</v>
      </c>
    </row>
    <row r="890" spans="2:20" hidden="1" outlineLevel="1">
      <c r="B890" s="199"/>
      <c r="C890" s="199"/>
      <c r="D890" s="373" t="s">
        <v>302</v>
      </c>
      <c r="E890" s="366"/>
      <c r="F890" s="366"/>
      <c r="G890" s="366"/>
      <c r="H890" s="366"/>
      <c r="I890" s="366"/>
      <c r="J890" s="366"/>
      <c r="K890" s="374"/>
      <c r="L890" s="366"/>
      <c r="M890" s="366"/>
      <c r="N890" s="366"/>
      <c r="O890" s="366"/>
      <c r="P890" s="366"/>
      <c r="R890" s="368"/>
      <c r="S890" s="368"/>
      <c r="T890" s="126" t="s">
        <v>48</v>
      </c>
    </row>
    <row r="891" spans="2:20" ht="15.75" hidden="1" outlineLevel="1" thickBot="1">
      <c r="B891" s="199"/>
      <c r="C891" s="199"/>
      <c r="D891" s="375" t="s">
        <v>303</v>
      </c>
      <c r="E891" s="386">
        <v>2029</v>
      </c>
      <c r="F891" s="377"/>
      <c r="G891" s="366"/>
      <c r="H891" s="366"/>
      <c r="I891" s="366"/>
      <c r="J891" s="366"/>
      <c r="K891" s="367"/>
      <c r="L891" s="366"/>
      <c r="M891" s="366"/>
      <c r="N891" s="366"/>
      <c r="O891" s="366"/>
      <c r="P891" s="366"/>
      <c r="R891" s="368"/>
      <c r="S891" s="368"/>
      <c r="T891" s="126" t="s">
        <v>48</v>
      </c>
    </row>
    <row r="892" spans="2:20" ht="15.75" hidden="1" outlineLevel="1" thickBot="1">
      <c r="B892" s="199"/>
      <c r="C892" s="199"/>
      <c r="D892" s="375" t="s">
        <v>304</v>
      </c>
      <c r="E892" s="378" t="s">
        <v>366</v>
      </c>
      <c r="F892" s="390">
        <v>6.2899999999999998E-2</v>
      </c>
      <c r="G892" s="366"/>
      <c r="H892" s="366"/>
      <c r="I892" s="366"/>
      <c r="J892" s="366"/>
      <c r="K892" s="367"/>
      <c r="L892" s="366"/>
      <c r="M892" s="366"/>
      <c r="N892" s="366"/>
      <c r="O892" s="366"/>
      <c r="P892" s="366"/>
      <c r="R892" s="368"/>
      <c r="S892" s="368"/>
      <c r="T892" s="126" t="s">
        <v>48</v>
      </c>
    </row>
    <row r="893" spans="2:20" ht="15.75" hidden="1" outlineLevel="1" thickBot="1">
      <c r="B893" s="199"/>
      <c r="C893" s="199"/>
      <c r="D893" s="375" t="s">
        <v>306</v>
      </c>
      <c r="E893" s="379" t="s">
        <v>367</v>
      </c>
      <c r="F893" s="380"/>
      <c r="G893" s="366"/>
      <c r="H893" s="366"/>
      <c r="I893" s="366"/>
      <c r="J893" s="366"/>
      <c r="K893" s="367"/>
      <c r="L893" s="366"/>
      <c r="M893" s="366"/>
      <c r="N893" s="366"/>
      <c r="O893" s="366"/>
      <c r="P893" s="366"/>
      <c r="R893" s="368"/>
      <c r="S893" s="368"/>
      <c r="T893" s="126" t="s">
        <v>48</v>
      </c>
    </row>
    <row r="894" spans="2:20" hidden="1" outlineLevel="1">
      <c r="B894" s="199"/>
      <c r="C894" s="199"/>
      <c r="D894" s="375" t="s">
        <v>308</v>
      </c>
      <c r="E894" s="366"/>
      <c r="F894" s="366"/>
      <c r="G894" s="366"/>
      <c r="H894" s="366"/>
      <c r="I894" s="366"/>
      <c r="J894" s="366"/>
      <c r="K894" s="367"/>
      <c r="L894" s="366"/>
      <c r="M894" s="366"/>
      <c r="N894" s="366"/>
      <c r="O894" s="366"/>
      <c r="P894" s="366"/>
      <c r="R894" s="368"/>
      <c r="S894" s="368"/>
      <c r="T894" s="126" t="s">
        <v>48</v>
      </c>
    </row>
    <row r="895" spans="2:20" hidden="1" outlineLevel="1">
      <c r="B895" s="199"/>
      <c r="C895" s="199"/>
      <c r="D895" s="381"/>
      <c r="E895" s="366"/>
      <c r="F895" s="366"/>
      <c r="G895" s="366"/>
      <c r="H895" s="366"/>
      <c r="I895" s="366"/>
      <c r="J895" s="366"/>
      <c r="K895" s="385"/>
      <c r="L895" s="366"/>
      <c r="M895" s="366"/>
      <c r="N895" s="366"/>
      <c r="O895" s="366"/>
      <c r="P895" s="366"/>
      <c r="R895" s="368"/>
      <c r="S895" s="368"/>
      <c r="T895" s="126" t="s">
        <v>48</v>
      </c>
    </row>
    <row r="896" spans="2:20" hidden="1" outlineLevel="1">
      <c r="B896" s="199"/>
      <c r="C896" s="199"/>
      <c r="D896" s="369" t="s">
        <v>374</v>
      </c>
      <c r="E896" s="370"/>
      <c r="F896" s="370"/>
      <c r="G896" s="370"/>
      <c r="H896" s="370"/>
      <c r="I896" s="370"/>
      <c r="J896" s="370"/>
      <c r="K896" s="371">
        <v>3946.0178181818183</v>
      </c>
      <c r="L896" s="370"/>
      <c r="M896" s="370"/>
      <c r="N896" s="370"/>
      <c r="O896" s="370"/>
      <c r="P896" s="370"/>
      <c r="R896" s="368"/>
      <c r="S896" s="368"/>
      <c r="T896" s="126" t="s">
        <v>48</v>
      </c>
    </row>
    <row r="897" spans="2:20" hidden="1" outlineLevel="1">
      <c r="B897" s="199"/>
      <c r="C897" s="199"/>
      <c r="D897" s="387" t="s">
        <v>337</v>
      </c>
      <c r="E897" s="366"/>
      <c r="F897" s="366"/>
      <c r="G897" s="366"/>
      <c r="H897" s="366"/>
      <c r="I897" s="366"/>
      <c r="J897" s="366"/>
      <c r="K897" s="388">
        <v>22.46</v>
      </c>
      <c r="L897" s="366"/>
      <c r="M897" s="366"/>
      <c r="N897" s="366"/>
      <c r="O897" s="366"/>
      <c r="P897" s="366"/>
      <c r="R897" s="368"/>
      <c r="S897" s="368"/>
      <c r="T897" s="126" t="s">
        <v>48</v>
      </c>
    </row>
    <row r="898" spans="2:20" hidden="1" outlineLevel="1">
      <c r="B898" s="199"/>
      <c r="C898" s="199"/>
      <c r="D898" s="372" t="s">
        <v>302</v>
      </c>
      <c r="E898" s="366"/>
      <c r="F898" s="366"/>
      <c r="G898" s="366"/>
      <c r="H898" s="366"/>
      <c r="I898" s="366"/>
      <c r="J898" s="366"/>
      <c r="K898" s="367"/>
      <c r="L898" s="366"/>
      <c r="M898" s="366"/>
      <c r="N898" s="366"/>
      <c r="O898" s="366"/>
      <c r="P898" s="366"/>
      <c r="R898" s="368"/>
      <c r="S898" s="368"/>
      <c r="T898" s="126" t="s">
        <v>48</v>
      </c>
    </row>
    <row r="899" spans="2:20" hidden="1" outlineLevel="1">
      <c r="B899" s="199"/>
      <c r="C899" s="199"/>
      <c r="D899" s="373" t="s">
        <v>302</v>
      </c>
      <c r="E899" s="366"/>
      <c r="F899" s="366"/>
      <c r="G899" s="366"/>
      <c r="H899" s="366"/>
      <c r="I899" s="366"/>
      <c r="J899" s="366"/>
      <c r="K899" s="374"/>
      <c r="L899" s="366"/>
      <c r="M899" s="366"/>
      <c r="N899" s="366"/>
      <c r="O899" s="366"/>
      <c r="P899" s="366"/>
      <c r="R899" s="368"/>
      <c r="S899" s="368"/>
      <c r="T899" s="126" t="s">
        <v>48</v>
      </c>
    </row>
    <row r="900" spans="2:20" ht="15.75" hidden="1" outlineLevel="1" thickBot="1">
      <c r="B900" s="199"/>
      <c r="C900" s="199"/>
      <c r="D900" s="375" t="s">
        <v>303</v>
      </c>
      <c r="E900" s="386">
        <v>2025</v>
      </c>
      <c r="F900" s="377"/>
      <c r="G900" s="366"/>
      <c r="H900" s="366"/>
      <c r="I900" s="366"/>
      <c r="J900" s="366"/>
      <c r="K900" s="367"/>
      <c r="L900" s="366"/>
      <c r="M900" s="366"/>
      <c r="N900" s="366"/>
      <c r="O900" s="366"/>
      <c r="P900" s="366"/>
      <c r="R900" s="368"/>
      <c r="S900" s="368"/>
      <c r="T900" s="126" t="s">
        <v>48</v>
      </c>
    </row>
    <row r="901" spans="2:20" ht="15.75" hidden="1" outlineLevel="1" thickBot="1">
      <c r="B901" s="199"/>
      <c r="C901" s="199"/>
      <c r="D901" s="375" t="s">
        <v>304</v>
      </c>
      <c r="E901" s="378" t="s">
        <v>366</v>
      </c>
      <c r="F901" s="390">
        <v>9.4799999999999995E-2</v>
      </c>
      <c r="G901" s="366"/>
      <c r="H901" s="366"/>
      <c r="I901" s="366"/>
      <c r="J901" s="366"/>
      <c r="K901" s="367"/>
      <c r="L901" s="366"/>
      <c r="M901" s="366"/>
      <c r="N901" s="366"/>
      <c r="O901" s="366"/>
      <c r="P901" s="366"/>
      <c r="R901" s="368"/>
      <c r="S901" s="368"/>
      <c r="T901" s="126" t="s">
        <v>48</v>
      </c>
    </row>
    <row r="902" spans="2:20" ht="15.75" hidden="1" outlineLevel="1" thickBot="1">
      <c r="B902" s="199"/>
      <c r="C902" s="199"/>
      <c r="D902" s="375" t="s">
        <v>306</v>
      </c>
      <c r="E902" s="379" t="s">
        <v>375</v>
      </c>
      <c r="F902" s="380"/>
      <c r="G902" s="366"/>
      <c r="H902" s="366"/>
      <c r="I902" s="366"/>
      <c r="J902" s="366"/>
      <c r="K902" s="367"/>
      <c r="L902" s="366"/>
      <c r="M902" s="366"/>
      <c r="N902" s="366"/>
      <c r="O902" s="366"/>
      <c r="P902" s="366"/>
      <c r="R902" s="368"/>
      <c r="S902" s="368"/>
      <c r="T902" s="126" t="s">
        <v>48</v>
      </c>
    </row>
    <row r="903" spans="2:20" hidden="1" outlineLevel="1">
      <c r="B903" s="199"/>
      <c r="C903" s="199"/>
      <c r="D903" s="375" t="s">
        <v>308</v>
      </c>
      <c r="E903" s="366"/>
      <c r="F903" s="366"/>
      <c r="G903" s="366"/>
      <c r="H903" s="366"/>
      <c r="I903" s="366"/>
      <c r="J903" s="366"/>
      <c r="K903" s="367"/>
      <c r="L903" s="366"/>
      <c r="M903" s="366"/>
      <c r="N903" s="366"/>
      <c r="O903" s="366"/>
      <c r="P903" s="366"/>
      <c r="R903" s="368"/>
      <c r="S903" s="368"/>
      <c r="T903" s="126" t="s">
        <v>48</v>
      </c>
    </row>
    <row r="904" spans="2:20" hidden="1" outlineLevel="1">
      <c r="B904" s="199"/>
      <c r="C904" s="199"/>
      <c r="D904" s="381"/>
      <c r="E904" s="366"/>
      <c r="F904" s="366"/>
      <c r="G904" s="366"/>
      <c r="H904" s="366"/>
      <c r="I904" s="366"/>
      <c r="J904" s="366"/>
      <c r="K904" s="385"/>
      <c r="L904" s="366"/>
      <c r="M904" s="366"/>
      <c r="N904" s="366"/>
      <c r="O904" s="366"/>
      <c r="P904" s="366"/>
      <c r="R904" s="368"/>
      <c r="S904" s="368"/>
      <c r="T904" s="126" t="s">
        <v>48</v>
      </c>
    </row>
    <row r="905" spans="2:20" hidden="1" outlineLevel="1">
      <c r="B905" s="199"/>
      <c r="C905" s="199"/>
      <c r="D905" s="369" t="s">
        <v>376</v>
      </c>
      <c r="E905" s="370"/>
      <c r="F905" s="370"/>
      <c r="G905" s="370"/>
      <c r="H905" s="370"/>
      <c r="I905" s="370"/>
      <c r="J905" s="370"/>
      <c r="K905" s="371">
        <v>17810.490218181818</v>
      </c>
      <c r="L905" s="370"/>
      <c r="M905" s="370"/>
      <c r="N905" s="370"/>
      <c r="O905" s="370"/>
      <c r="P905" s="370"/>
      <c r="R905" s="368"/>
      <c r="S905" s="368"/>
      <c r="T905" s="126" t="s">
        <v>48</v>
      </c>
    </row>
    <row r="906" spans="2:20" hidden="1" outlineLevel="1">
      <c r="B906" s="199"/>
      <c r="C906" s="199"/>
      <c r="D906" s="387" t="s">
        <v>337</v>
      </c>
      <c r="E906" s="366"/>
      <c r="F906" s="366"/>
      <c r="G906" s="366"/>
      <c r="H906" s="366"/>
      <c r="I906" s="366"/>
      <c r="J906" s="366"/>
      <c r="K906" s="388">
        <v>101.374</v>
      </c>
      <c r="L906" s="366"/>
      <c r="M906" s="366"/>
      <c r="N906" s="366"/>
      <c r="O906" s="366"/>
      <c r="P906" s="366"/>
      <c r="R906" s="368"/>
      <c r="S906" s="368"/>
      <c r="T906" s="126" t="s">
        <v>48</v>
      </c>
    </row>
    <row r="907" spans="2:20" hidden="1" outlineLevel="1">
      <c r="B907" s="199"/>
      <c r="C907" s="199"/>
      <c r="D907" s="372" t="s">
        <v>302</v>
      </c>
      <c r="E907" s="366"/>
      <c r="F907" s="366"/>
      <c r="G907" s="366"/>
      <c r="H907" s="366"/>
      <c r="I907" s="366"/>
      <c r="J907" s="366"/>
      <c r="K907" s="367"/>
      <c r="L907" s="366"/>
      <c r="M907" s="366"/>
      <c r="N907" s="366"/>
      <c r="O907" s="366"/>
      <c r="P907" s="366"/>
      <c r="R907" s="368"/>
      <c r="S907" s="368"/>
      <c r="T907" s="126" t="s">
        <v>48</v>
      </c>
    </row>
    <row r="908" spans="2:20" hidden="1" outlineLevel="1">
      <c r="B908" s="199"/>
      <c r="C908" s="199"/>
      <c r="D908" s="373" t="s">
        <v>302</v>
      </c>
      <c r="E908" s="366"/>
      <c r="F908" s="366"/>
      <c r="G908" s="366"/>
      <c r="H908" s="366"/>
      <c r="I908" s="366"/>
      <c r="J908" s="366"/>
      <c r="K908" s="374"/>
      <c r="L908" s="366"/>
      <c r="M908" s="366"/>
      <c r="N908" s="366"/>
      <c r="O908" s="366"/>
      <c r="P908" s="366"/>
      <c r="R908" s="368"/>
      <c r="S908" s="368"/>
      <c r="T908" s="126" t="s">
        <v>48</v>
      </c>
    </row>
    <row r="909" spans="2:20" ht="15.75" hidden="1" outlineLevel="1" thickBot="1">
      <c r="B909" s="199"/>
      <c r="C909" s="199"/>
      <c r="D909" s="375" t="s">
        <v>303</v>
      </c>
      <c r="E909" s="386">
        <v>2028</v>
      </c>
      <c r="F909" s="377"/>
      <c r="G909" s="366"/>
      <c r="H909" s="366"/>
      <c r="I909" s="366"/>
      <c r="J909" s="366"/>
      <c r="K909" s="367"/>
      <c r="L909" s="366"/>
      <c r="M909" s="366"/>
      <c r="N909" s="366"/>
      <c r="O909" s="366"/>
      <c r="P909" s="366"/>
      <c r="R909" s="368"/>
      <c r="S909" s="368"/>
      <c r="T909" s="126" t="s">
        <v>48</v>
      </c>
    </row>
    <row r="910" spans="2:20" ht="15.75" hidden="1" outlineLevel="1" thickBot="1">
      <c r="B910" s="199"/>
      <c r="C910" s="199"/>
      <c r="D910" s="375" t="s">
        <v>304</v>
      </c>
      <c r="E910" s="378" t="s">
        <v>366</v>
      </c>
      <c r="F910" s="390">
        <v>9.5500000000000002E-2</v>
      </c>
      <c r="G910" s="366"/>
      <c r="H910" s="366"/>
      <c r="I910" s="366"/>
      <c r="J910" s="366"/>
      <c r="K910" s="367"/>
      <c r="L910" s="366"/>
      <c r="M910" s="366"/>
      <c r="N910" s="366"/>
      <c r="O910" s="366"/>
      <c r="P910" s="366"/>
      <c r="R910" s="368"/>
      <c r="S910" s="368"/>
      <c r="T910" s="126" t="s">
        <v>48</v>
      </c>
    </row>
    <row r="911" spans="2:20" ht="15.75" hidden="1" outlineLevel="1" thickBot="1">
      <c r="B911" s="199"/>
      <c r="C911" s="199"/>
      <c r="D911" s="375" t="s">
        <v>306</v>
      </c>
      <c r="E911" s="379" t="s">
        <v>375</v>
      </c>
      <c r="F911" s="380"/>
      <c r="G911" s="366"/>
      <c r="H911" s="366"/>
      <c r="I911" s="366"/>
      <c r="J911" s="366"/>
      <c r="K911" s="367"/>
      <c r="L911" s="366"/>
      <c r="M911" s="366"/>
      <c r="N911" s="366"/>
      <c r="O911" s="366"/>
      <c r="P911" s="366"/>
      <c r="R911" s="368"/>
      <c r="S911" s="368"/>
      <c r="T911" s="126" t="s">
        <v>48</v>
      </c>
    </row>
    <row r="912" spans="2:20" hidden="1" outlineLevel="1">
      <c r="B912" s="199"/>
      <c r="C912" s="199"/>
      <c r="D912" s="375" t="s">
        <v>308</v>
      </c>
      <c r="E912" s="366"/>
      <c r="F912" s="366"/>
      <c r="G912" s="366"/>
      <c r="H912" s="366"/>
      <c r="I912" s="366"/>
      <c r="J912" s="366"/>
      <c r="K912" s="367"/>
      <c r="L912" s="366"/>
      <c r="M912" s="366"/>
      <c r="N912" s="366"/>
      <c r="O912" s="366"/>
      <c r="P912" s="366"/>
      <c r="R912" s="368"/>
      <c r="S912" s="368"/>
      <c r="T912" s="126" t="s">
        <v>48</v>
      </c>
    </row>
    <row r="913" spans="2:20" hidden="1" outlineLevel="1">
      <c r="B913" s="199"/>
      <c r="C913" s="199"/>
      <c r="D913" s="381"/>
      <c r="E913" s="366"/>
      <c r="F913" s="366"/>
      <c r="G913" s="366"/>
      <c r="H913" s="366"/>
      <c r="I913" s="366"/>
      <c r="J913" s="366"/>
      <c r="K913" s="385"/>
      <c r="L913" s="366"/>
      <c r="M913" s="366"/>
      <c r="N913" s="366"/>
      <c r="O913" s="366"/>
      <c r="P913" s="366"/>
      <c r="R913" s="368"/>
      <c r="S913" s="368"/>
      <c r="T913" s="126" t="s">
        <v>48</v>
      </c>
    </row>
    <row r="914" spans="2:20" hidden="1" outlineLevel="1">
      <c r="B914" s="199"/>
      <c r="C914" s="199"/>
      <c r="D914" s="369" t="s">
        <v>377</v>
      </c>
      <c r="E914" s="370"/>
      <c r="F914" s="370"/>
      <c r="G914" s="370"/>
      <c r="H914" s="370"/>
      <c r="I914" s="370"/>
      <c r="J914" s="370"/>
      <c r="K914" s="371">
        <v>13028.535054545457</v>
      </c>
      <c r="L914" s="370"/>
      <c r="M914" s="370"/>
      <c r="N914" s="370"/>
      <c r="O914" s="370"/>
      <c r="P914" s="370"/>
      <c r="R914" s="368"/>
      <c r="S914" s="368"/>
      <c r="T914" s="126" t="s">
        <v>48</v>
      </c>
    </row>
    <row r="915" spans="2:20" hidden="1" outlineLevel="1">
      <c r="B915" s="199"/>
      <c r="C915" s="199"/>
      <c r="D915" s="387" t="s">
        <v>337</v>
      </c>
      <c r="E915" s="366"/>
      <c r="F915" s="366"/>
      <c r="G915" s="366"/>
      <c r="H915" s="366"/>
      <c r="I915" s="366"/>
      <c r="J915" s="366"/>
      <c r="K915" s="388">
        <v>74.156000000000006</v>
      </c>
      <c r="L915" s="366"/>
      <c r="M915" s="366"/>
      <c r="N915" s="366"/>
      <c r="O915" s="366"/>
      <c r="P915" s="366"/>
      <c r="R915" s="368"/>
      <c r="S915" s="368"/>
      <c r="T915" s="126" t="s">
        <v>48</v>
      </c>
    </row>
    <row r="916" spans="2:20" hidden="1" outlineLevel="1">
      <c r="B916" s="199"/>
      <c r="C916" s="199"/>
      <c r="D916" s="372" t="s">
        <v>302</v>
      </c>
      <c r="E916" s="366"/>
      <c r="F916" s="366"/>
      <c r="G916" s="366"/>
      <c r="H916" s="366"/>
      <c r="I916" s="366"/>
      <c r="J916" s="366"/>
      <c r="K916" s="367"/>
      <c r="L916" s="366"/>
      <c r="M916" s="366"/>
      <c r="N916" s="366"/>
      <c r="O916" s="366"/>
      <c r="P916" s="366"/>
      <c r="R916" s="368"/>
      <c r="S916" s="368"/>
      <c r="T916" s="126" t="s">
        <v>48</v>
      </c>
    </row>
    <row r="917" spans="2:20" hidden="1" outlineLevel="1">
      <c r="B917" s="199"/>
      <c r="C917" s="199"/>
      <c r="D917" s="373" t="s">
        <v>302</v>
      </c>
      <c r="E917" s="366"/>
      <c r="F917" s="366"/>
      <c r="G917" s="366"/>
      <c r="H917" s="366"/>
      <c r="I917" s="366"/>
      <c r="J917" s="366"/>
      <c r="K917" s="374"/>
      <c r="L917" s="366"/>
      <c r="M917" s="366"/>
      <c r="N917" s="366"/>
      <c r="O917" s="366"/>
      <c r="P917" s="366"/>
      <c r="R917" s="368"/>
      <c r="S917" s="368"/>
      <c r="T917" s="126" t="s">
        <v>48</v>
      </c>
    </row>
    <row r="918" spans="2:20" ht="15.75" hidden="1" outlineLevel="1" thickBot="1">
      <c r="B918" s="199"/>
      <c r="C918" s="199"/>
      <c r="D918" s="375" t="s">
        <v>303</v>
      </c>
      <c r="E918" s="386">
        <v>2029</v>
      </c>
      <c r="F918" s="377"/>
      <c r="G918" s="366"/>
      <c r="H918" s="366"/>
      <c r="I918" s="366"/>
      <c r="J918" s="366"/>
      <c r="K918" s="367"/>
      <c r="L918" s="366"/>
      <c r="M918" s="366"/>
      <c r="N918" s="366"/>
      <c r="O918" s="366"/>
      <c r="P918" s="366"/>
      <c r="R918" s="368"/>
      <c r="S918" s="368"/>
      <c r="T918" s="126" t="s">
        <v>48</v>
      </c>
    </row>
    <row r="919" spans="2:20" ht="15.75" hidden="1" outlineLevel="1" thickBot="1">
      <c r="B919" s="199"/>
      <c r="C919" s="199"/>
      <c r="D919" s="375" t="s">
        <v>304</v>
      </c>
      <c r="E919" s="378" t="s">
        <v>366</v>
      </c>
      <c r="F919" s="390">
        <v>8.7800000000000003E-2</v>
      </c>
      <c r="G919" s="366"/>
      <c r="H919" s="366"/>
      <c r="I919" s="366"/>
      <c r="J919" s="366"/>
      <c r="K919" s="367"/>
      <c r="L919" s="366"/>
      <c r="M919" s="366"/>
      <c r="N919" s="366"/>
      <c r="O919" s="366"/>
      <c r="P919" s="366"/>
      <c r="R919" s="368"/>
      <c r="S919" s="368"/>
      <c r="T919" s="126" t="s">
        <v>48</v>
      </c>
    </row>
    <row r="920" spans="2:20" ht="15.75" hidden="1" outlineLevel="1" thickBot="1">
      <c r="B920" s="199"/>
      <c r="C920" s="199"/>
      <c r="D920" s="375" t="s">
        <v>306</v>
      </c>
      <c r="E920" s="379" t="s">
        <v>375</v>
      </c>
      <c r="F920" s="380"/>
      <c r="G920" s="366"/>
      <c r="H920" s="366"/>
      <c r="I920" s="366"/>
      <c r="J920" s="366"/>
      <c r="K920" s="367"/>
      <c r="L920" s="366"/>
      <c r="M920" s="366"/>
      <c r="N920" s="366"/>
      <c r="O920" s="366"/>
      <c r="P920" s="366"/>
      <c r="R920" s="368"/>
      <c r="S920" s="368"/>
      <c r="T920" s="126" t="s">
        <v>48</v>
      </c>
    </row>
    <row r="921" spans="2:20" hidden="1" outlineLevel="1">
      <c r="B921" s="199"/>
      <c r="C921" s="199"/>
      <c r="D921" s="375" t="s">
        <v>308</v>
      </c>
      <c r="E921" s="366"/>
      <c r="F921" s="366"/>
      <c r="G921" s="366"/>
      <c r="H921" s="366"/>
      <c r="I921" s="366"/>
      <c r="J921" s="366"/>
      <c r="K921" s="367"/>
      <c r="L921" s="366"/>
      <c r="M921" s="366"/>
      <c r="N921" s="366"/>
      <c r="O921" s="366"/>
      <c r="P921" s="366"/>
      <c r="R921" s="368"/>
      <c r="S921" s="368"/>
      <c r="T921" s="126" t="s">
        <v>48</v>
      </c>
    </row>
    <row r="922" spans="2:20" hidden="1" outlineLevel="1">
      <c r="B922" s="199"/>
      <c r="C922" s="199"/>
      <c r="D922" s="381"/>
      <c r="E922" s="366"/>
      <c r="F922" s="366"/>
      <c r="G922" s="366"/>
      <c r="H922" s="366"/>
      <c r="I922" s="366"/>
      <c r="J922" s="366"/>
      <c r="K922" s="385"/>
      <c r="L922" s="366"/>
      <c r="M922" s="366"/>
      <c r="N922" s="366"/>
      <c r="O922" s="366"/>
      <c r="P922" s="366"/>
      <c r="R922" s="368"/>
      <c r="S922" s="368"/>
      <c r="T922" s="126" t="s">
        <v>48</v>
      </c>
    </row>
    <row r="923" spans="2:20" hidden="1" outlineLevel="1">
      <c r="B923" s="199"/>
      <c r="C923" s="199"/>
      <c r="D923" s="369" t="s">
        <v>378</v>
      </c>
      <c r="E923" s="370"/>
      <c r="F923" s="370"/>
      <c r="G923" s="370"/>
      <c r="H923" s="370"/>
      <c r="I923" s="370"/>
      <c r="J923" s="370"/>
      <c r="K923" s="371">
        <v>10150.717963636365</v>
      </c>
      <c r="L923" s="370"/>
      <c r="M923" s="370"/>
      <c r="N923" s="370"/>
      <c r="O923" s="370"/>
      <c r="P923" s="370"/>
      <c r="R923" s="368"/>
      <c r="S923" s="368"/>
      <c r="T923" s="126" t="s">
        <v>48</v>
      </c>
    </row>
    <row r="924" spans="2:20" hidden="1" outlineLevel="1">
      <c r="B924" s="199"/>
      <c r="C924" s="199"/>
      <c r="D924" s="387" t="s">
        <v>337</v>
      </c>
      <c r="E924" s="366"/>
      <c r="F924" s="366"/>
      <c r="G924" s="366"/>
      <c r="H924" s="366"/>
      <c r="I924" s="366"/>
      <c r="J924" s="366"/>
      <c r="K924" s="388">
        <v>57.776000000000003</v>
      </c>
      <c r="L924" s="366"/>
      <c r="M924" s="366"/>
      <c r="N924" s="366"/>
      <c r="O924" s="366"/>
      <c r="P924" s="366"/>
      <c r="R924" s="368"/>
      <c r="S924" s="368"/>
      <c r="T924" s="126" t="s">
        <v>48</v>
      </c>
    </row>
    <row r="925" spans="2:20" hidden="1" outlineLevel="1">
      <c r="B925" s="199"/>
      <c r="C925" s="199"/>
      <c r="D925" s="372" t="s">
        <v>302</v>
      </c>
      <c r="E925" s="366"/>
      <c r="F925" s="366"/>
      <c r="G925" s="366"/>
      <c r="H925" s="366"/>
      <c r="I925" s="366"/>
      <c r="J925" s="366"/>
      <c r="K925" s="367"/>
      <c r="L925" s="366"/>
      <c r="M925" s="366"/>
      <c r="N925" s="366"/>
      <c r="O925" s="366"/>
      <c r="P925" s="366"/>
      <c r="R925" s="368"/>
      <c r="S925" s="368"/>
      <c r="T925" s="126" t="s">
        <v>48</v>
      </c>
    </row>
    <row r="926" spans="2:20" hidden="1" outlineLevel="1">
      <c r="B926" s="199"/>
      <c r="C926" s="199"/>
      <c r="D926" s="373" t="s">
        <v>302</v>
      </c>
      <c r="E926" s="366"/>
      <c r="F926" s="366"/>
      <c r="G926" s="366"/>
      <c r="H926" s="366"/>
      <c r="I926" s="366"/>
      <c r="J926" s="366"/>
      <c r="K926" s="374"/>
      <c r="L926" s="366"/>
      <c r="M926" s="366"/>
      <c r="N926" s="366"/>
      <c r="O926" s="366"/>
      <c r="P926" s="366"/>
      <c r="R926" s="368"/>
      <c r="S926" s="368"/>
      <c r="T926" s="126" t="s">
        <v>48</v>
      </c>
    </row>
    <row r="927" spans="2:20" ht="15.75" hidden="1" outlineLevel="1" thickBot="1">
      <c r="B927" s="199"/>
      <c r="C927" s="199"/>
      <c r="D927" s="375" t="s">
        <v>303</v>
      </c>
      <c r="E927" s="386">
        <v>2029</v>
      </c>
      <c r="F927" s="377"/>
      <c r="G927" s="366"/>
      <c r="H927" s="366"/>
      <c r="I927" s="366"/>
      <c r="J927" s="366"/>
      <c r="K927" s="367"/>
      <c r="L927" s="366"/>
      <c r="M927" s="366"/>
      <c r="N927" s="366"/>
      <c r="O927" s="366"/>
      <c r="P927" s="366"/>
      <c r="R927" s="368"/>
      <c r="S927" s="368"/>
      <c r="T927" s="126" t="s">
        <v>48</v>
      </c>
    </row>
    <row r="928" spans="2:20" ht="15.75" hidden="1" outlineLevel="1" thickBot="1">
      <c r="B928" s="199"/>
      <c r="C928" s="199"/>
      <c r="D928" s="375" t="s">
        <v>304</v>
      </c>
      <c r="E928" s="378" t="s">
        <v>379</v>
      </c>
      <c r="F928" s="390">
        <v>2.9000000000000001E-2</v>
      </c>
      <c r="G928" s="366"/>
      <c r="H928" s="366"/>
      <c r="I928" s="366"/>
      <c r="J928" s="366"/>
      <c r="K928" s="367"/>
      <c r="L928" s="366"/>
      <c r="M928" s="366"/>
      <c r="N928" s="366"/>
      <c r="O928" s="366"/>
      <c r="P928" s="366"/>
      <c r="R928" s="368"/>
      <c r="S928" s="368"/>
      <c r="T928" s="126" t="s">
        <v>48</v>
      </c>
    </row>
    <row r="929" spans="2:20" ht="15.75" hidden="1" outlineLevel="1" thickBot="1">
      <c r="B929" s="199"/>
      <c r="C929" s="199"/>
      <c r="D929" s="375" t="s">
        <v>306</v>
      </c>
      <c r="E929" s="379" t="s">
        <v>375</v>
      </c>
      <c r="F929" s="380"/>
      <c r="G929" s="366"/>
      <c r="H929" s="366"/>
      <c r="I929" s="366"/>
      <c r="J929" s="366"/>
      <c r="K929" s="367"/>
      <c r="L929" s="366"/>
      <c r="M929" s="366"/>
      <c r="N929" s="366"/>
      <c r="O929" s="366"/>
      <c r="P929" s="366"/>
      <c r="R929" s="368"/>
      <c r="S929" s="368"/>
      <c r="T929" s="126" t="s">
        <v>48</v>
      </c>
    </row>
    <row r="930" spans="2:20" hidden="1" outlineLevel="1">
      <c r="B930" s="199"/>
      <c r="C930" s="199"/>
      <c r="D930" s="375" t="s">
        <v>308</v>
      </c>
      <c r="E930" s="366"/>
      <c r="F930" s="366"/>
      <c r="G930" s="366"/>
      <c r="H930" s="366"/>
      <c r="I930" s="366"/>
      <c r="J930" s="366"/>
      <c r="K930" s="367"/>
      <c r="L930" s="366"/>
      <c r="M930" s="366"/>
      <c r="N930" s="366"/>
      <c r="O930" s="366"/>
      <c r="P930" s="366"/>
      <c r="R930" s="368"/>
      <c r="S930" s="368"/>
      <c r="T930" s="126" t="s">
        <v>48</v>
      </c>
    </row>
    <row r="931" spans="2:20" hidden="1" outlineLevel="1">
      <c r="B931" s="199"/>
      <c r="C931" s="199"/>
      <c r="D931" s="381"/>
      <c r="E931" s="366"/>
      <c r="F931" s="366"/>
      <c r="G931" s="366"/>
      <c r="H931" s="366"/>
      <c r="I931" s="366"/>
      <c r="J931" s="366"/>
      <c r="K931" s="385"/>
      <c r="L931" s="366"/>
      <c r="M931" s="366"/>
      <c r="N931" s="366"/>
      <c r="O931" s="366"/>
      <c r="P931" s="366"/>
      <c r="R931" s="368"/>
      <c r="S931" s="368"/>
      <c r="T931" s="126" t="s">
        <v>48</v>
      </c>
    </row>
    <row r="932" spans="2:20" hidden="1" outlineLevel="1">
      <c r="B932" s="199"/>
      <c r="C932" s="199"/>
      <c r="D932" s="369" t="s">
        <v>380</v>
      </c>
      <c r="E932" s="370"/>
      <c r="F932" s="370"/>
      <c r="G932" s="370"/>
      <c r="H932" s="370"/>
      <c r="I932" s="370"/>
      <c r="J932" s="370"/>
      <c r="K932" s="371">
        <v>10151.069345454545</v>
      </c>
      <c r="L932" s="370"/>
      <c r="M932" s="370"/>
      <c r="N932" s="370"/>
      <c r="O932" s="370"/>
      <c r="P932" s="370"/>
      <c r="R932" s="368"/>
      <c r="S932" s="368"/>
      <c r="T932" s="126" t="s">
        <v>48</v>
      </c>
    </row>
    <row r="933" spans="2:20" hidden="1" outlineLevel="1">
      <c r="B933" s="199"/>
      <c r="C933" s="199"/>
      <c r="D933" s="387" t="s">
        <v>337</v>
      </c>
      <c r="E933" s="366"/>
      <c r="F933" s="366"/>
      <c r="G933" s="366"/>
      <c r="H933" s="366"/>
      <c r="I933" s="366"/>
      <c r="J933" s="366"/>
      <c r="K933" s="388">
        <v>57.777999999999999</v>
      </c>
      <c r="L933" s="366"/>
      <c r="M933" s="366"/>
      <c r="N933" s="366"/>
      <c r="O933" s="366"/>
      <c r="P933" s="366"/>
      <c r="R933" s="368"/>
      <c r="S933" s="368"/>
      <c r="T933" s="126" t="s">
        <v>48</v>
      </c>
    </row>
    <row r="934" spans="2:20" hidden="1" outlineLevel="1">
      <c r="B934" s="199"/>
      <c r="C934" s="199"/>
      <c r="D934" s="372" t="s">
        <v>302</v>
      </c>
      <c r="E934" s="366"/>
      <c r="F934" s="366"/>
      <c r="G934" s="366"/>
      <c r="H934" s="366"/>
      <c r="I934" s="366"/>
      <c r="J934" s="366"/>
      <c r="K934" s="367"/>
      <c r="L934" s="366"/>
      <c r="M934" s="366"/>
      <c r="N934" s="366"/>
      <c r="O934" s="366"/>
      <c r="P934" s="366"/>
      <c r="R934" s="368"/>
      <c r="S934" s="368"/>
      <c r="T934" s="126" t="s">
        <v>48</v>
      </c>
    </row>
    <row r="935" spans="2:20" hidden="1" outlineLevel="1">
      <c r="B935" s="199"/>
      <c r="C935" s="199"/>
      <c r="D935" s="373" t="s">
        <v>302</v>
      </c>
      <c r="E935" s="366"/>
      <c r="F935" s="366"/>
      <c r="G935" s="366"/>
      <c r="H935" s="366"/>
      <c r="I935" s="366"/>
      <c r="J935" s="366"/>
      <c r="K935" s="374"/>
      <c r="L935" s="366"/>
      <c r="M935" s="366"/>
      <c r="N935" s="366"/>
      <c r="O935" s="366"/>
      <c r="P935" s="366"/>
      <c r="R935" s="368"/>
      <c r="S935" s="368"/>
      <c r="T935" s="126" t="s">
        <v>48</v>
      </c>
    </row>
    <row r="936" spans="2:20" ht="15.75" hidden="1" outlineLevel="1" thickBot="1">
      <c r="B936" s="199"/>
      <c r="C936" s="199"/>
      <c r="D936" s="375" t="s">
        <v>303</v>
      </c>
      <c r="E936" s="386">
        <v>2029</v>
      </c>
      <c r="F936" s="377"/>
      <c r="G936" s="366"/>
      <c r="H936" s="366"/>
      <c r="I936" s="366"/>
      <c r="J936" s="366"/>
      <c r="K936" s="367"/>
      <c r="L936" s="366"/>
      <c r="M936" s="366"/>
      <c r="N936" s="366"/>
      <c r="O936" s="366"/>
      <c r="P936" s="366"/>
      <c r="R936" s="368"/>
      <c r="S936" s="368"/>
      <c r="T936" s="126" t="s">
        <v>48</v>
      </c>
    </row>
    <row r="937" spans="2:20" ht="15.75" hidden="1" outlineLevel="1" thickBot="1">
      <c r="B937" s="199"/>
      <c r="C937" s="199"/>
      <c r="D937" s="375" t="s">
        <v>304</v>
      </c>
      <c r="E937" s="378" t="s">
        <v>379</v>
      </c>
      <c r="F937" s="390">
        <v>2.9000000000000001E-2</v>
      </c>
      <c r="G937" s="366"/>
      <c r="H937" s="366"/>
      <c r="I937" s="366"/>
      <c r="J937" s="366"/>
      <c r="K937" s="367"/>
      <c r="L937" s="366"/>
      <c r="M937" s="366"/>
      <c r="N937" s="366"/>
      <c r="O937" s="366"/>
      <c r="P937" s="366"/>
      <c r="R937" s="368"/>
      <c r="S937" s="368"/>
      <c r="T937" s="126" t="s">
        <v>48</v>
      </c>
    </row>
    <row r="938" spans="2:20" ht="15.75" hidden="1" outlineLevel="1" thickBot="1">
      <c r="B938" s="199"/>
      <c r="C938" s="199"/>
      <c r="D938" s="375" t="s">
        <v>306</v>
      </c>
      <c r="E938" s="379" t="s">
        <v>375</v>
      </c>
      <c r="F938" s="380"/>
      <c r="G938" s="366"/>
      <c r="H938" s="366"/>
      <c r="I938" s="366"/>
      <c r="J938" s="366"/>
      <c r="K938" s="367"/>
      <c r="L938" s="366"/>
      <c r="M938" s="366"/>
      <c r="N938" s="366"/>
      <c r="O938" s="366"/>
      <c r="P938" s="366"/>
      <c r="R938" s="368"/>
      <c r="S938" s="368"/>
      <c r="T938" s="126" t="s">
        <v>48</v>
      </c>
    </row>
    <row r="939" spans="2:20" hidden="1" outlineLevel="1">
      <c r="B939" s="199"/>
      <c r="C939" s="199"/>
      <c r="D939" s="375" t="s">
        <v>308</v>
      </c>
      <c r="E939" s="366"/>
      <c r="F939" s="366"/>
      <c r="G939" s="366"/>
      <c r="H939" s="366"/>
      <c r="I939" s="366"/>
      <c r="J939" s="366"/>
      <c r="K939" s="367"/>
      <c r="L939" s="366"/>
      <c r="M939" s="366"/>
      <c r="N939" s="366"/>
      <c r="O939" s="366"/>
      <c r="P939" s="366"/>
      <c r="R939" s="368"/>
      <c r="S939" s="368"/>
      <c r="T939" s="126" t="s">
        <v>48</v>
      </c>
    </row>
    <row r="940" spans="2:20" hidden="1" outlineLevel="1">
      <c r="B940" s="199"/>
      <c r="C940" s="199"/>
      <c r="D940" s="381"/>
      <c r="E940" s="366"/>
      <c r="F940" s="366"/>
      <c r="G940" s="366"/>
      <c r="H940" s="366"/>
      <c r="I940" s="366"/>
      <c r="J940" s="366"/>
      <c r="K940" s="385"/>
      <c r="L940" s="366"/>
      <c r="M940" s="366"/>
      <c r="N940" s="366"/>
      <c r="O940" s="366"/>
      <c r="P940" s="366"/>
      <c r="R940" s="368"/>
      <c r="S940" s="368"/>
      <c r="T940" s="126" t="s">
        <v>48</v>
      </c>
    </row>
    <row r="941" spans="2:20" hidden="1" outlineLevel="1">
      <c r="B941" s="199"/>
      <c r="C941" s="199"/>
      <c r="D941" s="369" t="s">
        <v>381</v>
      </c>
      <c r="E941" s="370"/>
      <c r="F941" s="370"/>
      <c r="G941" s="370"/>
      <c r="H941" s="370"/>
      <c r="I941" s="370"/>
      <c r="J941" s="370"/>
      <c r="K941" s="371">
        <v>15.140909090909092</v>
      </c>
      <c r="L941" s="370"/>
      <c r="M941" s="370"/>
      <c r="N941" s="370"/>
      <c r="O941" s="370"/>
      <c r="P941" s="370"/>
      <c r="R941" s="368"/>
      <c r="S941" s="368"/>
      <c r="T941" s="126" t="s">
        <v>48</v>
      </c>
    </row>
    <row r="942" spans="2:20" hidden="1" outlineLevel="1">
      <c r="B942" s="199"/>
      <c r="C942" s="199"/>
      <c r="D942" s="387" t="s">
        <v>337</v>
      </c>
      <c r="E942" s="366"/>
      <c r="F942" s="366"/>
      <c r="G942" s="366"/>
      <c r="H942" s="366"/>
      <c r="I942" s="366"/>
      <c r="J942" s="366"/>
      <c r="K942" s="388">
        <v>83.275000000000006</v>
      </c>
      <c r="L942" s="366"/>
      <c r="M942" s="366"/>
      <c r="N942" s="366"/>
      <c r="O942" s="366"/>
      <c r="P942" s="366"/>
      <c r="R942" s="368"/>
      <c r="S942" s="368"/>
      <c r="T942" s="126" t="s">
        <v>48</v>
      </c>
    </row>
    <row r="943" spans="2:20" hidden="1" outlineLevel="1">
      <c r="B943" s="199"/>
      <c r="C943" s="199"/>
      <c r="D943" s="372" t="s">
        <v>302</v>
      </c>
      <c r="E943" s="366"/>
      <c r="F943" s="366"/>
      <c r="G943" s="366"/>
      <c r="H943" s="366"/>
      <c r="I943" s="366"/>
      <c r="J943" s="366"/>
      <c r="K943" s="367"/>
      <c r="L943" s="366"/>
      <c r="M943" s="366"/>
      <c r="N943" s="366"/>
      <c r="O943" s="366"/>
      <c r="P943" s="366"/>
      <c r="R943" s="368"/>
      <c r="S943" s="368"/>
      <c r="T943" s="126" t="s">
        <v>48</v>
      </c>
    </row>
    <row r="944" spans="2:20" hidden="1" outlineLevel="1">
      <c r="B944" s="199"/>
      <c r="C944" s="199"/>
      <c r="D944" s="373" t="s">
        <v>302</v>
      </c>
      <c r="E944" s="366"/>
      <c r="F944" s="366"/>
      <c r="G944" s="366"/>
      <c r="H944" s="366"/>
      <c r="I944" s="366"/>
      <c r="J944" s="366"/>
      <c r="K944" s="374"/>
      <c r="L944" s="366"/>
      <c r="M944" s="366"/>
      <c r="N944" s="366"/>
      <c r="O944" s="366"/>
      <c r="P944" s="366"/>
      <c r="R944" s="368"/>
      <c r="S944" s="368"/>
      <c r="T944" s="126" t="s">
        <v>48</v>
      </c>
    </row>
    <row r="945" spans="2:20" ht="15.75" hidden="1" outlineLevel="1" thickBot="1">
      <c r="B945" s="199"/>
      <c r="C945" s="199"/>
      <c r="D945" s="375" t="s">
        <v>303</v>
      </c>
      <c r="E945" s="386">
        <v>2026</v>
      </c>
      <c r="F945" s="377"/>
      <c r="G945" s="366"/>
      <c r="H945" s="366"/>
      <c r="I945" s="366"/>
      <c r="J945" s="366"/>
      <c r="K945" s="367"/>
      <c r="L945" s="366"/>
      <c r="M945" s="366"/>
      <c r="N945" s="366"/>
      <c r="O945" s="366"/>
      <c r="P945" s="366"/>
      <c r="R945" s="368"/>
      <c r="S945" s="368"/>
      <c r="T945" s="126" t="s">
        <v>48</v>
      </c>
    </row>
    <row r="946" spans="2:20" ht="15.75" hidden="1" outlineLevel="1" thickBot="1">
      <c r="B946" s="199"/>
      <c r="C946" s="199"/>
      <c r="D946" s="375" t="s">
        <v>304</v>
      </c>
      <c r="E946" s="378" t="s">
        <v>366</v>
      </c>
      <c r="F946" s="390">
        <v>0.06</v>
      </c>
      <c r="G946" s="366"/>
      <c r="H946" s="366"/>
      <c r="I946" s="366"/>
      <c r="J946" s="366"/>
      <c r="K946" s="367"/>
      <c r="L946" s="366"/>
      <c r="M946" s="366"/>
      <c r="N946" s="366"/>
      <c r="O946" s="366"/>
      <c r="P946" s="366"/>
      <c r="R946" s="368"/>
      <c r="S946" s="368"/>
      <c r="T946" s="126" t="s">
        <v>48</v>
      </c>
    </row>
    <row r="947" spans="2:20" ht="15.75" hidden="1" outlineLevel="1" thickBot="1">
      <c r="B947" s="199"/>
      <c r="C947" s="199"/>
      <c r="D947" s="375" t="s">
        <v>306</v>
      </c>
      <c r="E947" s="379" t="s">
        <v>382</v>
      </c>
      <c r="F947" s="380"/>
      <c r="G947" s="366"/>
      <c r="H947" s="366"/>
      <c r="I947" s="366"/>
      <c r="J947" s="366"/>
      <c r="K947" s="367"/>
      <c r="L947" s="366"/>
      <c r="M947" s="366"/>
      <c r="N947" s="366"/>
      <c r="O947" s="366"/>
      <c r="P947" s="366"/>
      <c r="R947" s="368"/>
      <c r="S947" s="368"/>
      <c r="T947" s="126" t="s">
        <v>48</v>
      </c>
    </row>
    <row r="948" spans="2:20" hidden="1" outlineLevel="1">
      <c r="B948" s="199"/>
      <c r="C948" s="199"/>
      <c r="D948" s="375" t="s">
        <v>308</v>
      </c>
      <c r="E948" s="366"/>
      <c r="F948" s="366"/>
      <c r="G948" s="366"/>
      <c r="H948" s="366"/>
      <c r="I948" s="366"/>
      <c r="J948" s="366"/>
      <c r="K948" s="367"/>
      <c r="L948" s="366"/>
      <c r="M948" s="366"/>
      <c r="N948" s="366"/>
      <c r="O948" s="366"/>
      <c r="P948" s="366"/>
      <c r="R948" s="368"/>
      <c r="S948" s="368"/>
      <c r="T948" s="126" t="s">
        <v>48</v>
      </c>
    </row>
    <row r="949" spans="2:20" hidden="1" outlineLevel="1">
      <c r="B949" s="199"/>
      <c r="C949" s="199"/>
      <c r="D949" s="381"/>
      <c r="E949" s="366"/>
      <c r="F949" s="366"/>
      <c r="G949" s="366"/>
      <c r="H949" s="366"/>
      <c r="I949" s="366"/>
      <c r="J949" s="366"/>
      <c r="K949" s="385"/>
      <c r="L949" s="366"/>
      <c r="M949" s="366"/>
      <c r="N949" s="366"/>
      <c r="O949" s="366"/>
      <c r="P949" s="366"/>
      <c r="R949" s="368"/>
      <c r="S949" s="368"/>
      <c r="T949" s="126" t="s">
        <v>48</v>
      </c>
    </row>
    <row r="950" spans="2:20" hidden="1" outlineLevel="1">
      <c r="B950" s="199"/>
      <c r="C950" s="199"/>
      <c r="D950" s="369" t="s">
        <v>383</v>
      </c>
      <c r="E950" s="370"/>
      <c r="F950" s="370"/>
      <c r="G950" s="370"/>
      <c r="H950" s="370"/>
      <c r="I950" s="370"/>
      <c r="J950" s="370"/>
      <c r="K950" s="371">
        <v>3.4832727272727273</v>
      </c>
      <c r="L950" s="370"/>
      <c r="M950" s="370"/>
      <c r="N950" s="370"/>
      <c r="O950" s="370"/>
      <c r="P950" s="370"/>
      <c r="R950" s="368"/>
      <c r="S950" s="368"/>
      <c r="T950" s="126" t="s">
        <v>48</v>
      </c>
    </row>
    <row r="951" spans="2:20" hidden="1" outlineLevel="1">
      <c r="B951" s="199"/>
      <c r="C951" s="199"/>
      <c r="D951" s="387" t="s">
        <v>337</v>
      </c>
      <c r="E951" s="366"/>
      <c r="F951" s="366"/>
      <c r="G951" s="366"/>
      <c r="H951" s="366"/>
      <c r="I951" s="366"/>
      <c r="J951" s="366"/>
      <c r="K951" s="388">
        <v>19.158000000000001</v>
      </c>
      <c r="L951" s="366"/>
      <c r="M951" s="366"/>
      <c r="N951" s="366"/>
      <c r="O951" s="366"/>
      <c r="P951" s="366"/>
      <c r="R951" s="368"/>
      <c r="S951" s="368"/>
      <c r="T951" s="126" t="s">
        <v>48</v>
      </c>
    </row>
    <row r="952" spans="2:20" hidden="1" outlineLevel="1">
      <c r="B952" s="199"/>
      <c r="C952" s="199"/>
      <c r="D952" s="372" t="s">
        <v>302</v>
      </c>
      <c r="E952" s="366"/>
      <c r="F952" s="366"/>
      <c r="G952" s="366"/>
      <c r="H952" s="366"/>
      <c r="I952" s="366"/>
      <c r="J952" s="366"/>
      <c r="K952" s="367"/>
      <c r="L952" s="366"/>
      <c r="M952" s="366"/>
      <c r="N952" s="366"/>
      <c r="O952" s="366"/>
      <c r="P952" s="366"/>
      <c r="R952" s="368"/>
      <c r="S952" s="368"/>
      <c r="T952" s="126" t="s">
        <v>48</v>
      </c>
    </row>
    <row r="953" spans="2:20" hidden="1" outlineLevel="1">
      <c r="B953" s="199"/>
      <c r="C953" s="199"/>
      <c r="D953" s="373" t="s">
        <v>302</v>
      </c>
      <c r="E953" s="366"/>
      <c r="F953" s="366"/>
      <c r="G953" s="366"/>
      <c r="H953" s="366"/>
      <c r="I953" s="366"/>
      <c r="J953" s="366"/>
      <c r="K953" s="374"/>
      <c r="L953" s="366"/>
      <c r="M953" s="366"/>
      <c r="N953" s="366"/>
      <c r="O953" s="366"/>
      <c r="P953" s="366"/>
      <c r="R953" s="368"/>
      <c r="S953" s="368"/>
      <c r="T953" s="126" t="s">
        <v>48</v>
      </c>
    </row>
    <row r="954" spans="2:20" ht="15.75" hidden="1" outlineLevel="1" thickBot="1">
      <c r="B954" s="199"/>
      <c r="C954" s="199"/>
      <c r="D954" s="375" t="s">
        <v>303</v>
      </c>
      <c r="E954" s="386">
        <v>2025</v>
      </c>
      <c r="F954" s="377"/>
      <c r="G954" s="366"/>
      <c r="H954" s="366"/>
      <c r="I954" s="366"/>
      <c r="J954" s="366"/>
      <c r="K954" s="367"/>
      <c r="L954" s="366"/>
      <c r="M954" s="366"/>
      <c r="N954" s="366"/>
      <c r="O954" s="366"/>
      <c r="P954" s="366"/>
      <c r="R954" s="368"/>
      <c r="S954" s="368"/>
      <c r="T954" s="126" t="s">
        <v>48</v>
      </c>
    </row>
    <row r="955" spans="2:20" ht="15.75" hidden="1" outlineLevel="1" thickBot="1">
      <c r="B955" s="199"/>
      <c r="C955" s="199"/>
      <c r="D955" s="375" t="s">
        <v>304</v>
      </c>
      <c r="E955" s="378" t="s">
        <v>366</v>
      </c>
      <c r="F955" s="390">
        <v>5.8500000000000003E-2</v>
      </c>
      <c r="G955" s="366"/>
      <c r="H955" s="366"/>
      <c r="I955" s="366"/>
      <c r="J955" s="366"/>
      <c r="K955" s="367"/>
      <c r="L955" s="366"/>
      <c r="M955" s="366"/>
      <c r="N955" s="366"/>
      <c r="O955" s="366"/>
      <c r="P955" s="366"/>
      <c r="R955" s="368"/>
      <c r="S955" s="368"/>
      <c r="T955" s="126" t="s">
        <v>48</v>
      </c>
    </row>
    <row r="956" spans="2:20" ht="15.75" hidden="1" outlineLevel="1" thickBot="1">
      <c r="B956" s="199"/>
      <c r="C956" s="199"/>
      <c r="D956" s="375" t="s">
        <v>306</v>
      </c>
      <c r="E956" s="379" t="s">
        <v>382</v>
      </c>
      <c r="F956" s="380"/>
      <c r="G956" s="366"/>
      <c r="H956" s="366"/>
      <c r="I956" s="366"/>
      <c r="J956" s="366"/>
      <c r="K956" s="367"/>
      <c r="L956" s="366"/>
      <c r="M956" s="366"/>
      <c r="N956" s="366"/>
      <c r="O956" s="366"/>
      <c r="P956" s="366"/>
      <c r="R956" s="368"/>
      <c r="S956" s="368"/>
      <c r="T956" s="126" t="s">
        <v>48</v>
      </c>
    </row>
    <row r="957" spans="2:20" hidden="1" outlineLevel="1">
      <c r="B957" s="199"/>
      <c r="C957" s="199"/>
      <c r="D957" s="375" t="s">
        <v>308</v>
      </c>
      <c r="E957" s="366"/>
      <c r="F957" s="366"/>
      <c r="G957" s="366"/>
      <c r="H957" s="366"/>
      <c r="I957" s="366"/>
      <c r="J957" s="366"/>
      <c r="K957" s="367"/>
      <c r="L957" s="366"/>
      <c r="M957" s="366"/>
      <c r="N957" s="366"/>
      <c r="O957" s="366"/>
      <c r="P957" s="366"/>
      <c r="R957" s="368"/>
      <c r="S957" s="368"/>
      <c r="T957" s="126" t="s">
        <v>48</v>
      </c>
    </row>
    <row r="958" spans="2:20" hidden="1" outlineLevel="1">
      <c r="B958" s="199"/>
      <c r="C958" s="199"/>
      <c r="D958" s="381"/>
      <c r="E958" s="366"/>
      <c r="F958" s="366"/>
      <c r="G958" s="366"/>
      <c r="H958" s="366"/>
      <c r="I958" s="366"/>
      <c r="J958" s="366"/>
      <c r="K958" s="385"/>
      <c r="L958" s="366"/>
      <c r="M958" s="366"/>
      <c r="N958" s="366"/>
      <c r="O958" s="366"/>
      <c r="P958" s="366"/>
      <c r="R958" s="368"/>
      <c r="S958" s="368"/>
      <c r="T958" s="126" t="s">
        <v>48</v>
      </c>
    </row>
    <row r="959" spans="2:20" hidden="1" outlineLevel="1">
      <c r="B959" s="199"/>
      <c r="C959" s="199"/>
      <c r="D959" s="369" t="s">
        <v>384</v>
      </c>
      <c r="E959" s="370"/>
      <c r="F959" s="370"/>
      <c r="G959" s="370"/>
      <c r="H959" s="370"/>
      <c r="I959" s="370"/>
      <c r="J959" s="370"/>
      <c r="K959" s="371">
        <v>8.0150909090909082</v>
      </c>
      <c r="L959" s="370"/>
      <c r="M959" s="370"/>
      <c r="N959" s="370"/>
      <c r="O959" s="370"/>
      <c r="P959" s="370"/>
      <c r="R959" s="368"/>
      <c r="S959" s="368"/>
      <c r="T959" s="126" t="s">
        <v>48</v>
      </c>
    </row>
    <row r="960" spans="2:20" hidden="1" outlineLevel="1">
      <c r="B960" s="199"/>
      <c r="C960" s="199"/>
      <c r="D960" s="387" t="s">
        <v>337</v>
      </c>
      <c r="E960" s="366"/>
      <c r="F960" s="366"/>
      <c r="G960" s="366"/>
      <c r="H960" s="366"/>
      <c r="I960" s="366"/>
      <c r="J960" s="366"/>
      <c r="K960" s="388">
        <v>44.082999999999998</v>
      </c>
      <c r="L960" s="366"/>
      <c r="M960" s="366"/>
      <c r="N960" s="366"/>
      <c r="O960" s="366"/>
      <c r="P960" s="366"/>
      <c r="R960" s="368"/>
      <c r="S960" s="368"/>
      <c r="T960" s="126" t="s">
        <v>48</v>
      </c>
    </row>
    <row r="961" spans="2:20" hidden="1" outlineLevel="1">
      <c r="B961" s="199"/>
      <c r="C961" s="199"/>
      <c r="D961" s="372" t="s">
        <v>302</v>
      </c>
      <c r="E961" s="366"/>
      <c r="F961" s="366"/>
      <c r="G961" s="366"/>
      <c r="H961" s="366"/>
      <c r="I961" s="366"/>
      <c r="J961" s="366"/>
      <c r="K961" s="367"/>
      <c r="L961" s="366"/>
      <c r="M961" s="366"/>
      <c r="N961" s="366"/>
      <c r="O961" s="366"/>
      <c r="P961" s="366"/>
      <c r="R961" s="368"/>
      <c r="S961" s="368"/>
      <c r="T961" s="126" t="s">
        <v>48</v>
      </c>
    </row>
    <row r="962" spans="2:20" hidden="1" outlineLevel="1">
      <c r="B962" s="199"/>
      <c r="C962" s="199"/>
      <c r="D962" s="373" t="s">
        <v>302</v>
      </c>
      <c r="E962" s="366"/>
      <c r="F962" s="366"/>
      <c r="G962" s="366"/>
      <c r="H962" s="366"/>
      <c r="I962" s="366"/>
      <c r="J962" s="366"/>
      <c r="K962" s="374"/>
      <c r="L962" s="366"/>
      <c r="M962" s="366"/>
      <c r="N962" s="366"/>
      <c r="O962" s="366"/>
      <c r="P962" s="366"/>
      <c r="R962" s="368"/>
      <c r="S962" s="368"/>
      <c r="T962" s="126" t="s">
        <v>48</v>
      </c>
    </row>
    <row r="963" spans="2:20" ht="15.75" hidden="1" outlineLevel="1" thickBot="1">
      <c r="B963" s="199"/>
      <c r="C963" s="199"/>
      <c r="D963" s="375" t="s">
        <v>303</v>
      </c>
      <c r="E963" s="386">
        <v>2027</v>
      </c>
      <c r="F963" s="377"/>
      <c r="G963" s="366"/>
      <c r="H963" s="366"/>
      <c r="I963" s="366"/>
      <c r="J963" s="366"/>
      <c r="K963" s="367"/>
      <c r="L963" s="366"/>
      <c r="M963" s="366"/>
      <c r="N963" s="366"/>
      <c r="O963" s="366"/>
      <c r="P963" s="366"/>
      <c r="R963" s="368"/>
      <c r="S963" s="368"/>
      <c r="T963" s="126" t="s">
        <v>48</v>
      </c>
    </row>
    <row r="964" spans="2:20" ht="15.75" hidden="1" outlineLevel="1" thickBot="1">
      <c r="B964" s="199"/>
      <c r="C964" s="199"/>
      <c r="D964" s="375" t="s">
        <v>304</v>
      </c>
      <c r="E964" s="378" t="s">
        <v>385</v>
      </c>
      <c r="F964" s="390">
        <v>2.2499999999999999E-2</v>
      </c>
      <c r="G964" s="366"/>
      <c r="H964" s="366"/>
      <c r="I964" s="366"/>
      <c r="J964" s="366"/>
      <c r="K964" s="367"/>
      <c r="L964" s="366"/>
      <c r="M964" s="366"/>
      <c r="N964" s="366"/>
      <c r="O964" s="366"/>
      <c r="P964" s="366"/>
      <c r="R964" s="368"/>
      <c r="S964" s="368"/>
      <c r="T964" s="126" t="s">
        <v>48</v>
      </c>
    </row>
    <row r="965" spans="2:20" ht="15.75" hidden="1" outlineLevel="1" thickBot="1">
      <c r="B965" s="199"/>
      <c r="C965" s="199"/>
      <c r="D965" s="375" t="s">
        <v>306</v>
      </c>
      <c r="E965" s="379" t="s">
        <v>382</v>
      </c>
      <c r="F965" s="380"/>
      <c r="G965" s="366"/>
      <c r="H965" s="366"/>
      <c r="I965" s="366"/>
      <c r="J965" s="366"/>
      <c r="K965" s="367"/>
      <c r="L965" s="366"/>
      <c r="M965" s="366"/>
      <c r="N965" s="366"/>
      <c r="O965" s="366"/>
      <c r="P965" s="366"/>
      <c r="R965" s="368"/>
      <c r="S965" s="368"/>
      <c r="T965" s="126" t="s">
        <v>48</v>
      </c>
    </row>
    <row r="966" spans="2:20" hidden="1" outlineLevel="1">
      <c r="B966" s="199"/>
      <c r="C966" s="199"/>
      <c r="D966" s="375" t="s">
        <v>308</v>
      </c>
      <c r="E966" s="366"/>
      <c r="F966" s="366"/>
      <c r="G966" s="366"/>
      <c r="H966" s="366"/>
      <c r="I966" s="366"/>
      <c r="J966" s="366"/>
      <c r="K966" s="367"/>
      <c r="L966" s="366"/>
      <c r="M966" s="366"/>
      <c r="N966" s="366"/>
      <c r="O966" s="366"/>
      <c r="P966" s="366"/>
      <c r="R966" s="368"/>
      <c r="S966" s="368"/>
      <c r="T966" s="126" t="s">
        <v>48</v>
      </c>
    </row>
    <row r="967" spans="2:20" hidden="1" outlineLevel="1">
      <c r="B967" s="199"/>
      <c r="C967" s="199"/>
      <c r="D967" s="381"/>
      <c r="E967" s="366"/>
      <c r="F967" s="366"/>
      <c r="G967" s="366"/>
      <c r="H967" s="366"/>
      <c r="I967" s="366"/>
      <c r="J967" s="366"/>
      <c r="K967" s="385"/>
      <c r="L967" s="366"/>
      <c r="M967" s="366"/>
      <c r="N967" s="366"/>
      <c r="O967" s="366"/>
      <c r="P967" s="366"/>
      <c r="R967" s="368"/>
      <c r="S967" s="368"/>
      <c r="T967" s="126" t="s">
        <v>48</v>
      </c>
    </row>
    <row r="968" spans="2:20" hidden="1" outlineLevel="1">
      <c r="B968" s="199"/>
      <c r="C968" s="199"/>
      <c r="D968" s="369" t="s">
        <v>386</v>
      </c>
      <c r="E968" s="370"/>
      <c r="F968" s="370"/>
      <c r="G968" s="370"/>
      <c r="H968" s="370"/>
      <c r="I968" s="370"/>
      <c r="J968" s="370"/>
      <c r="K968" s="371">
        <v>1.554</v>
      </c>
      <c r="L968" s="370"/>
      <c r="M968" s="370"/>
      <c r="N968" s="370"/>
      <c r="O968" s="370"/>
      <c r="P968" s="370"/>
      <c r="R968" s="368"/>
      <c r="S968" s="368"/>
      <c r="T968" s="126" t="s">
        <v>48</v>
      </c>
    </row>
    <row r="969" spans="2:20" hidden="1" outlineLevel="1">
      <c r="B969" s="199"/>
      <c r="C969" s="199"/>
      <c r="D969" s="387" t="s">
        <v>337</v>
      </c>
      <c r="E969" s="366"/>
      <c r="F969" s="366"/>
      <c r="G969" s="366"/>
      <c r="H969" s="366"/>
      <c r="I969" s="366"/>
      <c r="J969" s="366"/>
      <c r="K969" s="388">
        <v>8.5470000000000006</v>
      </c>
      <c r="L969" s="366"/>
      <c r="M969" s="366"/>
      <c r="N969" s="366"/>
      <c r="O969" s="366"/>
      <c r="P969" s="366"/>
      <c r="R969" s="368"/>
      <c r="S969" s="368"/>
      <c r="T969" s="126" t="s">
        <v>48</v>
      </c>
    </row>
    <row r="970" spans="2:20" hidden="1" outlineLevel="1">
      <c r="B970" s="199"/>
      <c r="C970" s="199"/>
      <c r="D970" s="372" t="s">
        <v>302</v>
      </c>
      <c r="E970" s="366"/>
      <c r="F970" s="366"/>
      <c r="G970" s="366"/>
      <c r="H970" s="366"/>
      <c r="I970" s="366"/>
      <c r="J970" s="366"/>
      <c r="K970" s="367"/>
      <c r="L970" s="366"/>
      <c r="M970" s="366"/>
      <c r="N970" s="366"/>
      <c r="O970" s="366"/>
      <c r="P970" s="366"/>
      <c r="R970" s="368"/>
      <c r="S970" s="368"/>
      <c r="T970" s="126" t="s">
        <v>48</v>
      </c>
    </row>
    <row r="971" spans="2:20" hidden="1" outlineLevel="1">
      <c r="B971" s="199"/>
      <c r="C971" s="199"/>
      <c r="D971" s="373" t="s">
        <v>302</v>
      </c>
      <c r="E971" s="366"/>
      <c r="F971" s="366"/>
      <c r="G971" s="366"/>
      <c r="H971" s="366"/>
      <c r="I971" s="366"/>
      <c r="J971" s="366"/>
      <c r="K971" s="374"/>
      <c r="L971" s="366"/>
      <c r="M971" s="366"/>
      <c r="N971" s="366"/>
      <c r="O971" s="366"/>
      <c r="P971" s="366"/>
      <c r="R971" s="368"/>
      <c r="S971" s="368"/>
      <c r="T971" s="126" t="s">
        <v>48</v>
      </c>
    </row>
    <row r="972" spans="2:20" ht="15.75" hidden="1" outlineLevel="1" thickBot="1">
      <c r="B972" s="199"/>
      <c r="C972" s="199"/>
      <c r="D972" s="375" t="s">
        <v>303</v>
      </c>
      <c r="E972" s="386">
        <v>2025</v>
      </c>
      <c r="F972" s="377"/>
      <c r="G972" s="366"/>
      <c r="H972" s="366"/>
      <c r="I972" s="366"/>
      <c r="J972" s="366"/>
      <c r="K972" s="367"/>
      <c r="L972" s="366"/>
      <c r="M972" s="366"/>
      <c r="N972" s="366"/>
      <c r="O972" s="366"/>
      <c r="P972" s="366"/>
      <c r="R972" s="368"/>
      <c r="S972" s="368"/>
      <c r="T972" s="126" t="s">
        <v>48</v>
      </c>
    </row>
    <row r="973" spans="2:20" ht="15.75" hidden="1" outlineLevel="1" thickBot="1">
      <c r="B973" s="199"/>
      <c r="C973" s="199"/>
      <c r="D973" s="375" t="s">
        <v>304</v>
      </c>
      <c r="E973" s="378" t="s">
        <v>366</v>
      </c>
      <c r="F973" s="390">
        <v>6.25E-2</v>
      </c>
      <c r="G973" s="366"/>
      <c r="H973" s="366"/>
      <c r="I973" s="366"/>
      <c r="J973" s="366"/>
      <c r="K973" s="367"/>
      <c r="L973" s="366"/>
      <c r="M973" s="366"/>
      <c r="N973" s="366"/>
      <c r="O973" s="366"/>
      <c r="P973" s="366"/>
      <c r="R973" s="368"/>
      <c r="S973" s="368"/>
      <c r="T973" s="126" t="s">
        <v>48</v>
      </c>
    </row>
    <row r="974" spans="2:20" ht="15.75" hidden="1" outlineLevel="1" thickBot="1">
      <c r="B974" s="199"/>
      <c r="C974" s="199"/>
      <c r="D974" s="375" t="s">
        <v>306</v>
      </c>
      <c r="E974" s="379" t="s">
        <v>382</v>
      </c>
      <c r="F974" s="380"/>
      <c r="G974" s="366"/>
      <c r="H974" s="366"/>
      <c r="I974" s="366"/>
      <c r="J974" s="366"/>
      <c r="K974" s="367"/>
      <c r="L974" s="366"/>
      <c r="M974" s="366"/>
      <c r="N974" s="366"/>
      <c r="O974" s="366"/>
      <c r="P974" s="366"/>
      <c r="R974" s="368"/>
      <c r="S974" s="368"/>
      <c r="T974" s="126" t="s">
        <v>48</v>
      </c>
    </row>
    <row r="975" spans="2:20" hidden="1" outlineLevel="1">
      <c r="B975" s="199"/>
      <c r="C975" s="199"/>
      <c r="D975" s="375" t="s">
        <v>308</v>
      </c>
      <c r="E975" s="366"/>
      <c r="F975" s="366"/>
      <c r="G975" s="366"/>
      <c r="H975" s="366"/>
      <c r="I975" s="366"/>
      <c r="J975" s="366"/>
      <c r="K975" s="367"/>
      <c r="L975" s="366"/>
      <c r="M975" s="366"/>
      <c r="N975" s="366"/>
      <c r="O975" s="366"/>
      <c r="P975" s="366"/>
      <c r="R975" s="368"/>
      <c r="S975" s="368"/>
      <c r="T975" s="126" t="s">
        <v>48</v>
      </c>
    </row>
    <row r="976" spans="2:20" hidden="1" outlineLevel="1">
      <c r="B976" s="199"/>
      <c r="C976" s="199"/>
      <c r="D976" s="381"/>
      <c r="E976" s="366"/>
      <c r="F976" s="366"/>
      <c r="G976" s="366"/>
      <c r="H976" s="366"/>
      <c r="I976" s="366"/>
      <c r="J976" s="366"/>
      <c r="K976" s="385"/>
      <c r="L976" s="366"/>
      <c r="M976" s="366"/>
      <c r="N976" s="366"/>
      <c r="O976" s="366"/>
      <c r="P976" s="366"/>
      <c r="R976" s="368"/>
      <c r="S976" s="368"/>
      <c r="T976" s="126" t="s">
        <v>48</v>
      </c>
    </row>
    <row r="977" spans="2:20" hidden="1" outlineLevel="1">
      <c r="B977" s="199"/>
      <c r="C977" s="199"/>
      <c r="D977" s="369" t="s">
        <v>387</v>
      </c>
      <c r="E977" s="370"/>
      <c r="F977" s="370"/>
      <c r="G977" s="370"/>
      <c r="H977" s="370"/>
      <c r="I977" s="370"/>
      <c r="J977" s="370"/>
      <c r="K977" s="371">
        <v>0</v>
      </c>
      <c r="L977" s="370"/>
      <c r="M977" s="370"/>
      <c r="N977" s="370"/>
      <c r="O977" s="370"/>
      <c r="P977" s="370"/>
      <c r="R977" s="368"/>
      <c r="S977" s="368"/>
      <c r="T977" s="126" t="s">
        <v>48</v>
      </c>
    </row>
    <row r="978" spans="2:20" hidden="1" outlineLevel="1">
      <c r="B978" s="199"/>
      <c r="C978" s="199"/>
      <c r="D978" s="387" t="s">
        <v>337</v>
      </c>
      <c r="E978" s="366"/>
      <c r="F978" s="366"/>
      <c r="G978" s="366"/>
      <c r="H978" s="366"/>
      <c r="I978" s="366"/>
      <c r="J978" s="366"/>
      <c r="K978" s="388">
        <v>0</v>
      </c>
      <c r="L978" s="366"/>
      <c r="M978" s="366"/>
      <c r="N978" s="366"/>
      <c r="O978" s="366"/>
      <c r="P978" s="366"/>
      <c r="R978" s="368"/>
      <c r="S978" s="368"/>
      <c r="T978" s="126" t="s">
        <v>48</v>
      </c>
    </row>
    <row r="979" spans="2:20" hidden="1" outlineLevel="1">
      <c r="B979" s="199"/>
      <c r="C979" s="199"/>
      <c r="D979" s="372" t="s">
        <v>302</v>
      </c>
      <c r="E979" s="366"/>
      <c r="F979" s="366"/>
      <c r="G979" s="366"/>
      <c r="H979" s="366"/>
      <c r="I979" s="366"/>
      <c r="J979" s="366"/>
      <c r="K979" s="367"/>
      <c r="L979" s="366"/>
      <c r="M979" s="366"/>
      <c r="N979" s="366"/>
      <c r="O979" s="366"/>
      <c r="P979" s="366"/>
      <c r="R979" s="368"/>
      <c r="S979" s="368"/>
      <c r="T979" s="126" t="s">
        <v>48</v>
      </c>
    </row>
    <row r="980" spans="2:20" hidden="1" outlineLevel="1">
      <c r="B980" s="199"/>
      <c r="C980" s="199"/>
      <c r="D980" s="373" t="s">
        <v>302</v>
      </c>
      <c r="E980" s="366"/>
      <c r="F980" s="366"/>
      <c r="G980" s="366"/>
      <c r="H980" s="366"/>
      <c r="I980" s="366"/>
      <c r="J980" s="366"/>
      <c r="K980" s="374"/>
      <c r="L980" s="366"/>
      <c r="M980" s="366"/>
      <c r="N980" s="366"/>
      <c r="O980" s="366"/>
      <c r="P980" s="366"/>
      <c r="R980" s="368"/>
      <c r="S980" s="368"/>
      <c r="T980" s="126" t="s">
        <v>48</v>
      </c>
    </row>
    <row r="981" spans="2:20" ht="15.75" hidden="1" outlineLevel="1" thickBot="1">
      <c r="B981" s="199"/>
      <c r="C981" s="199"/>
      <c r="D981" s="375" t="s">
        <v>303</v>
      </c>
      <c r="E981" s="386">
        <v>2025</v>
      </c>
      <c r="F981" s="377"/>
      <c r="G981" s="366"/>
      <c r="H981" s="366"/>
      <c r="I981" s="366"/>
      <c r="J981" s="366"/>
      <c r="K981" s="367"/>
      <c r="L981" s="366"/>
      <c r="M981" s="366"/>
      <c r="N981" s="366"/>
      <c r="O981" s="366"/>
      <c r="P981" s="366"/>
      <c r="R981" s="368"/>
      <c r="S981" s="368"/>
      <c r="T981" s="126" t="s">
        <v>48</v>
      </c>
    </row>
    <row r="982" spans="2:20" ht="15.75" hidden="1" outlineLevel="1" thickBot="1">
      <c r="B982" s="199"/>
      <c r="C982" s="199"/>
      <c r="D982" s="375" t="s">
        <v>304</v>
      </c>
      <c r="E982" s="378" t="s">
        <v>366</v>
      </c>
      <c r="F982" s="390">
        <v>8.9499999999999996E-2</v>
      </c>
      <c r="G982" s="366"/>
      <c r="H982" s="366"/>
      <c r="I982" s="366"/>
      <c r="J982" s="366"/>
      <c r="K982" s="367"/>
      <c r="L982" s="366"/>
      <c r="M982" s="366"/>
      <c r="N982" s="366"/>
      <c r="O982" s="366"/>
      <c r="P982" s="366"/>
      <c r="R982" s="368"/>
      <c r="S982" s="368"/>
      <c r="T982" s="126" t="s">
        <v>48</v>
      </c>
    </row>
    <row r="983" spans="2:20" ht="15.75" hidden="1" outlineLevel="1" thickBot="1">
      <c r="B983" s="199"/>
      <c r="C983" s="199"/>
      <c r="D983" s="375" t="s">
        <v>306</v>
      </c>
      <c r="E983" s="379" t="s">
        <v>388</v>
      </c>
      <c r="F983" s="380"/>
      <c r="G983" s="366"/>
      <c r="H983" s="366"/>
      <c r="I983" s="366"/>
      <c r="J983" s="366"/>
      <c r="K983" s="367"/>
      <c r="L983" s="366"/>
      <c r="M983" s="366"/>
      <c r="N983" s="366"/>
      <c r="O983" s="366"/>
      <c r="P983" s="366"/>
      <c r="R983" s="368"/>
      <c r="S983" s="368"/>
      <c r="T983" s="126" t="s">
        <v>48</v>
      </c>
    </row>
    <row r="984" spans="2:20" hidden="1" outlineLevel="1">
      <c r="B984" s="199"/>
      <c r="C984" s="199"/>
      <c r="D984" s="375" t="s">
        <v>308</v>
      </c>
      <c r="E984" s="366"/>
      <c r="F984" s="366"/>
      <c r="G984" s="366"/>
      <c r="H984" s="366"/>
      <c r="I984" s="366"/>
      <c r="J984" s="366"/>
      <c r="K984" s="367"/>
      <c r="L984" s="366"/>
      <c r="M984" s="366"/>
      <c r="N984" s="366"/>
      <c r="O984" s="366"/>
      <c r="P984" s="366"/>
      <c r="R984" s="368"/>
      <c r="S984" s="368"/>
      <c r="T984" s="126" t="s">
        <v>48</v>
      </c>
    </row>
    <row r="985" spans="2:20" hidden="1" outlineLevel="1">
      <c r="B985" s="199"/>
      <c r="C985" s="199"/>
      <c r="D985" s="381"/>
      <c r="E985" s="366"/>
      <c r="F985" s="366"/>
      <c r="G985" s="366"/>
      <c r="H985" s="366"/>
      <c r="I985" s="366"/>
      <c r="J985" s="366"/>
      <c r="K985" s="385"/>
      <c r="L985" s="366"/>
      <c r="M985" s="366"/>
      <c r="N985" s="366"/>
      <c r="O985" s="366"/>
      <c r="P985" s="366"/>
      <c r="R985" s="368"/>
      <c r="S985" s="368"/>
      <c r="T985" s="126" t="s">
        <v>48</v>
      </c>
    </row>
    <row r="986" spans="2:20" hidden="1" outlineLevel="1">
      <c r="B986" s="199"/>
      <c r="C986" s="199"/>
      <c r="D986" s="369" t="s">
        <v>389</v>
      </c>
      <c r="E986" s="370"/>
      <c r="F986" s="370"/>
      <c r="G986" s="370"/>
      <c r="H986" s="370"/>
      <c r="I986" s="370"/>
      <c r="J986" s="370"/>
      <c r="K986" s="371">
        <v>10764.016363636363</v>
      </c>
      <c r="L986" s="370"/>
      <c r="M986" s="370"/>
      <c r="N986" s="370"/>
      <c r="O986" s="370"/>
      <c r="P986" s="370"/>
      <c r="R986" s="368"/>
      <c r="S986" s="368"/>
      <c r="T986" s="126" t="s">
        <v>48</v>
      </c>
    </row>
    <row r="987" spans="2:20" hidden="1" outlineLevel="1">
      <c r="B987" s="199"/>
      <c r="C987" s="199"/>
      <c r="D987" s="387" t="s">
        <v>337</v>
      </c>
      <c r="E987" s="366"/>
      <c r="F987" s="366"/>
      <c r="G987" s="366"/>
      <c r="H987" s="366"/>
      <c r="I987" s="366"/>
      <c r="J987" s="366"/>
      <c r="K987" s="388">
        <v>8.1210000000000004</v>
      </c>
      <c r="L987" s="366"/>
      <c r="M987" s="366"/>
      <c r="N987" s="366"/>
      <c r="O987" s="366"/>
      <c r="P987" s="366"/>
      <c r="R987" s="368"/>
      <c r="S987" s="368"/>
      <c r="T987" s="126" t="s">
        <v>48</v>
      </c>
    </row>
    <row r="988" spans="2:20" hidden="1" outlineLevel="1">
      <c r="B988" s="199"/>
      <c r="C988" s="199"/>
      <c r="D988" s="372" t="s">
        <v>302</v>
      </c>
      <c r="E988" s="366"/>
      <c r="F988" s="366"/>
      <c r="G988" s="366"/>
      <c r="H988" s="366"/>
      <c r="I988" s="366"/>
      <c r="J988" s="366"/>
      <c r="K988" s="367"/>
      <c r="L988" s="366"/>
      <c r="M988" s="366"/>
      <c r="N988" s="366"/>
      <c r="O988" s="366"/>
      <c r="P988" s="366"/>
      <c r="R988" s="368"/>
      <c r="S988" s="368"/>
      <c r="T988" s="126" t="s">
        <v>48</v>
      </c>
    </row>
    <row r="989" spans="2:20" hidden="1" outlineLevel="1">
      <c r="B989" s="199"/>
      <c r="C989" s="199"/>
      <c r="D989" s="373" t="s">
        <v>302</v>
      </c>
      <c r="E989" s="366"/>
      <c r="F989" s="366"/>
      <c r="G989" s="366"/>
      <c r="H989" s="366"/>
      <c r="I989" s="366"/>
      <c r="J989" s="366"/>
      <c r="K989" s="374"/>
      <c r="L989" s="366"/>
      <c r="M989" s="366"/>
      <c r="N989" s="366"/>
      <c r="O989" s="366"/>
      <c r="P989" s="366"/>
      <c r="R989" s="368"/>
      <c r="S989" s="368"/>
      <c r="T989" s="126" t="s">
        <v>48</v>
      </c>
    </row>
    <row r="990" spans="2:20" ht="15.75" hidden="1" outlineLevel="1" thickBot="1">
      <c r="B990" s="199"/>
      <c r="C990" s="199"/>
      <c r="D990" s="375" t="s">
        <v>303</v>
      </c>
      <c r="E990" s="386">
        <v>2027</v>
      </c>
      <c r="F990" s="377"/>
      <c r="G990" s="366"/>
      <c r="H990" s="366"/>
      <c r="I990" s="366"/>
      <c r="J990" s="366"/>
      <c r="K990" s="367"/>
      <c r="L990" s="366"/>
      <c r="M990" s="366"/>
      <c r="N990" s="366"/>
      <c r="O990" s="366"/>
      <c r="P990" s="366"/>
      <c r="R990" s="368"/>
      <c r="S990" s="368"/>
      <c r="T990" s="126" t="s">
        <v>48</v>
      </c>
    </row>
    <row r="991" spans="2:20" ht="15.75" hidden="1" outlineLevel="1" thickBot="1">
      <c r="B991" s="199"/>
      <c r="C991" s="199"/>
      <c r="D991" s="375" t="s">
        <v>304</v>
      </c>
      <c r="E991" s="378" t="s">
        <v>366</v>
      </c>
      <c r="F991" s="390">
        <v>9.1999999999999998E-2</v>
      </c>
      <c r="G991" s="366"/>
      <c r="H991" s="366"/>
      <c r="I991" s="366"/>
      <c r="J991" s="366"/>
      <c r="K991" s="367"/>
      <c r="L991" s="366"/>
      <c r="M991" s="366"/>
      <c r="N991" s="366"/>
      <c r="O991" s="366"/>
      <c r="P991" s="366"/>
      <c r="R991" s="368"/>
      <c r="S991" s="368"/>
      <c r="T991" s="126" t="s">
        <v>48</v>
      </c>
    </row>
    <row r="992" spans="2:20" ht="15.75" hidden="1" outlineLevel="1" thickBot="1">
      <c r="B992" s="199"/>
      <c r="C992" s="199"/>
      <c r="D992" s="375" t="s">
        <v>306</v>
      </c>
      <c r="E992" s="379" t="s">
        <v>388</v>
      </c>
      <c r="F992" s="380"/>
      <c r="G992" s="366"/>
      <c r="H992" s="366"/>
      <c r="I992" s="366"/>
      <c r="J992" s="366"/>
      <c r="K992" s="367"/>
      <c r="L992" s="366"/>
      <c r="M992" s="366"/>
      <c r="N992" s="366"/>
      <c r="O992" s="366"/>
      <c r="P992" s="366"/>
      <c r="R992" s="368"/>
      <c r="S992" s="368"/>
      <c r="T992" s="126" t="s">
        <v>48</v>
      </c>
    </row>
    <row r="993" spans="2:20" hidden="1" outlineLevel="1">
      <c r="B993" s="199"/>
      <c r="C993" s="199"/>
      <c r="D993" s="375" t="s">
        <v>308</v>
      </c>
      <c r="E993" s="366"/>
      <c r="F993" s="366"/>
      <c r="G993" s="366"/>
      <c r="H993" s="366"/>
      <c r="I993" s="366"/>
      <c r="J993" s="366"/>
      <c r="K993" s="367"/>
      <c r="L993" s="366"/>
      <c r="M993" s="366"/>
      <c r="N993" s="366"/>
      <c r="O993" s="366"/>
      <c r="P993" s="366"/>
      <c r="R993" s="368"/>
      <c r="S993" s="368"/>
      <c r="T993" s="126" t="s">
        <v>48</v>
      </c>
    </row>
    <row r="994" spans="2:20" hidden="1" outlineLevel="1">
      <c r="B994" s="199"/>
      <c r="C994" s="199"/>
      <c r="D994" s="381"/>
      <c r="E994" s="366"/>
      <c r="F994" s="366"/>
      <c r="G994" s="366"/>
      <c r="H994" s="366"/>
      <c r="I994" s="366"/>
      <c r="J994" s="366"/>
      <c r="K994" s="385"/>
      <c r="L994" s="366"/>
      <c r="M994" s="366"/>
      <c r="N994" s="366"/>
      <c r="O994" s="366"/>
      <c r="P994" s="366"/>
      <c r="R994" s="368"/>
      <c r="S994" s="368"/>
      <c r="T994" s="126" t="s">
        <v>48</v>
      </c>
    </row>
    <row r="995" spans="2:20" hidden="1" outlineLevel="1">
      <c r="B995" s="199"/>
      <c r="C995" s="199"/>
      <c r="D995" s="369" t="s">
        <v>390</v>
      </c>
      <c r="E995" s="370"/>
      <c r="F995" s="370"/>
      <c r="G995" s="370"/>
      <c r="H995" s="370"/>
      <c r="I995" s="370"/>
      <c r="J995" s="370"/>
      <c r="K995" s="371">
        <v>3210.2509090909093</v>
      </c>
      <c r="L995" s="370"/>
      <c r="M995" s="370"/>
      <c r="N995" s="370"/>
      <c r="O995" s="370"/>
      <c r="P995" s="370"/>
      <c r="R995" s="368"/>
      <c r="S995" s="368"/>
      <c r="T995" s="126" t="s">
        <v>48</v>
      </c>
    </row>
    <row r="996" spans="2:20" hidden="1" outlineLevel="1">
      <c r="B996" s="199"/>
      <c r="C996" s="199"/>
      <c r="D996" s="387" t="s">
        <v>337</v>
      </c>
      <c r="E996" s="366"/>
      <c r="F996" s="366"/>
      <c r="G996" s="366"/>
      <c r="H996" s="366"/>
      <c r="I996" s="366"/>
      <c r="J996" s="366"/>
      <c r="K996" s="388">
        <v>2.4220000000000002</v>
      </c>
      <c r="L996" s="366"/>
      <c r="M996" s="366"/>
      <c r="N996" s="366"/>
      <c r="O996" s="366"/>
      <c r="P996" s="366"/>
      <c r="R996" s="368"/>
      <c r="S996" s="368"/>
      <c r="T996" s="126" t="s">
        <v>48</v>
      </c>
    </row>
    <row r="997" spans="2:20" hidden="1" outlineLevel="1">
      <c r="B997" s="199"/>
      <c r="C997" s="199"/>
      <c r="D997" s="372" t="s">
        <v>302</v>
      </c>
      <c r="E997" s="366"/>
      <c r="F997" s="366"/>
      <c r="G997" s="366"/>
      <c r="H997" s="366"/>
      <c r="I997" s="366"/>
      <c r="J997" s="366"/>
      <c r="K997" s="367"/>
      <c r="L997" s="366"/>
      <c r="M997" s="366"/>
      <c r="N997" s="366"/>
      <c r="O997" s="366"/>
      <c r="P997" s="366"/>
      <c r="R997" s="368"/>
      <c r="S997" s="368"/>
      <c r="T997" s="126" t="s">
        <v>48</v>
      </c>
    </row>
    <row r="998" spans="2:20" hidden="1" outlineLevel="1">
      <c r="B998" s="199"/>
      <c r="C998" s="199"/>
      <c r="D998" s="373" t="s">
        <v>302</v>
      </c>
      <c r="E998" s="366"/>
      <c r="F998" s="366"/>
      <c r="G998" s="366"/>
      <c r="H998" s="366"/>
      <c r="I998" s="366"/>
      <c r="J998" s="366"/>
      <c r="K998" s="374"/>
      <c r="L998" s="366"/>
      <c r="M998" s="366"/>
      <c r="N998" s="366"/>
      <c r="O998" s="366"/>
      <c r="P998" s="366"/>
      <c r="R998" s="368"/>
      <c r="S998" s="368"/>
      <c r="T998" s="126" t="s">
        <v>48</v>
      </c>
    </row>
    <row r="999" spans="2:20" ht="15.75" hidden="1" outlineLevel="1" thickBot="1">
      <c r="B999" s="199"/>
      <c r="C999" s="199"/>
      <c r="D999" s="375" t="s">
        <v>303</v>
      </c>
      <c r="E999" s="386">
        <v>2027</v>
      </c>
      <c r="F999" s="377"/>
      <c r="G999" s="366"/>
      <c r="H999" s="366"/>
      <c r="I999" s="366"/>
      <c r="J999" s="366"/>
      <c r="K999" s="367"/>
      <c r="L999" s="366"/>
      <c r="M999" s="366"/>
      <c r="N999" s="366"/>
      <c r="O999" s="366"/>
      <c r="P999" s="366"/>
      <c r="R999" s="368"/>
      <c r="S999" s="368"/>
      <c r="T999" s="126" t="s">
        <v>48</v>
      </c>
    </row>
    <row r="1000" spans="2:20" ht="15.75" hidden="1" outlineLevel="1" thickBot="1">
      <c r="B1000" s="199"/>
      <c r="C1000" s="199"/>
      <c r="D1000" s="375" t="s">
        <v>304</v>
      </c>
      <c r="E1000" s="378" t="s">
        <v>366</v>
      </c>
      <c r="F1000" s="390">
        <v>9.1999999999999998E-2</v>
      </c>
      <c r="G1000" s="366"/>
      <c r="H1000" s="366"/>
      <c r="I1000" s="366"/>
      <c r="J1000" s="366"/>
      <c r="K1000" s="367"/>
      <c r="L1000" s="366"/>
      <c r="M1000" s="366"/>
      <c r="N1000" s="366"/>
      <c r="O1000" s="366"/>
      <c r="P1000" s="366"/>
      <c r="R1000" s="368"/>
      <c r="S1000" s="368"/>
      <c r="T1000" s="126" t="s">
        <v>48</v>
      </c>
    </row>
    <row r="1001" spans="2:20" ht="15.75" hidden="1" outlineLevel="1" thickBot="1">
      <c r="B1001" s="199"/>
      <c r="C1001" s="199"/>
      <c r="D1001" s="375" t="s">
        <v>306</v>
      </c>
      <c r="E1001" s="379" t="s">
        <v>388</v>
      </c>
      <c r="F1001" s="380"/>
      <c r="G1001" s="366"/>
      <c r="H1001" s="366"/>
      <c r="I1001" s="366"/>
      <c r="J1001" s="366"/>
      <c r="K1001" s="367"/>
      <c r="L1001" s="366"/>
      <c r="M1001" s="366"/>
      <c r="N1001" s="366"/>
      <c r="O1001" s="366"/>
      <c r="P1001" s="366"/>
      <c r="R1001" s="368"/>
      <c r="S1001" s="368"/>
      <c r="T1001" s="126" t="s">
        <v>48</v>
      </c>
    </row>
    <row r="1002" spans="2:20" hidden="1" outlineLevel="1">
      <c r="B1002" s="199"/>
      <c r="C1002" s="199"/>
      <c r="D1002" s="375" t="s">
        <v>308</v>
      </c>
      <c r="E1002" s="366"/>
      <c r="F1002" s="366"/>
      <c r="G1002" s="366"/>
      <c r="H1002" s="366"/>
      <c r="I1002" s="366"/>
      <c r="J1002" s="366"/>
      <c r="K1002" s="367"/>
      <c r="L1002" s="366"/>
      <c r="M1002" s="366"/>
      <c r="N1002" s="366"/>
      <c r="O1002" s="366"/>
      <c r="P1002" s="366"/>
      <c r="R1002" s="368"/>
      <c r="S1002" s="368"/>
      <c r="T1002" s="126" t="s">
        <v>48</v>
      </c>
    </row>
    <row r="1003" spans="2:20" hidden="1" outlineLevel="1">
      <c r="B1003" s="199"/>
      <c r="C1003" s="199"/>
      <c r="D1003" s="381"/>
      <c r="E1003" s="366"/>
      <c r="F1003" s="366"/>
      <c r="G1003" s="366"/>
      <c r="H1003" s="366"/>
      <c r="I1003" s="366"/>
      <c r="J1003" s="366"/>
      <c r="K1003" s="385"/>
      <c r="L1003" s="366"/>
      <c r="M1003" s="366"/>
      <c r="N1003" s="366"/>
      <c r="O1003" s="366"/>
      <c r="P1003" s="366"/>
      <c r="R1003" s="368"/>
      <c r="S1003" s="368"/>
      <c r="T1003" s="126" t="s">
        <v>48</v>
      </c>
    </row>
    <row r="1004" spans="2:20" hidden="1" outlineLevel="1">
      <c r="B1004" s="199"/>
      <c r="C1004" s="199"/>
      <c r="D1004" s="369" t="s">
        <v>391</v>
      </c>
      <c r="E1004" s="370"/>
      <c r="F1004" s="370"/>
      <c r="G1004" s="370"/>
      <c r="H1004" s="370"/>
      <c r="I1004" s="370"/>
      <c r="J1004" s="370"/>
      <c r="K1004" s="371">
        <v>14379.856363636363</v>
      </c>
      <c r="L1004" s="370"/>
      <c r="M1004" s="370"/>
      <c r="N1004" s="370"/>
      <c r="O1004" s="370"/>
      <c r="P1004" s="370"/>
      <c r="R1004" s="368"/>
      <c r="S1004" s="368"/>
      <c r="T1004" s="126" t="s">
        <v>48</v>
      </c>
    </row>
    <row r="1005" spans="2:20" hidden="1" outlineLevel="1">
      <c r="B1005" s="199"/>
      <c r="C1005" s="199"/>
      <c r="D1005" s="387" t="s">
        <v>337</v>
      </c>
      <c r="E1005" s="366"/>
      <c r="F1005" s="366"/>
      <c r="G1005" s="366"/>
      <c r="H1005" s="366"/>
      <c r="I1005" s="366"/>
      <c r="J1005" s="366"/>
      <c r="K1005" s="388">
        <v>10.849</v>
      </c>
      <c r="L1005" s="366"/>
      <c r="M1005" s="366"/>
      <c r="N1005" s="366"/>
      <c r="O1005" s="366"/>
      <c r="P1005" s="366"/>
      <c r="R1005" s="368"/>
      <c r="S1005" s="368"/>
      <c r="T1005" s="126" t="s">
        <v>48</v>
      </c>
    </row>
    <row r="1006" spans="2:20" hidden="1" outlineLevel="1">
      <c r="B1006" s="199"/>
      <c r="C1006" s="199"/>
      <c r="D1006" s="372" t="s">
        <v>302</v>
      </c>
      <c r="E1006" s="366"/>
      <c r="F1006" s="366"/>
      <c r="G1006" s="366"/>
      <c r="H1006" s="366"/>
      <c r="I1006" s="366"/>
      <c r="J1006" s="366"/>
      <c r="K1006" s="367"/>
      <c r="L1006" s="366"/>
      <c r="M1006" s="366"/>
      <c r="N1006" s="366"/>
      <c r="O1006" s="366"/>
      <c r="P1006" s="366"/>
      <c r="R1006" s="368"/>
      <c r="S1006" s="368"/>
      <c r="T1006" s="126" t="s">
        <v>48</v>
      </c>
    </row>
    <row r="1007" spans="2:20" hidden="1" outlineLevel="1">
      <c r="B1007" s="199"/>
      <c r="C1007" s="199"/>
      <c r="D1007" s="373" t="s">
        <v>302</v>
      </c>
      <c r="E1007" s="366"/>
      <c r="F1007" s="366"/>
      <c r="G1007" s="366"/>
      <c r="H1007" s="366"/>
      <c r="I1007" s="366"/>
      <c r="J1007" s="366"/>
      <c r="K1007" s="374"/>
      <c r="L1007" s="366"/>
      <c r="M1007" s="366"/>
      <c r="N1007" s="366"/>
      <c r="O1007" s="366"/>
      <c r="P1007" s="366"/>
      <c r="R1007" s="368"/>
      <c r="S1007" s="368"/>
      <c r="T1007" s="126" t="s">
        <v>48</v>
      </c>
    </row>
    <row r="1008" spans="2:20" ht="15.75" hidden="1" outlineLevel="1" thickBot="1">
      <c r="B1008" s="199"/>
      <c r="C1008" s="199"/>
      <c r="D1008" s="375" t="s">
        <v>303</v>
      </c>
      <c r="E1008" s="386">
        <v>2025</v>
      </c>
      <c r="F1008" s="377"/>
      <c r="G1008" s="366" t="s">
        <v>392</v>
      </c>
      <c r="H1008" s="366"/>
      <c r="I1008" s="366"/>
      <c r="J1008" s="366"/>
      <c r="K1008" s="367"/>
      <c r="L1008" s="366"/>
      <c r="M1008" s="366"/>
      <c r="N1008" s="366"/>
      <c r="O1008" s="366"/>
      <c r="P1008" s="366"/>
      <c r="R1008" s="368"/>
      <c r="S1008" s="368"/>
      <c r="T1008" s="126" t="s">
        <v>48</v>
      </c>
    </row>
    <row r="1009" spans="2:20" ht="15.75" hidden="1" outlineLevel="1" thickBot="1">
      <c r="B1009" s="199"/>
      <c r="C1009" s="199"/>
      <c r="D1009" s="375" t="s">
        <v>304</v>
      </c>
      <c r="E1009" s="378" t="s">
        <v>366</v>
      </c>
      <c r="F1009" s="390">
        <v>9.1999999999999998E-2</v>
      </c>
      <c r="G1009" s="366"/>
      <c r="H1009" s="366"/>
      <c r="I1009" s="366"/>
      <c r="J1009" s="366"/>
      <c r="K1009" s="367"/>
      <c r="L1009" s="366"/>
      <c r="M1009" s="366"/>
      <c r="N1009" s="366"/>
      <c r="O1009" s="366"/>
      <c r="P1009" s="366"/>
      <c r="R1009" s="368"/>
      <c r="S1009" s="368"/>
      <c r="T1009" s="126" t="s">
        <v>48</v>
      </c>
    </row>
    <row r="1010" spans="2:20" ht="15.75" hidden="1" outlineLevel="1" thickBot="1">
      <c r="B1010" s="199"/>
      <c r="C1010" s="199"/>
      <c r="D1010" s="375" t="s">
        <v>306</v>
      </c>
      <c r="E1010" s="379" t="s">
        <v>388</v>
      </c>
      <c r="F1010" s="380"/>
      <c r="G1010" s="366"/>
      <c r="H1010" s="366"/>
      <c r="I1010" s="366"/>
      <c r="J1010" s="366"/>
      <c r="K1010" s="367"/>
      <c r="L1010" s="366"/>
      <c r="M1010" s="366"/>
      <c r="N1010" s="366"/>
      <c r="O1010" s="366"/>
      <c r="P1010" s="366"/>
      <c r="R1010" s="368"/>
      <c r="S1010" s="368"/>
      <c r="T1010" s="126" t="s">
        <v>48</v>
      </c>
    </row>
    <row r="1011" spans="2:20" hidden="1" outlineLevel="1">
      <c r="B1011" s="199"/>
      <c r="C1011" s="199"/>
      <c r="D1011" s="375" t="s">
        <v>308</v>
      </c>
      <c r="E1011" s="366"/>
      <c r="F1011" s="366"/>
      <c r="G1011" s="366"/>
      <c r="H1011" s="366"/>
      <c r="I1011" s="366"/>
      <c r="J1011" s="366"/>
      <c r="K1011" s="367"/>
      <c r="L1011" s="366"/>
      <c r="M1011" s="366"/>
      <c r="N1011" s="366"/>
      <c r="O1011" s="366"/>
      <c r="P1011" s="366"/>
      <c r="R1011" s="368"/>
      <c r="S1011" s="368"/>
      <c r="T1011" s="126" t="s">
        <v>48</v>
      </c>
    </row>
    <row r="1012" spans="2:20" hidden="1" outlineLevel="1">
      <c r="B1012" s="199"/>
      <c r="C1012" s="199"/>
      <c r="D1012" s="381"/>
      <c r="E1012" s="366"/>
      <c r="F1012" s="366"/>
      <c r="G1012" s="366"/>
      <c r="H1012" s="366"/>
      <c r="I1012" s="366"/>
      <c r="J1012" s="366"/>
      <c r="K1012" s="385"/>
      <c r="L1012" s="366"/>
      <c r="M1012" s="366"/>
      <c r="N1012" s="366"/>
      <c r="O1012" s="366"/>
      <c r="P1012" s="366"/>
      <c r="R1012" s="368"/>
      <c r="S1012" s="368"/>
      <c r="T1012" s="126" t="s">
        <v>48</v>
      </c>
    </row>
    <row r="1013" spans="2:20" hidden="1" outlineLevel="1">
      <c r="B1013" s="199"/>
      <c r="C1013" s="199"/>
      <c r="D1013" s="369" t="s">
        <v>393</v>
      </c>
      <c r="E1013" s="370"/>
      <c r="F1013" s="370"/>
      <c r="G1013" s="370"/>
      <c r="H1013" s="370"/>
      <c r="I1013" s="370"/>
      <c r="J1013" s="370"/>
      <c r="K1013" s="371">
        <v>0</v>
      </c>
      <c r="L1013" s="370"/>
      <c r="M1013" s="370"/>
      <c r="N1013" s="370"/>
      <c r="O1013" s="370"/>
      <c r="P1013" s="370"/>
      <c r="R1013" s="368"/>
      <c r="S1013" s="368"/>
      <c r="T1013" s="126" t="s">
        <v>48</v>
      </c>
    </row>
    <row r="1014" spans="2:20" hidden="1" outlineLevel="1">
      <c r="B1014" s="199"/>
      <c r="C1014" s="199"/>
      <c r="D1014" s="387" t="s">
        <v>394</v>
      </c>
      <c r="E1014" s="366"/>
      <c r="F1014" s="366"/>
      <c r="G1014" s="366"/>
      <c r="H1014" s="366"/>
      <c r="I1014" s="366"/>
      <c r="J1014" s="366"/>
      <c r="K1014" s="388">
        <v>0</v>
      </c>
      <c r="L1014" s="366"/>
      <c r="M1014" s="366"/>
      <c r="N1014" s="366"/>
      <c r="O1014" s="366"/>
      <c r="P1014" s="366"/>
      <c r="R1014" s="368"/>
      <c r="S1014" s="368"/>
      <c r="T1014" s="126" t="s">
        <v>48</v>
      </c>
    </row>
    <row r="1015" spans="2:20" hidden="1" outlineLevel="1">
      <c r="B1015" s="199"/>
      <c r="C1015" s="199"/>
      <c r="D1015" s="372" t="s">
        <v>302</v>
      </c>
      <c r="E1015" s="366"/>
      <c r="F1015" s="366"/>
      <c r="G1015" s="366"/>
      <c r="H1015" s="366"/>
      <c r="I1015" s="366"/>
      <c r="J1015" s="366"/>
      <c r="K1015" s="367"/>
      <c r="L1015" s="366"/>
      <c r="M1015" s="366"/>
      <c r="N1015" s="366"/>
      <c r="O1015" s="366"/>
      <c r="P1015" s="366"/>
      <c r="R1015" s="368"/>
      <c r="S1015" s="368"/>
      <c r="T1015" s="126" t="s">
        <v>48</v>
      </c>
    </row>
    <row r="1016" spans="2:20" hidden="1" outlineLevel="1">
      <c r="B1016" s="199"/>
      <c r="C1016" s="199"/>
      <c r="D1016" s="373" t="s">
        <v>302</v>
      </c>
      <c r="E1016" s="366"/>
      <c r="F1016" s="366"/>
      <c r="G1016" s="366"/>
      <c r="H1016" s="366"/>
      <c r="I1016" s="366"/>
      <c r="J1016" s="366"/>
      <c r="K1016" s="374"/>
      <c r="L1016" s="366"/>
      <c r="M1016" s="366"/>
      <c r="N1016" s="366"/>
      <c r="O1016" s="366"/>
      <c r="P1016" s="366"/>
      <c r="R1016" s="368"/>
      <c r="S1016" s="368"/>
      <c r="T1016" s="126" t="s">
        <v>48</v>
      </c>
    </row>
    <row r="1017" spans="2:20" ht="15.75" hidden="1" outlineLevel="1" thickBot="1">
      <c r="B1017" s="199"/>
      <c r="C1017" s="199"/>
      <c r="D1017" s="375" t="s">
        <v>303</v>
      </c>
      <c r="E1017" s="386">
        <v>2025</v>
      </c>
      <c r="F1017" s="377"/>
      <c r="G1017" s="366"/>
      <c r="H1017" s="366"/>
      <c r="I1017" s="366"/>
      <c r="J1017" s="366"/>
      <c r="K1017" s="367"/>
      <c r="L1017" s="366"/>
      <c r="M1017" s="366"/>
      <c r="N1017" s="366"/>
      <c r="O1017" s="366"/>
      <c r="P1017" s="366"/>
      <c r="R1017" s="368"/>
      <c r="S1017" s="368"/>
      <c r="T1017" s="126" t="s">
        <v>48</v>
      </c>
    </row>
    <row r="1018" spans="2:20" ht="15.75" hidden="1" outlineLevel="1" thickBot="1">
      <c r="B1018" s="199"/>
      <c r="C1018" s="199"/>
      <c r="D1018" s="375" t="s">
        <v>304</v>
      </c>
      <c r="E1018" s="378" t="s">
        <v>366</v>
      </c>
      <c r="F1018" s="390">
        <v>5.1999999999999998E-3</v>
      </c>
      <c r="G1018" s="366"/>
      <c r="H1018" s="366"/>
      <c r="I1018" s="366"/>
      <c r="J1018" s="366"/>
      <c r="K1018" s="367"/>
      <c r="L1018" s="366"/>
      <c r="M1018" s="366"/>
      <c r="N1018" s="366"/>
      <c r="O1018" s="366"/>
      <c r="P1018" s="366"/>
      <c r="R1018" s="368"/>
      <c r="S1018" s="368"/>
      <c r="T1018" s="126" t="s">
        <v>48</v>
      </c>
    </row>
    <row r="1019" spans="2:20" ht="15.75" hidden="1" outlineLevel="1" thickBot="1">
      <c r="B1019" s="199"/>
      <c r="C1019" s="199"/>
      <c r="D1019" s="375" t="s">
        <v>306</v>
      </c>
      <c r="E1019" s="379" t="s">
        <v>395</v>
      </c>
      <c r="F1019" s="380"/>
      <c r="G1019" s="366"/>
      <c r="H1019" s="366"/>
      <c r="I1019" s="366"/>
      <c r="J1019" s="366"/>
      <c r="K1019" s="367"/>
      <c r="L1019" s="366"/>
      <c r="M1019" s="366"/>
      <c r="N1019" s="366"/>
      <c r="O1019" s="366"/>
      <c r="P1019" s="366"/>
      <c r="R1019" s="368"/>
      <c r="S1019" s="368"/>
      <c r="T1019" s="126" t="s">
        <v>48</v>
      </c>
    </row>
    <row r="1020" spans="2:20" hidden="1" outlineLevel="1">
      <c r="B1020" s="199"/>
      <c r="C1020" s="199"/>
      <c r="D1020" s="375" t="s">
        <v>308</v>
      </c>
      <c r="E1020" s="366"/>
      <c r="F1020" s="366"/>
      <c r="G1020" s="366"/>
      <c r="H1020" s="366"/>
      <c r="I1020" s="366"/>
      <c r="J1020" s="366"/>
      <c r="K1020" s="367"/>
      <c r="L1020" s="366"/>
      <c r="M1020" s="366"/>
      <c r="N1020" s="366"/>
      <c r="O1020" s="366"/>
      <c r="P1020" s="366"/>
      <c r="R1020" s="368"/>
      <c r="S1020" s="368"/>
      <c r="T1020" s="126" t="s">
        <v>48</v>
      </c>
    </row>
    <row r="1021" spans="2:20" hidden="1" outlineLevel="1">
      <c r="B1021" s="199"/>
      <c r="C1021" s="199"/>
      <c r="D1021" s="381"/>
      <c r="E1021" s="366"/>
      <c r="F1021" s="366"/>
      <c r="G1021" s="366"/>
      <c r="H1021" s="366"/>
      <c r="I1021" s="366"/>
      <c r="J1021" s="366"/>
      <c r="K1021" s="385"/>
      <c r="L1021" s="366"/>
      <c r="M1021" s="366"/>
      <c r="N1021" s="366"/>
      <c r="O1021" s="366"/>
      <c r="P1021" s="366"/>
      <c r="R1021" s="368"/>
      <c r="S1021" s="368"/>
      <c r="T1021" s="126" t="s">
        <v>48</v>
      </c>
    </row>
    <row r="1022" spans="2:20" hidden="1" outlineLevel="1">
      <c r="B1022" s="199"/>
      <c r="C1022" s="199"/>
      <c r="D1022" s="369" t="s">
        <v>393</v>
      </c>
      <c r="E1022" s="370"/>
      <c r="F1022" s="370"/>
      <c r="G1022" s="370"/>
      <c r="H1022" s="370"/>
      <c r="I1022" s="370"/>
      <c r="J1022" s="370"/>
      <c r="K1022" s="371" t="e">
        <v>#REF!</v>
      </c>
      <c r="L1022" s="370"/>
      <c r="M1022" s="370"/>
      <c r="N1022" s="370"/>
      <c r="O1022" s="370"/>
      <c r="P1022" s="370"/>
      <c r="R1022" s="368"/>
      <c r="S1022" s="368"/>
      <c r="T1022" s="126" t="s">
        <v>48</v>
      </c>
    </row>
    <row r="1023" spans="2:20" hidden="1" outlineLevel="1">
      <c r="B1023" s="199"/>
      <c r="C1023" s="199"/>
      <c r="D1023" s="387" t="s">
        <v>394</v>
      </c>
      <c r="E1023" s="366"/>
      <c r="F1023" s="366"/>
      <c r="G1023" s="366"/>
      <c r="H1023" s="366"/>
      <c r="I1023" s="366"/>
      <c r="J1023" s="366"/>
      <c r="K1023" s="388">
        <v>44.877000000000002</v>
      </c>
      <c r="L1023" s="366"/>
      <c r="M1023" s="366"/>
      <c r="N1023" s="366"/>
      <c r="O1023" s="366"/>
      <c r="P1023" s="366"/>
      <c r="R1023" s="368"/>
      <c r="S1023" s="368"/>
      <c r="T1023" s="126" t="s">
        <v>48</v>
      </c>
    </row>
    <row r="1024" spans="2:20" hidden="1" outlineLevel="1">
      <c r="B1024" s="199"/>
      <c r="C1024" s="199"/>
      <c r="D1024" s="372" t="s">
        <v>302</v>
      </c>
      <c r="E1024" s="366"/>
      <c r="F1024" s="366"/>
      <c r="G1024" s="366"/>
      <c r="H1024" s="366"/>
      <c r="I1024" s="366"/>
      <c r="J1024" s="366"/>
      <c r="K1024" s="367"/>
      <c r="L1024" s="366"/>
      <c r="M1024" s="366"/>
      <c r="N1024" s="366"/>
      <c r="O1024" s="366"/>
      <c r="P1024" s="366"/>
      <c r="R1024" s="368"/>
      <c r="S1024" s="368"/>
      <c r="T1024" s="126" t="s">
        <v>48</v>
      </c>
    </row>
    <row r="1025" spans="2:21" hidden="1" outlineLevel="1">
      <c r="B1025" s="199"/>
      <c r="C1025" s="199"/>
      <c r="D1025" s="373" t="s">
        <v>302</v>
      </c>
      <c r="E1025" s="366"/>
      <c r="F1025" s="366"/>
      <c r="G1025" s="366"/>
      <c r="H1025" s="366"/>
      <c r="I1025" s="366"/>
      <c r="J1025" s="366"/>
      <c r="K1025" s="374"/>
      <c r="L1025" s="366"/>
      <c r="M1025" s="366"/>
      <c r="N1025" s="366"/>
      <c r="O1025" s="366"/>
      <c r="P1025" s="366"/>
      <c r="R1025" s="368"/>
      <c r="S1025" s="368"/>
      <c r="T1025" s="126" t="s">
        <v>48</v>
      </c>
    </row>
    <row r="1026" spans="2:21" ht="15.75" hidden="1" outlineLevel="1" thickBot="1">
      <c r="B1026" s="199"/>
      <c r="C1026" s="199"/>
      <c r="D1026" s="375" t="s">
        <v>303</v>
      </c>
      <c r="E1026" s="386">
        <v>2028</v>
      </c>
      <c r="F1026" s="377"/>
      <c r="G1026" s="366"/>
      <c r="H1026" s="366"/>
      <c r="I1026" s="366"/>
      <c r="J1026" s="366"/>
      <c r="K1026" s="367"/>
      <c r="L1026" s="366"/>
      <c r="M1026" s="366"/>
      <c r="N1026" s="366"/>
      <c r="O1026" s="366"/>
      <c r="P1026" s="366"/>
      <c r="R1026" s="368"/>
      <c r="S1026" s="368"/>
      <c r="T1026" s="126" t="s">
        <v>48</v>
      </c>
    </row>
    <row r="1027" spans="2:21" ht="15.75" hidden="1" outlineLevel="1" thickBot="1">
      <c r="B1027" s="199"/>
      <c r="C1027" s="199"/>
      <c r="D1027" s="375" t="s">
        <v>304</v>
      </c>
      <c r="E1027" s="378" t="s">
        <v>396</v>
      </c>
      <c r="F1027" s="390">
        <v>5.3499999999999999E-2</v>
      </c>
      <c r="G1027" s="366"/>
      <c r="H1027" s="366"/>
      <c r="I1027" s="366"/>
      <c r="J1027" s="366"/>
      <c r="K1027" s="367"/>
      <c r="L1027" s="366"/>
      <c r="M1027" s="366"/>
      <c r="N1027" s="366"/>
      <c r="O1027" s="366"/>
      <c r="P1027" s="366"/>
      <c r="R1027" s="368"/>
      <c r="S1027" s="368"/>
      <c r="T1027" s="126" t="s">
        <v>48</v>
      </c>
    </row>
    <row r="1028" spans="2:21" ht="15.75" hidden="1" outlineLevel="1" thickBot="1">
      <c r="B1028" s="199"/>
      <c r="C1028" s="199"/>
      <c r="D1028" s="375" t="s">
        <v>306</v>
      </c>
      <c r="E1028" s="379" t="s">
        <v>397</v>
      </c>
      <c r="F1028" s="380"/>
      <c r="G1028" s="366"/>
      <c r="H1028" s="366"/>
      <c r="I1028" s="366"/>
      <c r="J1028" s="366"/>
      <c r="K1028" s="367"/>
      <c r="L1028" s="366"/>
      <c r="M1028" s="366"/>
      <c r="N1028" s="366"/>
      <c r="O1028" s="366"/>
      <c r="P1028" s="366"/>
      <c r="R1028" s="368"/>
      <c r="S1028" s="368"/>
      <c r="T1028" s="126" t="s">
        <v>48</v>
      </c>
    </row>
    <row r="1029" spans="2:21" hidden="1" outlineLevel="1">
      <c r="B1029" s="199"/>
      <c r="C1029" s="199"/>
      <c r="D1029" s="375" t="s">
        <v>308</v>
      </c>
      <c r="E1029" s="366"/>
      <c r="F1029" s="366"/>
      <c r="G1029" s="366"/>
      <c r="H1029" s="366"/>
      <c r="I1029" s="366"/>
      <c r="J1029" s="366"/>
      <c r="K1029" s="367"/>
      <c r="L1029" s="366"/>
      <c r="M1029" s="366"/>
      <c r="N1029" s="366"/>
      <c r="O1029" s="366"/>
      <c r="P1029" s="366"/>
      <c r="R1029" s="368"/>
      <c r="S1029" s="368"/>
      <c r="T1029" s="126" t="s">
        <v>48</v>
      </c>
    </row>
    <row r="1030" spans="2:21" hidden="1" outlineLevel="1">
      <c r="D1030" s="391"/>
      <c r="E1030" s="175"/>
      <c r="F1030" s="392"/>
      <c r="G1030" s="392"/>
      <c r="H1030" s="392"/>
      <c r="I1030" s="368"/>
      <c r="J1030" s="368"/>
      <c r="K1030" s="393"/>
      <c r="L1030" s="368"/>
      <c r="M1030" s="368"/>
      <c r="N1030" s="368"/>
      <c r="O1030" s="368"/>
      <c r="P1030" s="368"/>
      <c r="Q1030" s="368"/>
      <c r="R1030" s="368"/>
      <c r="S1030" s="368"/>
      <c r="T1030" s="126" t="s">
        <v>48</v>
      </c>
    </row>
    <row r="1031" spans="2:21" hidden="1" outlineLevel="1">
      <c r="D1031" s="391"/>
      <c r="E1031" s="175"/>
      <c r="F1031" s="392"/>
      <c r="G1031" s="392"/>
      <c r="H1031" s="392"/>
      <c r="I1031" s="368"/>
      <c r="J1031" s="368"/>
      <c r="K1031" s="393"/>
      <c r="L1031" s="368"/>
      <c r="M1031" s="368"/>
      <c r="N1031" s="368"/>
      <c r="O1031" s="368"/>
      <c r="P1031" s="368"/>
      <c r="Q1031" s="368"/>
      <c r="R1031" s="368"/>
      <c r="S1031" s="368"/>
      <c r="T1031" s="126" t="s">
        <v>48</v>
      </c>
    </row>
    <row r="1032" spans="2:21" hidden="1" outlineLevel="1">
      <c r="D1032" s="391"/>
      <c r="E1032" s="175"/>
      <c r="F1032" s="392"/>
      <c r="G1032" s="392"/>
      <c r="H1032" s="392"/>
      <c r="I1032" s="368"/>
      <c r="J1032" s="368"/>
      <c r="K1032" s="393"/>
      <c r="L1032" s="368"/>
      <c r="M1032" s="368"/>
      <c r="N1032" s="368"/>
      <c r="O1032" s="368"/>
      <c r="P1032" s="368"/>
      <c r="Q1032" s="368"/>
      <c r="R1032" s="368"/>
      <c r="S1032" s="368"/>
      <c r="T1032" s="126" t="s">
        <v>48</v>
      </c>
    </row>
    <row r="1033" spans="2:21" collapsed="1">
      <c r="D1033" s="326"/>
      <c r="I1033" s="363"/>
      <c r="J1033" s="363"/>
      <c r="K1033" s="364"/>
      <c r="L1033" s="363"/>
      <c r="M1033" s="363"/>
      <c r="N1033" s="363"/>
      <c r="O1033" s="363"/>
      <c r="P1033" s="363"/>
      <c r="Q1033" s="363"/>
      <c r="R1033" s="363"/>
      <c r="S1033" s="363"/>
      <c r="T1033" s="126" t="s">
        <v>48</v>
      </c>
    </row>
    <row r="1034" spans="2:21">
      <c r="B1034" s="348">
        <v>7.2</v>
      </c>
      <c r="C1034" s="348"/>
      <c r="D1034" s="349" t="s">
        <v>398</v>
      </c>
      <c r="E1034" s="350"/>
      <c r="F1034" s="351"/>
      <c r="G1034" s="351"/>
      <c r="H1034" s="351"/>
      <c r="I1034" s="124"/>
      <c r="J1034" s="124"/>
      <c r="K1034" s="124"/>
      <c r="L1034" s="590"/>
      <c r="M1034" s="590"/>
      <c r="N1034" s="590"/>
      <c r="O1034" s="590"/>
      <c r="P1034" s="590"/>
      <c r="Q1034" s="590"/>
      <c r="R1034" s="590"/>
      <c r="S1034" s="590"/>
      <c r="T1034" s="126" t="s">
        <v>48</v>
      </c>
    </row>
    <row r="1035" spans="2:21" outlineLevel="1">
      <c r="D1035" s="326"/>
      <c r="K1035" s="207"/>
      <c r="T1035" s="126" t="s">
        <v>48</v>
      </c>
    </row>
    <row r="1036" spans="2:21" outlineLevel="1">
      <c r="D1036" s="334" t="s">
        <v>399</v>
      </c>
      <c r="I1036" s="137"/>
      <c r="J1036" s="192">
        <f>I1040</f>
        <v>3329.5</v>
      </c>
      <c r="K1036" s="230">
        <f>J1040</f>
        <v>4107.3999999999996</v>
      </c>
      <c r="L1036" s="192">
        <f>K1040</f>
        <v>5400.6</v>
      </c>
      <c r="M1036" s="192">
        <f t="shared" ref="M1036:S1036" si="210">L1040</f>
        <v>4858.2547118634038</v>
      </c>
      <c r="N1036" s="192">
        <f t="shared" si="210"/>
        <v>4775.5612679813667</v>
      </c>
      <c r="O1036" s="192">
        <f t="shared" si="210"/>
        <v>4982.1239756061768</v>
      </c>
      <c r="P1036" s="192">
        <f t="shared" si="210"/>
        <v>4821.1075552581578</v>
      </c>
      <c r="Q1036" s="192">
        <f t="shared" si="210"/>
        <v>4297.06128951555</v>
      </c>
      <c r="R1036" s="192">
        <f t="shared" si="210"/>
        <v>4073.7810678345841</v>
      </c>
      <c r="S1036" s="192">
        <f t="shared" si="210"/>
        <v>4038.1470870639341</v>
      </c>
      <c r="T1036" s="126" t="s">
        <v>48</v>
      </c>
    </row>
    <row r="1037" spans="2:21" outlineLevel="1">
      <c r="D1037" s="326" t="s">
        <v>286</v>
      </c>
      <c r="I1037" s="137"/>
      <c r="J1037" s="163">
        <f>-838.12+J1047</f>
        <v>-1180.72</v>
      </c>
      <c r="K1037" s="207">
        <f>-1037.958+K1047</f>
        <v>-1466.058</v>
      </c>
      <c r="L1037" s="163">
        <f>L1038*K$1040</f>
        <v>-1927.641046598822</v>
      </c>
      <c r="M1037" s="163">
        <f t="shared" ref="M1037:S1037" si="211">M1038*L$1040</f>
        <v>-1734.0612519757119</v>
      </c>
      <c r="N1037" s="163">
        <f t="shared" si="211"/>
        <v>-1704.5454061971629</v>
      </c>
      <c r="O1037" s="163">
        <f t="shared" si="211"/>
        <v>-1778.2740204093202</v>
      </c>
      <c r="P1037" s="163">
        <f t="shared" si="211"/>
        <v>-1720.8022837431624</v>
      </c>
      <c r="Q1037" s="163">
        <f t="shared" si="211"/>
        <v>-1533.7539757473314</v>
      </c>
      <c r="R1037" s="163">
        <f t="shared" si="211"/>
        <v>-1454.0583641104922</v>
      </c>
      <c r="S1037" s="163">
        <f t="shared" si="211"/>
        <v>-1441.339495098305</v>
      </c>
      <c r="T1037" s="126" t="s">
        <v>48</v>
      </c>
    </row>
    <row r="1038" spans="2:21" outlineLevel="1">
      <c r="D1038" s="333" t="s">
        <v>400</v>
      </c>
      <c r="I1038" s="137"/>
      <c r="J1038" s="138">
        <f>J1037/I1040</f>
        <v>-0.35462381738999849</v>
      </c>
      <c r="K1038" s="306">
        <f>K1037/J1040</f>
        <v>-0.35693090519550086</v>
      </c>
      <c r="L1038" s="166">
        <f>K1038</f>
        <v>-0.35693090519550086</v>
      </c>
      <c r="M1038" s="167">
        <f>L1038</f>
        <v>-0.35693090519550086</v>
      </c>
      <c r="N1038" s="167">
        <f t="shared" ref="N1038:S1038" si="212">M1038</f>
        <v>-0.35693090519550086</v>
      </c>
      <c r="O1038" s="167">
        <f t="shared" si="212"/>
        <v>-0.35693090519550086</v>
      </c>
      <c r="P1038" s="167">
        <f t="shared" si="212"/>
        <v>-0.35693090519550086</v>
      </c>
      <c r="Q1038" s="167">
        <f t="shared" si="212"/>
        <v>-0.35693090519550086</v>
      </c>
      <c r="R1038" s="167">
        <f t="shared" si="212"/>
        <v>-0.35693090519550086</v>
      </c>
      <c r="S1038" s="167">
        <f t="shared" si="212"/>
        <v>-0.35693090519550086</v>
      </c>
      <c r="T1038" s="126" t="s">
        <v>48</v>
      </c>
    </row>
    <row r="1039" spans="2:21" outlineLevel="1">
      <c r="D1039" s="326" t="s">
        <v>401</v>
      </c>
      <c r="I1039" s="137"/>
      <c r="J1039" s="163">
        <f>J1040-J1036-J1037</f>
        <v>1958.6199999999997</v>
      </c>
      <c r="K1039" s="207">
        <f>K1040-K1036-K1037</f>
        <v>2759.2580000000007</v>
      </c>
      <c r="L1039" s="187">
        <f t="shared" ref="L1039:S1039" si="213">L363</f>
        <v>1385.2957584622254</v>
      </c>
      <c r="M1039" s="163">
        <f t="shared" si="213"/>
        <v>1651.367808093675</v>
      </c>
      <c r="N1039" s="163">
        <f t="shared" si="213"/>
        <v>1911.1081138219736</v>
      </c>
      <c r="O1039" s="163">
        <f t="shared" si="213"/>
        <v>1617.2576000613014</v>
      </c>
      <c r="P1039" s="163">
        <f t="shared" si="213"/>
        <v>1196.7560180005546</v>
      </c>
      <c r="Q1039" s="163">
        <f t="shared" si="213"/>
        <v>1310.4737540663652</v>
      </c>
      <c r="R1039" s="163">
        <f t="shared" si="213"/>
        <v>1418.4243833398423</v>
      </c>
      <c r="S1039" s="163">
        <f t="shared" si="213"/>
        <v>1519.6357578420202</v>
      </c>
      <c r="T1039" s="126" t="s">
        <v>48</v>
      </c>
      <c r="U1039" s="149"/>
    </row>
    <row r="1040" spans="2:21" outlineLevel="1">
      <c r="D1040" s="334" t="s">
        <v>402</v>
      </c>
      <c r="I1040" s="150">
        <f>'Model '!G107+'Model '!G116</f>
        <v>3329.5</v>
      </c>
      <c r="J1040" s="150">
        <f>'Model '!H107+'Model '!H116</f>
        <v>4107.3999999999996</v>
      </c>
      <c r="K1040" s="347">
        <f>'Model '!I107+'Model '!I116</f>
        <v>5400.6</v>
      </c>
      <c r="L1040" s="192">
        <f>SUM(L1036:L1037,L1039)</f>
        <v>4858.2547118634038</v>
      </c>
      <c r="M1040" s="192">
        <f t="shared" ref="M1040:S1040" si="214">SUM(M1036:M1037,M1039)</f>
        <v>4775.5612679813667</v>
      </c>
      <c r="N1040" s="192">
        <f t="shared" si="214"/>
        <v>4982.1239756061768</v>
      </c>
      <c r="O1040" s="192">
        <f t="shared" si="214"/>
        <v>4821.1075552581578</v>
      </c>
      <c r="P1040" s="192">
        <f t="shared" si="214"/>
        <v>4297.06128951555</v>
      </c>
      <c r="Q1040" s="192">
        <f t="shared" si="214"/>
        <v>4073.7810678345841</v>
      </c>
      <c r="R1040" s="192">
        <f t="shared" si="214"/>
        <v>4038.1470870639341</v>
      </c>
      <c r="S1040" s="192">
        <f t="shared" si="214"/>
        <v>4116.4433498076496</v>
      </c>
      <c r="T1040" s="126" t="s">
        <v>48</v>
      </c>
    </row>
    <row r="1041" spans="2:20" outlineLevel="1">
      <c r="D1041" s="334"/>
      <c r="I1041" s="150"/>
      <c r="J1041" s="150"/>
      <c r="K1041" s="347"/>
      <c r="L1041" s="192"/>
      <c r="M1041" s="192"/>
      <c r="N1041" s="192"/>
      <c r="O1041" s="192"/>
      <c r="P1041" s="192"/>
      <c r="Q1041" s="192"/>
      <c r="R1041" s="192"/>
      <c r="S1041" s="192"/>
      <c r="T1041" s="126" t="s">
        <v>48</v>
      </c>
    </row>
    <row r="1042" spans="2:20" outlineLevel="1">
      <c r="D1042" s="334" t="s">
        <v>403</v>
      </c>
      <c r="I1042" s="150">
        <f>'Model '!G107</f>
        <v>449.7</v>
      </c>
      <c r="J1042" s="150">
        <f>'Model '!H107</f>
        <v>542.20000000000005</v>
      </c>
      <c r="K1042" s="347">
        <f>'Model '!I107</f>
        <v>649.79999999999995</v>
      </c>
      <c r="L1042" s="192">
        <f>L1043*L1040</f>
        <v>584.54503421265031</v>
      </c>
      <c r="M1042" s="192">
        <f t="shared" ref="M1042:S1042" si="215">M1043*M1040</f>
        <v>574.59536198464832</v>
      </c>
      <c r="N1042" s="192">
        <f t="shared" si="215"/>
        <v>599.44897962242953</v>
      </c>
      <c r="O1042" s="192">
        <f t="shared" si="215"/>
        <v>580.07548965054821</v>
      </c>
      <c r="P1042" s="192">
        <f t="shared" si="215"/>
        <v>517.02226158708368</v>
      </c>
      <c r="Q1042" s="192">
        <f t="shared" si="215"/>
        <v>490.15719325240013</v>
      </c>
      <c r="R1042" s="192">
        <f t="shared" si="215"/>
        <v>485.86971395292079</v>
      </c>
      <c r="S1042" s="192">
        <f t="shared" si="215"/>
        <v>495.29031750268678</v>
      </c>
      <c r="T1042" s="126" t="s">
        <v>48</v>
      </c>
    </row>
    <row r="1043" spans="2:20" outlineLevel="1">
      <c r="D1043" s="336" t="s">
        <v>292</v>
      </c>
      <c r="I1043" s="362">
        <f>I1042/I1040</f>
        <v>0.13506532512389247</v>
      </c>
      <c r="J1043" s="362">
        <f>J1042/J1040</f>
        <v>0.13200564834201686</v>
      </c>
      <c r="K1043" s="317">
        <f>K1042/K1040</f>
        <v>0.1203199644483946</v>
      </c>
      <c r="L1043" s="362">
        <f>K1043</f>
        <v>0.1203199644483946</v>
      </c>
      <c r="M1043" s="362">
        <f>L1043</f>
        <v>0.1203199644483946</v>
      </c>
      <c r="N1043" s="362">
        <f t="shared" ref="N1043:S1043" si="216">M1043</f>
        <v>0.1203199644483946</v>
      </c>
      <c r="O1043" s="362">
        <f t="shared" si="216"/>
        <v>0.1203199644483946</v>
      </c>
      <c r="P1043" s="362">
        <f t="shared" si="216"/>
        <v>0.1203199644483946</v>
      </c>
      <c r="Q1043" s="362">
        <f t="shared" si="216"/>
        <v>0.1203199644483946</v>
      </c>
      <c r="R1043" s="362">
        <f t="shared" si="216"/>
        <v>0.1203199644483946</v>
      </c>
      <c r="S1043" s="362">
        <f t="shared" si="216"/>
        <v>0.1203199644483946</v>
      </c>
      <c r="T1043" s="126" t="s">
        <v>48</v>
      </c>
    </row>
    <row r="1044" spans="2:20" outlineLevel="1">
      <c r="D1044" s="334" t="s">
        <v>404</v>
      </c>
      <c r="I1044" s="150">
        <f>'Model '!G116</f>
        <v>2879.8</v>
      </c>
      <c r="J1044" s="150">
        <f>'Model '!H116</f>
        <v>3565.2</v>
      </c>
      <c r="K1044" s="347">
        <f>'Model '!I116</f>
        <v>4750.8</v>
      </c>
      <c r="L1044" s="192">
        <f>L1045*L1040</f>
        <v>4273.7096776507533</v>
      </c>
      <c r="M1044" s="192">
        <f t="shared" ref="M1044:S1044" si="217">M1045*M1040</f>
        <v>4200.965905996718</v>
      </c>
      <c r="N1044" s="192">
        <f t="shared" si="217"/>
        <v>4382.6749959837471</v>
      </c>
      <c r="O1044" s="192">
        <f t="shared" si="217"/>
        <v>4241.0320656076092</v>
      </c>
      <c r="P1044" s="192">
        <f t="shared" si="217"/>
        <v>3780.0390279284661</v>
      </c>
      <c r="Q1044" s="192">
        <f t="shared" si="217"/>
        <v>3583.6238745821838</v>
      </c>
      <c r="R1044" s="192">
        <f t="shared" si="217"/>
        <v>3552.2773731110133</v>
      </c>
      <c r="S1044" s="192">
        <f t="shared" si="217"/>
        <v>3621.1530323049624</v>
      </c>
      <c r="T1044" s="126" t="s">
        <v>48</v>
      </c>
    </row>
    <row r="1045" spans="2:20" outlineLevel="1">
      <c r="D1045" s="336" t="s">
        <v>292</v>
      </c>
      <c r="I1045" s="362">
        <f>I1044/I1040</f>
        <v>0.86493467487610753</v>
      </c>
      <c r="J1045" s="362">
        <f>J1044/J1040</f>
        <v>0.86799435165798322</v>
      </c>
      <c r="K1045" s="317">
        <f>K1044/K1040</f>
        <v>0.87968003555160534</v>
      </c>
      <c r="L1045" s="362">
        <f>K1045</f>
        <v>0.87968003555160534</v>
      </c>
      <c r="M1045" s="362">
        <f>L1045</f>
        <v>0.87968003555160534</v>
      </c>
      <c r="N1045" s="362">
        <f t="shared" ref="N1045:S1045" si="218">M1045</f>
        <v>0.87968003555160534</v>
      </c>
      <c r="O1045" s="362">
        <f t="shared" si="218"/>
        <v>0.87968003555160534</v>
      </c>
      <c r="P1045" s="362">
        <f t="shared" si="218"/>
        <v>0.87968003555160534</v>
      </c>
      <c r="Q1045" s="362">
        <f t="shared" si="218"/>
        <v>0.87968003555160534</v>
      </c>
      <c r="R1045" s="362">
        <f t="shared" si="218"/>
        <v>0.87968003555160534</v>
      </c>
      <c r="S1045" s="362">
        <f t="shared" si="218"/>
        <v>0.87968003555160534</v>
      </c>
      <c r="T1045" s="126" t="s">
        <v>48</v>
      </c>
    </row>
    <row r="1046" spans="2:20" outlineLevel="1">
      <c r="D1046" s="336"/>
      <c r="K1046" s="207"/>
      <c r="T1046" s="126" t="s">
        <v>48</v>
      </c>
    </row>
    <row r="1047" spans="2:20" outlineLevel="1">
      <c r="D1047" s="326" t="s">
        <v>405</v>
      </c>
      <c r="I1047" s="137"/>
      <c r="J1047" s="152">
        <f>'Model '!H58</f>
        <v>-342.6</v>
      </c>
      <c r="K1047" s="307">
        <f>'Model '!I58</f>
        <v>-428.1</v>
      </c>
      <c r="L1047" s="163">
        <f t="shared" ref="L1047:S1047" si="219">-L1036*L1048</f>
        <v>-772.56601700067984</v>
      </c>
      <c r="M1047" s="163">
        <f t="shared" si="219"/>
        <v>-652.99662623905772</v>
      </c>
      <c r="N1047" s="163">
        <f t="shared" si="219"/>
        <v>-560.06690902840705</v>
      </c>
      <c r="O1047" s="163">
        <f t="shared" si="219"/>
        <v>-518.39054588964996</v>
      </c>
      <c r="P1047" s="163">
        <f t="shared" si="219"/>
        <v>-501.63676969899404</v>
      </c>
      <c r="Q1047" s="163">
        <f t="shared" si="219"/>
        <v>-447.10969829333118</v>
      </c>
      <c r="R1047" s="163">
        <f t="shared" si="219"/>
        <v>-423.87736674753194</v>
      </c>
      <c r="S1047" s="163">
        <f t="shared" si="219"/>
        <v>-420.16964714152374</v>
      </c>
      <c r="T1047" s="126" t="s">
        <v>48</v>
      </c>
    </row>
    <row r="1048" spans="2:20" outlineLevel="1">
      <c r="D1048" s="326" t="s">
        <v>295</v>
      </c>
      <c r="I1048" s="137"/>
      <c r="J1048" s="394">
        <f>-J1047/J1036</f>
        <v>0.10289833308304551</v>
      </c>
      <c r="K1048" s="340">
        <f>-K1047/K1036</f>
        <v>0.10422651799191704</v>
      </c>
      <c r="L1048" s="339">
        <f>(1+L1049)*(1+$F$1049)-1</f>
        <v>0.14305188627202159</v>
      </c>
      <c r="M1048" s="339">
        <f t="shared" ref="M1048:S1048" si="220">(1+M1049)*(1+$F$1049)-1</f>
        <v>0.13440971397495916</v>
      </c>
      <c r="N1048" s="339">
        <f t="shared" si="220"/>
        <v>0.1172777140947765</v>
      </c>
      <c r="O1048" s="339">
        <f t="shared" si="220"/>
        <v>0.10405010963754213</v>
      </c>
      <c r="P1048" s="339">
        <f t="shared" si="220"/>
        <v>0.10405010963754213</v>
      </c>
      <c r="Q1048" s="339">
        <f t="shared" si="220"/>
        <v>0.10405010963754213</v>
      </c>
      <c r="R1048" s="339">
        <f t="shared" si="220"/>
        <v>0.10405010963754213</v>
      </c>
      <c r="S1048" s="339">
        <f t="shared" si="220"/>
        <v>0.10405010963754213</v>
      </c>
      <c r="T1048" s="126" t="s">
        <v>48</v>
      </c>
    </row>
    <row r="1049" spans="2:20" outlineLevel="1">
      <c r="D1049" s="326" t="s">
        <v>296</v>
      </c>
      <c r="F1049" s="337">
        <v>0</v>
      </c>
      <c r="I1049" s="362">
        <f t="shared" ref="I1049:S1049" si="221">I16</f>
        <v>0.1242156862134729</v>
      </c>
      <c r="J1049" s="362">
        <f t="shared" si="221"/>
        <v>0.13198299273696934</v>
      </c>
      <c r="K1049" s="317">
        <f t="shared" si="221"/>
        <v>0.10838193185851752</v>
      </c>
      <c r="L1049" s="316">
        <f t="shared" si="221"/>
        <v>0.14305188627202159</v>
      </c>
      <c r="M1049" s="316">
        <f t="shared" si="221"/>
        <v>0.13440971397495916</v>
      </c>
      <c r="N1049" s="316">
        <f t="shared" si="221"/>
        <v>0.1172777140947765</v>
      </c>
      <c r="O1049" s="316">
        <f t="shared" si="221"/>
        <v>0.10405010963754213</v>
      </c>
      <c r="P1049" s="316">
        <f t="shared" si="221"/>
        <v>0.10405010963754213</v>
      </c>
      <c r="Q1049" s="316">
        <f t="shared" si="221"/>
        <v>0.10405010963754213</v>
      </c>
      <c r="R1049" s="316">
        <f t="shared" si="221"/>
        <v>0.10405010963754213</v>
      </c>
      <c r="S1049" s="316">
        <f t="shared" si="221"/>
        <v>0.10405010963754213</v>
      </c>
      <c r="T1049" s="126" t="s">
        <v>48</v>
      </c>
    </row>
    <row r="1050" spans="2:20">
      <c r="D1050" s="326"/>
      <c r="K1050" s="207"/>
      <c r="T1050" s="126" t="s">
        <v>48</v>
      </c>
    </row>
    <row r="1051" spans="2:20">
      <c r="B1051" s="348">
        <v>7.3</v>
      </c>
      <c r="C1051" s="348"/>
      <c r="D1051" s="349" t="s">
        <v>22</v>
      </c>
      <c r="E1051" s="350"/>
      <c r="F1051" s="351"/>
      <c r="G1051" s="351"/>
      <c r="H1051" s="351"/>
      <c r="I1051" s="124"/>
      <c r="J1051" s="124"/>
      <c r="K1051" s="124"/>
      <c r="L1051" s="590"/>
      <c r="M1051" s="590"/>
      <c r="N1051" s="590"/>
      <c r="O1051" s="590"/>
      <c r="P1051" s="590"/>
      <c r="Q1051" s="590"/>
      <c r="R1051" s="590"/>
      <c r="S1051" s="590"/>
      <c r="T1051" s="126" t="s">
        <v>48</v>
      </c>
    </row>
    <row r="1052" spans="2:20" outlineLevel="1">
      <c r="D1052" s="326"/>
      <c r="K1052" s="207"/>
      <c r="T1052" s="126" t="s">
        <v>48</v>
      </c>
    </row>
    <row r="1053" spans="2:20" outlineLevel="1">
      <c r="D1053" s="326" t="s">
        <v>406</v>
      </c>
      <c r="K1053" s="207"/>
      <c r="L1053" s="163">
        <f>'Model '!I87</f>
        <v>1490.6</v>
      </c>
      <c r="M1053" s="163">
        <f>'Model '!N87</f>
        <v>-252.66528978550377</v>
      </c>
      <c r="N1053" s="163">
        <f ca="1">'Model '!O87</f>
        <v>-1858.6252574698096</v>
      </c>
      <c r="O1053" s="163">
        <f ca="1">'Model '!P87</f>
        <v>-2530.4132486955659</v>
      </c>
      <c r="P1053" s="163">
        <f ca="1">'Model '!Q87</f>
        <v>-2746.2681748182094</v>
      </c>
      <c r="Q1053" s="163">
        <f ca="1">'Model '!R87</f>
        <v>-2353.3088814246275</v>
      </c>
      <c r="R1053" s="163">
        <f ca="1">'Model '!S87</f>
        <v>-1219.2722355533519</v>
      </c>
      <c r="S1053" s="163">
        <f ca="1">'Model '!T87</f>
        <v>536.39401116981412</v>
      </c>
      <c r="T1053" s="126" t="s">
        <v>48</v>
      </c>
    </row>
    <row r="1054" spans="2:20" outlineLevel="1">
      <c r="D1054" s="326" t="s">
        <v>407</v>
      </c>
      <c r="K1054" s="207"/>
      <c r="L1054" s="163">
        <f>'Model '!N166</f>
        <v>-2337.587517863522</v>
      </c>
      <c r="M1054" s="163">
        <f ca="1">'Model '!O166</f>
        <v>-1093.7602833191063</v>
      </c>
      <c r="N1054" s="163">
        <f ca="1">'Model '!P166</f>
        <v>-176.3243761994072</v>
      </c>
      <c r="O1054" s="163">
        <f ca="1">'Model '!Q166</f>
        <v>586.25505146783689</v>
      </c>
      <c r="P1054" s="163">
        <f ca="1">'Model '!R166</f>
        <v>1446.2244083309479</v>
      </c>
      <c r="Q1054" s="163">
        <f ca="1">'Model '!S166</f>
        <v>2458.2416156717659</v>
      </c>
      <c r="R1054" s="163">
        <f ca="1">'Model '!T166</f>
        <v>3320.1293914424064</v>
      </c>
      <c r="S1054" s="163">
        <f ca="1">'Model '!U166</f>
        <v>4078.4264481850387</v>
      </c>
      <c r="T1054" s="126" t="s">
        <v>48</v>
      </c>
    </row>
    <row r="1055" spans="2:20" outlineLevel="1">
      <c r="D1055" s="326" t="s">
        <v>408</v>
      </c>
      <c r="K1055" s="207"/>
      <c r="L1055" s="163">
        <f>'Model '!N181</f>
        <v>0</v>
      </c>
      <c r="M1055" s="163">
        <f>'Model '!O181</f>
        <v>0</v>
      </c>
      <c r="N1055" s="163">
        <f>'Model '!P181</f>
        <v>0</v>
      </c>
      <c r="O1055" s="163">
        <f>'Model '!Q181</f>
        <v>0</v>
      </c>
      <c r="P1055" s="163">
        <f>'Model '!R181</f>
        <v>0</v>
      </c>
      <c r="Q1055" s="163">
        <f>'Model '!S181</f>
        <v>0</v>
      </c>
      <c r="R1055" s="163">
        <f>'Model '!T181</f>
        <v>0</v>
      </c>
      <c r="S1055" s="163">
        <f>'Model '!U181</f>
        <v>0</v>
      </c>
      <c r="T1055" s="126" t="s">
        <v>48</v>
      </c>
    </row>
    <row r="1056" spans="2:20" outlineLevel="1">
      <c r="D1056" s="326" t="s">
        <v>409</v>
      </c>
      <c r="K1056" s="207"/>
      <c r="L1056" s="163">
        <f>'Build-Up'!L1037+'Build-Up'!L400</f>
        <v>-1927.641046598822</v>
      </c>
      <c r="M1056" s="163">
        <f>'Build-Up'!M1037+'Build-Up'!M400</f>
        <v>-1734.0612519757119</v>
      </c>
      <c r="N1056" s="163">
        <f>'Build-Up'!N1037+'Build-Up'!N400</f>
        <v>-1704.5454061971629</v>
      </c>
      <c r="O1056" s="163">
        <f>'Build-Up'!O1037+'Build-Up'!O400</f>
        <v>-3381.2740204093202</v>
      </c>
      <c r="P1056" s="163">
        <f>'Build-Up'!P1037+'Build-Up'!P400</f>
        <v>-3323.8022837431627</v>
      </c>
      <c r="Q1056" s="163">
        <f>'Build-Up'!Q1037+'Build-Up'!Q400</f>
        <v>-1533.7539757473314</v>
      </c>
      <c r="R1056" s="163">
        <f>'Build-Up'!R1037+'Build-Up'!R400</f>
        <v>-1454.0583641104922</v>
      </c>
      <c r="S1056" s="163">
        <f>'Build-Up'!S1037+'Build-Up'!S400</f>
        <v>-1441.339495098305</v>
      </c>
      <c r="T1056" s="126" t="s">
        <v>48</v>
      </c>
    </row>
    <row r="1057" spans="4:20" outlineLevel="1">
      <c r="D1057" s="326" t="s">
        <v>410</v>
      </c>
      <c r="K1057" s="207"/>
      <c r="L1057" s="163">
        <f>'Model '!N169</f>
        <v>-718.78282689689104</v>
      </c>
      <c r="M1057" s="163">
        <f ca="1">'Model '!O169</f>
        <v>-818.2040578111297</v>
      </c>
      <c r="N1057" s="163">
        <f ca="1">'Model '!P169</f>
        <v>-956.95405311140564</v>
      </c>
      <c r="O1057" s="163">
        <f ca="1">'Model '!Q169</f>
        <v>-1088.2789118314665</v>
      </c>
      <c r="P1057" s="163">
        <f ca="1">'Model '!R169</f>
        <v>-1215.24765434507</v>
      </c>
      <c r="Q1057" s="163">
        <f ca="1">'Model '!S169</f>
        <v>-1336.963031748953</v>
      </c>
      <c r="R1057" s="163">
        <f ca="1">'Model '!T169</f>
        <v>-1452.4554631109013</v>
      </c>
      <c r="S1057" s="163">
        <f ca="1">'Model '!U169</f>
        <v>-1560.6785491252053</v>
      </c>
      <c r="T1057" s="126" t="s">
        <v>48</v>
      </c>
    </row>
    <row r="1058" spans="4:20" outlineLevel="1">
      <c r="D1058" s="326" t="s">
        <v>411</v>
      </c>
      <c r="K1058" s="207"/>
      <c r="L1058" s="163">
        <f>L1066</f>
        <v>0</v>
      </c>
      <c r="M1058" s="163">
        <f t="shared" ref="M1058:S1058" si="222">M1066</f>
        <v>3354.8818155130125</v>
      </c>
      <c r="N1058" s="163">
        <f t="shared" ca="1" si="222"/>
        <v>378.67228656907162</v>
      </c>
      <c r="O1058" s="163">
        <f t="shared" ca="1" si="222"/>
        <v>4126.6659950265157</v>
      </c>
      <c r="P1058" s="163">
        <f t="shared" ca="1" si="222"/>
        <v>2071.4107877671604</v>
      </c>
      <c r="Q1058" s="163">
        <f t="shared" ca="1" si="222"/>
        <v>3528.3317132082234</v>
      </c>
      <c r="R1058" s="163">
        <f t="shared" ca="1" si="222"/>
        <v>0</v>
      </c>
      <c r="S1058" s="163">
        <f t="shared" ca="1" si="222"/>
        <v>521.97179466437069</v>
      </c>
      <c r="T1058" s="126" t="s">
        <v>48</v>
      </c>
    </row>
    <row r="1059" spans="4:20" outlineLevel="1">
      <c r="D1059" s="334" t="s">
        <v>412</v>
      </c>
      <c r="K1059" s="207"/>
      <c r="L1059" s="192">
        <f>SUM(L1053:L1058)</f>
        <v>-3493.411391359235</v>
      </c>
      <c r="M1059" s="192">
        <f t="shared" ref="M1059:S1059" ca="1" si="223">SUM(M1053:M1058)</f>
        <v>-543.80906737843907</v>
      </c>
      <c r="N1059" s="192">
        <f t="shared" ca="1" si="223"/>
        <v>-4317.7768064087131</v>
      </c>
      <c r="O1059" s="192">
        <f t="shared" ca="1" si="223"/>
        <v>-2287.0451344420007</v>
      </c>
      <c r="P1059" s="192">
        <f t="shared" ca="1" si="223"/>
        <v>-3767.6829168083341</v>
      </c>
      <c r="Q1059" s="192">
        <f t="shared" ca="1" si="223"/>
        <v>762.54743995907711</v>
      </c>
      <c r="R1059" s="192">
        <f t="shared" ca="1" si="223"/>
        <v>-805.6566713323391</v>
      </c>
      <c r="S1059" s="192">
        <f t="shared" ca="1" si="223"/>
        <v>2134.7742097957134</v>
      </c>
      <c r="T1059" s="126" t="s">
        <v>48</v>
      </c>
    </row>
    <row r="1060" spans="4:20" outlineLevel="1">
      <c r="D1060" s="326"/>
      <c r="K1060" s="207"/>
      <c r="T1060" s="126" t="s">
        <v>48</v>
      </c>
    </row>
    <row r="1061" spans="4:20" outlineLevel="1">
      <c r="D1061" s="326" t="s">
        <v>413</v>
      </c>
      <c r="K1061" s="207"/>
      <c r="L1061" s="163">
        <f t="shared" ref="L1061:S1061" si="224">L1062*L21</f>
        <v>138.52957584622251</v>
      </c>
      <c r="M1061" s="163">
        <f t="shared" si="224"/>
        <v>165.13678080936748</v>
      </c>
      <c r="N1061" s="163">
        <f t="shared" si="224"/>
        <v>191.11081138219737</v>
      </c>
      <c r="O1061" s="163">
        <f t="shared" si="224"/>
        <v>215.63434667484017</v>
      </c>
      <c r="P1061" s="163">
        <f t="shared" si="224"/>
        <v>239.35120360011089</v>
      </c>
      <c r="Q1061" s="163">
        <f t="shared" si="224"/>
        <v>262.09475081327298</v>
      </c>
      <c r="R1061" s="163">
        <f t="shared" si="224"/>
        <v>283.68487666796841</v>
      </c>
      <c r="S1061" s="163">
        <f t="shared" si="224"/>
        <v>303.92715156840399</v>
      </c>
      <c r="T1061" s="126" t="s">
        <v>48</v>
      </c>
    </row>
    <row r="1062" spans="4:20" outlineLevel="1">
      <c r="D1062" s="336" t="s">
        <v>414</v>
      </c>
      <c r="F1062" s="337">
        <v>0.02</v>
      </c>
      <c r="K1062" s="207"/>
      <c r="L1062" s="339">
        <f>$F$1062</f>
        <v>0.02</v>
      </c>
      <c r="M1062" s="339">
        <f t="shared" ref="M1062:S1062" si="225">$F$1062</f>
        <v>0.02</v>
      </c>
      <c r="N1062" s="339">
        <f t="shared" si="225"/>
        <v>0.02</v>
      </c>
      <c r="O1062" s="339">
        <f t="shared" si="225"/>
        <v>0.02</v>
      </c>
      <c r="P1062" s="339">
        <f t="shared" si="225"/>
        <v>0.02</v>
      </c>
      <c r="Q1062" s="339">
        <f t="shared" si="225"/>
        <v>0.02</v>
      </c>
      <c r="R1062" s="339">
        <f t="shared" si="225"/>
        <v>0.02</v>
      </c>
      <c r="S1062" s="339">
        <f t="shared" si="225"/>
        <v>0.02</v>
      </c>
      <c r="T1062" s="126" t="s">
        <v>48</v>
      </c>
    </row>
    <row r="1063" spans="4:20" outlineLevel="1">
      <c r="D1063" s="334" t="s">
        <v>415</v>
      </c>
      <c r="K1063" s="207"/>
      <c r="L1063" s="192">
        <f>L1061+L1059</f>
        <v>-3354.8818155130125</v>
      </c>
      <c r="M1063" s="192">
        <f t="shared" ref="M1063:S1063" ca="1" si="226">M1061+M1059</f>
        <v>-378.67228656907162</v>
      </c>
      <c r="N1063" s="192">
        <f t="shared" ca="1" si="226"/>
        <v>-4126.6659950265157</v>
      </c>
      <c r="O1063" s="192">
        <f t="shared" ca="1" si="226"/>
        <v>-2071.4107877671604</v>
      </c>
      <c r="P1063" s="192">
        <f t="shared" ca="1" si="226"/>
        <v>-3528.3317132082234</v>
      </c>
      <c r="Q1063" s="192">
        <f t="shared" ca="1" si="226"/>
        <v>1024.6421907723502</v>
      </c>
      <c r="R1063" s="192">
        <f t="shared" ca="1" si="226"/>
        <v>-521.97179466437069</v>
      </c>
      <c r="S1063" s="192">
        <f t="shared" ca="1" si="226"/>
        <v>2438.7013613641175</v>
      </c>
      <c r="T1063" s="126" t="s">
        <v>48</v>
      </c>
    </row>
    <row r="1064" spans="4:20" outlineLevel="1">
      <c r="D1064" s="326"/>
      <c r="K1064" s="207"/>
      <c r="T1064" s="126" t="s">
        <v>48</v>
      </c>
    </row>
    <row r="1065" spans="4:20" outlineLevel="1">
      <c r="D1065" s="326" t="s">
        <v>416</v>
      </c>
      <c r="F1065" s="517">
        <v>1</v>
      </c>
      <c r="K1065" s="207"/>
      <c r="L1065" s="163">
        <f>K1068</f>
        <v>0</v>
      </c>
      <c r="M1065" s="163">
        <f t="shared" ref="M1065:S1065" si="227">L1068</f>
        <v>3354.8818155130125</v>
      </c>
      <c r="N1065" s="163">
        <f t="shared" ca="1" si="227"/>
        <v>7088.4359175950967</v>
      </c>
      <c r="O1065" s="163">
        <f t="shared" ca="1" si="227"/>
        <v>11593.774199190684</v>
      </c>
      <c r="P1065" s="163">
        <f t="shared" ca="1" si="227"/>
        <v>17791.85098198436</v>
      </c>
      <c r="Q1065" s="163">
        <f t="shared" ca="1" si="227"/>
        <v>23391.593482959743</v>
      </c>
      <c r="R1065" s="163">
        <f t="shared" ca="1" si="227"/>
        <v>26919.925196167966</v>
      </c>
      <c r="S1065" s="163">
        <f t="shared" ca="1" si="227"/>
        <v>27441.896990832338</v>
      </c>
      <c r="T1065" s="126" t="s">
        <v>48</v>
      </c>
    </row>
    <row r="1066" spans="4:20" outlineLevel="1">
      <c r="D1066" s="326" t="s">
        <v>286</v>
      </c>
      <c r="K1066" s="207"/>
      <c r="L1066" s="163">
        <f>K1067</f>
        <v>0</v>
      </c>
      <c r="M1066" s="163">
        <f t="shared" ref="M1066:S1066" si="228">L1067</f>
        <v>3354.8818155130125</v>
      </c>
      <c r="N1066" s="163">
        <f t="shared" ca="1" si="228"/>
        <v>378.67228656907162</v>
      </c>
      <c r="O1066" s="163">
        <f t="shared" ca="1" si="228"/>
        <v>4126.6659950265157</v>
      </c>
      <c r="P1066" s="163">
        <f t="shared" ca="1" si="228"/>
        <v>2071.4107877671604</v>
      </c>
      <c r="Q1066" s="163">
        <f t="shared" ca="1" si="228"/>
        <v>3528.3317132082234</v>
      </c>
      <c r="R1066" s="163">
        <f t="shared" ca="1" si="228"/>
        <v>0</v>
      </c>
      <c r="S1066" s="163">
        <f t="shared" ca="1" si="228"/>
        <v>521.97179466437069</v>
      </c>
      <c r="T1066" s="126" t="s">
        <v>48</v>
      </c>
    </row>
    <row r="1067" spans="4:20" outlineLevel="1">
      <c r="D1067" s="326" t="s">
        <v>417</v>
      </c>
      <c r="K1067" s="207"/>
      <c r="L1067" s="163">
        <f>$F$1065*-MIN(L1063,0)</f>
        <v>3354.8818155130125</v>
      </c>
      <c r="M1067" s="163">
        <f t="shared" ref="M1067:S1067" ca="1" si="229">$F$1065*-MIN(M1063,0)</f>
        <v>378.67228656907162</v>
      </c>
      <c r="N1067" s="163">
        <f t="shared" ca="1" si="229"/>
        <v>4126.6659950265157</v>
      </c>
      <c r="O1067" s="163">
        <f t="shared" ca="1" si="229"/>
        <v>2071.4107877671604</v>
      </c>
      <c r="P1067" s="163">
        <f t="shared" ca="1" si="229"/>
        <v>3528.3317132082234</v>
      </c>
      <c r="Q1067" s="163">
        <f t="shared" ca="1" si="229"/>
        <v>0</v>
      </c>
      <c r="R1067" s="163">
        <f t="shared" ca="1" si="229"/>
        <v>521.97179466437069</v>
      </c>
      <c r="S1067" s="163">
        <f t="shared" ca="1" si="229"/>
        <v>0</v>
      </c>
      <c r="T1067" s="126" t="s">
        <v>48</v>
      </c>
    </row>
    <row r="1068" spans="4:20" outlineLevel="1">
      <c r="D1068" s="326" t="s">
        <v>418</v>
      </c>
      <c r="K1068" s="207"/>
      <c r="L1068" s="163">
        <f>SUM(L1065:L1067)</f>
        <v>3354.8818155130125</v>
      </c>
      <c r="M1068" s="163">
        <f t="shared" ref="M1068:S1068" ca="1" si="230">SUM(M1065:M1067)</f>
        <v>7088.4359175950967</v>
      </c>
      <c r="N1068" s="163">
        <f t="shared" ca="1" si="230"/>
        <v>11593.774199190684</v>
      </c>
      <c r="O1068" s="163">
        <f t="shared" ca="1" si="230"/>
        <v>17791.85098198436</v>
      </c>
      <c r="P1068" s="163">
        <f t="shared" ca="1" si="230"/>
        <v>23391.593482959743</v>
      </c>
      <c r="Q1068" s="163">
        <f t="shared" ca="1" si="230"/>
        <v>26919.925196167966</v>
      </c>
      <c r="R1068" s="163">
        <f t="shared" ca="1" si="230"/>
        <v>27441.896990832338</v>
      </c>
      <c r="S1068" s="163">
        <f t="shared" ca="1" si="230"/>
        <v>27963.86878549671</v>
      </c>
      <c r="T1068" s="126" t="s">
        <v>48</v>
      </c>
    </row>
    <row r="1069" spans="4:20" outlineLevel="1">
      <c r="D1069" s="326"/>
      <c r="K1069" s="207"/>
      <c r="T1069" s="126" t="s">
        <v>48</v>
      </c>
    </row>
    <row r="1070" spans="4:20" outlineLevel="1">
      <c r="D1070" s="326" t="s">
        <v>419</v>
      </c>
      <c r="K1070" s="207"/>
      <c r="L1070" s="163">
        <f>-L1071*L1065</f>
        <v>0</v>
      </c>
      <c r="M1070" s="163">
        <f t="shared" ref="M1070:S1070" si="231">-M1071*M1065</f>
        <v>-534.80075063072104</v>
      </c>
      <c r="N1070" s="163">
        <f t="shared" ca="1" si="231"/>
        <v>-1008.5264588627398</v>
      </c>
      <c r="O1070" s="163">
        <f t="shared" ca="1" si="231"/>
        <v>-1496.1778315184649</v>
      </c>
      <c r="P1070" s="163">
        <f t="shared" ca="1" si="231"/>
        <v>-2296.0403198798931</v>
      </c>
      <c r="Q1070" s="163">
        <f t="shared" ca="1" si="231"/>
        <v>-3018.6877035727707</v>
      </c>
      <c r="R1070" s="163">
        <f t="shared" ca="1" si="231"/>
        <v>-3474.0192979999088</v>
      </c>
      <c r="S1070" s="163">
        <f t="shared" ca="1" si="231"/>
        <v>-3541.3798153290504</v>
      </c>
      <c r="T1070" s="126" t="s">
        <v>48</v>
      </c>
    </row>
    <row r="1071" spans="4:20" outlineLevel="1">
      <c r="D1071" s="326" t="s">
        <v>420</v>
      </c>
      <c r="K1071" s="207"/>
      <c r="L1071" s="339">
        <f>L1072+$F$1072</f>
        <v>0.16805188627202158</v>
      </c>
      <c r="M1071" s="339">
        <f t="shared" ref="M1071:S1071" si="232">M1072+$F$1072</f>
        <v>0.15940971397495915</v>
      </c>
      <c r="N1071" s="339">
        <f t="shared" si="232"/>
        <v>0.14227771409477649</v>
      </c>
      <c r="O1071" s="339">
        <f t="shared" si="232"/>
        <v>0.12905010963754213</v>
      </c>
      <c r="P1071" s="339">
        <f t="shared" si="232"/>
        <v>0.12905010963754213</v>
      </c>
      <c r="Q1071" s="339">
        <f t="shared" si="232"/>
        <v>0.12905010963754213</v>
      </c>
      <c r="R1071" s="339">
        <f t="shared" si="232"/>
        <v>0.12905010963754213</v>
      </c>
      <c r="S1071" s="339">
        <f t="shared" si="232"/>
        <v>0.12905010963754213</v>
      </c>
      <c r="T1071" s="126" t="s">
        <v>48</v>
      </c>
    </row>
    <row r="1072" spans="4:20" outlineLevel="1">
      <c r="D1072" s="326" t="s">
        <v>175</v>
      </c>
      <c r="F1072" s="337">
        <v>2.5000000000000001E-2</v>
      </c>
      <c r="K1072" s="207"/>
      <c r="L1072" s="339">
        <f t="shared" ref="L1072:S1072" si="233">L16</f>
        <v>0.14305188627202159</v>
      </c>
      <c r="M1072" s="339">
        <f t="shared" si="233"/>
        <v>0.13440971397495916</v>
      </c>
      <c r="N1072" s="339">
        <f t="shared" si="233"/>
        <v>0.1172777140947765</v>
      </c>
      <c r="O1072" s="339">
        <f t="shared" si="233"/>
        <v>0.10405010963754213</v>
      </c>
      <c r="P1072" s="339">
        <f t="shared" si="233"/>
        <v>0.10405010963754213</v>
      </c>
      <c r="Q1072" s="339">
        <f t="shared" si="233"/>
        <v>0.10405010963754213</v>
      </c>
      <c r="R1072" s="339">
        <f t="shared" si="233"/>
        <v>0.10405010963754213</v>
      </c>
      <c r="S1072" s="339">
        <f t="shared" si="233"/>
        <v>0.10405010963754213</v>
      </c>
      <c r="T1072" s="126" t="s">
        <v>48</v>
      </c>
    </row>
    <row r="1073" spans="1:21">
      <c r="K1073" s="207"/>
      <c r="T1073" s="126" t="s">
        <v>48</v>
      </c>
    </row>
    <row r="1074" spans="1:21" ht="15.75">
      <c r="A1074" s="205" t="s">
        <v>56</v>
      </c>
      <c r="B1074" s="348">
        <v>8</v>
      </c>
      <c r="C1074" s="348"/>
      <c r="D1074" s="349" t="s">
        <v>421</v>
      </c>
      <c r="E1074" s="350"/>
      <c r="F1074" s="351"/>
      <c r="G1074" s="351"/>
      <c r="H1074" s="351"/>
      <c r="I1074" s="124"/>
      <c r="J1074" s="124"/>
      <c r="K1074" s="124"/>
      <c r="L1074" s="590"/>
      <c r="M1074" s="590"/>
      <c r="N1074" s="590"/>
      <c r="O1074" s="590"/>
      <c r="P1074" s="590"/>
      <c r="Q1074" s="590"/>
      <c r="R1074" s="590"/>
      <c r="S1074" s="590"/>
      <c r="T1074" s="126" t="s">
        <v>48</v>
      </c>
    </row>
    <row r="1075" spans="1:21" hidden="1" outlineLevel="1">
      <c r="D1075" s="326"/>
      <c r="K1075" s="207"/>
      <c r="T1075" s="126" t="s">
        <v>48</v>
      </c>
    </row>
    <row r="1076" spans="1:21" hidden="1" outlineLevel="1">
      <c r="D1076" s="326" t="s">
        <v>422</v>
      </c>
      <c r="K1076" s="207"/>
      <c r="T1076" s="126" t="s">
        <v>48</v>
      </c>
    </row>
    <row r="1077" spans="1:21" hidden="1" outlineLevel="1">
      <c r="D1077" s="326" t="s">
        <v>406</v>
      </c>
      <c r="K1077" s="207"/>
      <c r="T1077" s="126" t="s">
        <v>48</v>
      </c>
    </row>
    <row r="1078" spans="1:21" hidden="1" outlineLevel="1">
      <c r="D1078" s="326" t="s">
        <v>296</v>
      </c>
      <c r="K1078" s="207"/>
      <c r="T1078" s="126" t="s">
        <v>48</v>
      </c>
    </row>
    <row r="1079" spans="1:21" collapsed="1">
      <c r="K1079" s="207"/>
      <c r="T1079" s="126" t="s">
        <v>48</v>
      </c>
    </row>
    <row r="1080" spans="1:21" ht="15.75">
      <c r="A1080" s="205" t="s">
        <v>56</v>
      </c>
      <c r="B1080" s="348">
        <v>9</v>
      </c>
      <c r="C1080" s="348"/>
      <c r="D1080" s="349" t="s">
        <v>423</v>
      </c>
      <c r="E1080" s="350"/>
      <c r="F1080" s="351"/>
      <c r="G1080" s="351"/>
      <c r="H1080" s="351"/>
      <c r="I1080" s="124"/>
      <c r="J1080" s="124"/>
      <c r="K1080" s="124"/>
      <c r="L1080" s="590"/>
      <c r="M1080" s="590"/>
      <c r="N1080" s="590"/>
      <c r="O1080" s="590"/>
      <c r="P1080" s="590"/>
      <c r="Q1080" s="590"/>
      <c r="R1080" s="590"/>
      <c r="S1080" s="590"/>
      <c r="T1080" s="126" t="s">
        <v>48</v>
      </c>
    </row>
    <row r="1081" spans="1:21" outlineLevel="1">
      <c r="D1081" s="326"/>
      <c r="K1081" s="207"/>
      <c r="T1081" s="126" t="s">
        <v>48</v>
      </c>
    </row>
    <row r="1082" spans="1:21" outlineLevel="1">
      <c r="D1082" s="334" t="s">
        <v>424</v>
      </c>
      <c r="I1082" s="137"/>
      <c r="J1082" s="163">
        <f>I1086</f>
        <v>4208.1000000000004</v>
      </c>
      <c r="K1082" s="207">
        <f>J1086</f>
        <v>5095.6000000000004</v>
      </c>
      <c r="L1082" s="163">
        <f t="shared" ref="L1082:S1082" si="234">K1086</f>
        <v>5471.8</v>
      </c>
      <c r="M1082" s="163">
        <f t="shared" si="234"/>
        <v>5542.898736256273</v>
      </c>
      <c r="N1082" s="163">
        <f t="shared" ca="1" si="234"/>
        <v>5670.9228452093794</v>
      </c>
      <c r="O1082" s="163">
        <f t="shared" ca="1" si="234"/>
        <v>5840.9809289010782</v>
      </c>
      <c r="P1082" s="163">
        <f t="shared" ca="1" si="234"/>
        <v>6039.5947078108866</v>
      </c>
      <c r="Q1082" s="163">
        <f t="shared" ca="1" si="234"/>
        <v>6260.293865172147</v>
      </c>
      <c r="R1082" s="163">
        <f t="shared" ca="1" si="234"/>
        <v>6507.4921386855458</v>
      </c>
      <c r="S1082" s="163">
        <f t="shared" ca="1" si="234"/>
        <v>6773.0802634918182</v>
      </c>
      <c r="T1082" s="126" t="s">
        <v>48</v>
      </c>
    </row>
    <row r="1083" spans="1:21" outlineLevel="1">
      <c r="D1083" s="326" t="s">
        <v>425</v>
      </c>
      <c r="I1083" s="137"/>
      <c r="J1083" s="152">
        <f>'Model '!H67</f>
        <v>1044.2</v>
      </c>
      <c r="K1083" s="307">
        <f>'Model '!I67</f>
        <v>440.6</v>
      </c>
      <c r="L1083" s="152">
        <f>'Model '!N67</f>
        <v>355.49368128136427</v>
      </c>
      <c r="M1083" s="152">
        <f ca="1">'Model '!O67</f>
        <v>640.12054476553328</v>
      </c>
      <c r="N1083" s="152">
        <f ca="1">'Model '!P67</f>
        <v>850.29041845849588</v>
      </c>
      <c r="O1083" s="152">
        <f ca="1">'Model '!Q67</f>
        <v>993.06889454904331</v>
      </c>
      <c r="P1083" s="152">
        <f ca="1">'Model '!R67</f>
        <v>1103.4957868063002</v>
      </c>
      <c r="Q1083" s="152">
        <f ca="1">'Model '!S67</f>
        <v>1235.99136756699</v>
      </c>
      <c r="R1083" s="152">
        <f ca="1">'Model '!T67</f>
        <v>1327.9406240313626</v>
      </c>
      <c r="S1083" s="152">
        <f ca="1">'Model '!U67</f>
        <v>1388.3872018785555</v>
      </c>
      <c r="T1083" s="126" t="s">
        <v>48</v>
      </c>
    </row>
    <row r="1084" spans="1:21" outlineLevel="1">
      <c r="D1084" s="326" t="s">
        <v>426</v>
      </c>
      <c r="I1084" s="137"/>
      <c r="J1084" s="163">
        <f>J1086-SUM(J1082:J1083,J1085)</f>
        <v>-156.69999999999982</v>
      </c>
      <c r="K1084" s="207">
        <f>K1086-SUM(K1082:K1083,K1085)</f>
        <v>-64.400000000000546</v>
      </c>
      <c r="L1084" s="163">
        <f>L1088</f>
        <v>-284.39494502509143</v>
      </c>
      <c r="M1084" s="163">
        <f t="shared" ref="M1084:S1084" ca="1" si="235">M1088</f>
        <v>-512.09643581242665</v>
      </c>
      <c r="N1084" s="163">
        <f t="shared" ca="1" si="235"/>
        <v>-680.23233476679673</v>
      </c>
      <c r="O1084" s="163">
        <f t="shared" ca="1" si="235"/>
        <v>-794.45511563923469</v>
      </c>
      <c r="P1084" s="163">
        <f t="shared" ca="1" si="235"/>
        <v>-882.79662944504025</v>
      </c>
      <c r="Q1084" s="163">
        <f t="shared" ca="1" si="235"/>
        <v>-988.79309405359209</v>
      </c>
      <c r="R1084" s="163">
        <f t="shared" ca="1" si="235"/>
        <v>-1062.3524992250902</v>
      </c>
      <c r="S1084" s="163">
        <f t="shared" ca="1" si="235"/>
        <v>-1110.7097615028445</v>
      </c>
      <c r="T1084" s="126" t="s">
        <v>48</v>
      </c>
    </row>
    <row r="1085" spans="1:21" outlineLevel="1">
      <c r="D1085" s="326" t="s">
        <v>427</v>
      </c>
      <c r="I1085" s="137"/>
      <c r="J1085" s="137"/>
      <c r="K1085" s="343"/>
      <c r="L1085" s="170">
        <v>0</v>
      </c>
      <c r="M1085" s="155">
        <v>0</v>
      </c>
      <c r="N1085" s="155">
        <v>0</v>
      </c>
      <c r="O1085" s="155">
        <v>0</v>
      </c>
      <c r="P1085" s="155">
        <v>0</v>
      </c>
      <c r="Q1085" s="155">
        <v>0</v>
      </c>
      <c r="R1085" s="155">
        <v>0</v>
      </c>
      <c r="S1085" s="155">
        <v>0</v>
      </c>
      <c r="T1085" s="126" t="s">
        <v>48</v>
      </c>
    </row>
    <row r="1086" spans="1:21" outlineLevel="1">
      <c r="D1086" s="334" t="s">
        <v>428</v>
      </c>
      <c r="I1086" s="150">
        <f>'Model '!G119</f>
        <v>4208.1000000000004</v>
      </c>
      <c r="J1086" s="150">
        <f>'Model '!H119</f>
        <v>5095.6000000000004</v>
      </c>
      <c r="K1086" s="347">
        <f>'Model '!I119</f>
        <v>5471.8</v>
      </c>
      <c r="L1086" s="163">
        <f>SUM(L1082:L1085)</f>
        <v>5542.898736256273</v>
      </c>
      <c r="M1086" s="163">
        <f t="shared" ref="M1086:S1086" ca="1" si="236">SUM(M1082:M1085)</f>
        <v>5670.9228452093794</v>
      </c>
      <c r="N1086" s="163">
        <f t="shared" ca="1" si="236"/>
        <v>5840.9809289010782</v>
      </c>
      <c r="O1086" s="163">
        <f t="shared" ca="1" si="236"/>
        <v>6039.5947078108866</v>
      </c>
      <c r="P1086" s="163">
        <f t="shared" ca="1" si="236"/>
        <v>6260.293865172147</v>
      </c>
      <c r="Q1086" s="163">
        <f t="shared" ca="1" si="236"/>
        <v>6507.4921386855458</v>
      </c>
      <c r="R1086" s="163">
        <f t="shared" ca="1" si="236"/>
        <v>6773.0802634918182</v>
      </c>
      <c r="S1086" s="163">
        <f t="shared" ca="1" si="236"/>
        <v>7050.757703867529</v>
      </c>
      <c r="T1086" s="126" t="s">
        <v>48</v>
      </c>
    </row>
    <row r="1087" spans="1:21" outlineLevel="1">
      <c r="K1087" s="207"/>
      <c r="T1087" s="126" t="s">
        <v>48</v>
      </c>
    </row>
    <row r="1088" spans="1:21" outlineLevel="1">
      <c r="D1088" t="s">
        <v>429</v>
      </c>
      <c r="I1088" s="137"/>
      <c r="J1088" s="163">
        <f>J1084</f>
        <v>-156.69999999999982</v>
      </c>
      <c r="K1088" s="207">
        <f>K1084</f>
        <v>-64.400000000000546</v>
      </c>
      <c r="L1088" s="163">
        <f>IF(L1089&gt;0,L1089*L1090,0)</f>
        <v>-284.39494502509143</v>
      </c>
      <c r="M1088" s="163">
        <f t="shared" ref="M1088:S1088" ca="1" si="237">IF(M1089&gt;0,M1089*M1090,0)</f>
        <v>-512.09643581242665</v>
      </c>
      <c r="N1088" s="163">
        <f t="shared" ca="1" si="237"/>
        <v>-680.23233476679673</v>
      </c>
      <c r="O1088" s="163">
        <f t="shared" ca="1" si="237"/>
        <v>-794.45511563923469</v>
      </c>
      <c r="P1088" s="163">
        <f t="shared" ca="1" si="237"/>
        <v>-882.79662944504025</v>
      </c>
      <c r="Q1088" s="163">
        <f t="shared" ca="1" si="237"/>
        <v>-988.79309405359209</v>
      </c>
      <c r="R1088" s="163">
        <f t="shared" ca="1" si="237"/>
        <v>-1062.3524992250902</v>
      </c>
      <c r="S1088" s="163">
        <f t="shared" ca="1" si="237"/>
        <v>-1110.7097615028445</v>
      </c>
      <c r="T1088" s="126" t="s">
        <v>48</v>
      </c>
      <c r="U1088" t="s">
        <v>430</v>
      </c>
    </row>
    <row r="1089" spans="1:20" outlineLevel="1">
      <c r="D1089" t="s">
        <v>431</v>
      </c>
      <c r="I1089" s="137"/>
      <c r="J1089" s="163">
        <f t="shared" ref="J1089:S1089" si="238">J1083</f>
        <v>1044.2</v>
      </c>
      <c r="K1089" s="207">
        <f t="shared" si="238"/>
        <v>440.6</v>
      </c>
      <c r="L1089" s="163">
        <f t="shared" si="238"/>
        <v>355.49368128136427</v>
      </c>
      <c r="M1089" s="163">
        <f t="shared" ca="1" si="238"/>
        <v>640.12054476553328</v>
      </c>
      <c r="N1089" s="163">
        <f t="shared" ca="1" si="238"/>
        <v>850.29041845849588</v>
      </c>
      <c r="O1089" s="163">
        <f t="shared" ca="1" si="238"/>
        <v>993.06889454904331</v>
      </c>
      <c r="P1089" s="163">
        <f t="shared" ca="1" si="238"/>
        <v>1103.4957868063002</v>
      </c>
      <c r="Q1089" s="163">
        <f t="shared" ca="1" si="238"/>
        <v>1235.99136756699</v>
      </c>
      <c r="R1089" s="163">
        <f t="shared" ca="1" si="238"/>
        <v>1327.9406240313626</v>
      </c>
      <c r="S1089" s="163">
        <f t="shared" ca="1" si="238"/>
        <v>1388.3872018785555</v>
      </c>
      <c r="T1089" s="126" t="s">
        <v>48</v>
      </c>
    </row>
    <row r="1090" spans="1:20" outlineLevel="1">
      <c r="D1090" t="s">
        <v>432</v>
      </c>
      <c r="I1090" s="137"/>
      <c r="J1090" s="142">
        <f>J1088/J1089</f>
        <v>-0.15006703696609827</v>
      </c>
      <c r="K1090" s="395">
        <f>K1088/K1089</f>
        <v>-0.14616432137993768</v>
      </c>
      <c r="L1090" s="202">
        <v>-0.8</v>
      </c>
      <c r="M1090" s="396">
        <f>L1090</f>
        <v>-0.8</v>
      </c>
      <c r="N1090" s="396">
        <f t="shared" ref="N1090:S1090" si="239">M1090</f>
        <v>-0.8</v>
      </c>
      <c r="O1090" s="396">
        <f t="shared" si="239"/>
        <v>-0.8</v>
      </c>
      <c r="P1090" s="396">
        <f t="shared" si="239"/>
        <v>-0.8</v>
      </c>
      <c r="Q1090" s="396">
        <f t="shared" si="239"/>
        <v>-0.8</v>
      </c>
      <c r="R1090" s="396">
        <f t="shared" si="239"/>
        <v>-0.8</v>
      </c>
      <c r="S1090" s="396">
        <f t="shared" si="239"/>
        <v>-0.8</v>
      </c>
      <c r="T1090" s="126" t="s">
        <v>48</v>
      </c>
    </row>
    <row r="1091" spans="1:20">
      <c r="I1091"/>
      <c r="J1091" s="397"/>
      <c r="K1091" s="398"/>
      <c r="L1091" s="399"/>
      <c r="M1091" s="400"/>
      <c r="N1091" s="400"/>
      <c r="O1091" s="400"/>
      <c r="P1091" s="400"/>
      <c r="Q1091" s="400"/>
      <c r="R1091" s="400"/>
      <c r="S1091" s="400"/>
      <c r="T1091" s="126" t="s">
        <v>48</v>
      </c>
    </row>
    <row r="1092" spans="1:20" ht="15.75">
      <c r="A1092" s="205" t="s">
        <v>56</v>
      </c>
      <c r="B1092" s="348">
        <v>10</v>
      </c>
      <c r="C1092" s="348"/>
      <c r="D1092" s="349" t="s">
        <v>433</v>
      </c>
      <c r="E1092" s="350"/>
      <c r="F1092" s="351"/>
      <c r="G1092" s="351"/>
      <c r="H1092" s="351"/>
      <c r="I1092" s="124"/>
      <c r="J1092" s="124"/>
      <c r="K1092" s="124"/>
      <c r="L1092" s="590"/>
      <c r="M1092" s="590"/>
      <c r="N1092" s="590"/>
      <c r="O1092" s="590"/>
      <c r="P1092" s="590"/>
      <c r="Q1092" s="590"/>
      <c r="R1092" s="590"/>
      <c r="S1092" s="590"/>
      <c r="T1092" s="126" t="s">
        <v>48</v>
      </c>
    </row>
    <row r="1093" spans="1:20" outlineLevel="1">
      <c r="I1093"/>
      <c r="J1093" s="397"/>
      <c r="K1093" s="398"/>
      <c r="L1093" s="399"/>
      <c r="M1093" s="400"/>
      <c r="N1093" s="400"/>
      <c r="O1093" s="400"/>
      <c r="P1093" s="400"/>
      <c r="Q1093" s="400"/>
      <c r="R1093" s="400"/>
      <c r="S1093" s="400"/>
      <c r="T1093" s="126" t="s">
        <v>48</v>
      </c>
    </row>
    <row r="1094" spans="1:20" outlineLevel="1">
      <c r="D1094" s="149" t="s">
        <v>434</v>
      </c>
      <c r="E1094" s="199"/>
      <c r="I1094"/>
      <c r="J1094" s="397"/>
      <c r="K1094" s="398"/>
      <c r="L1094" s="399"/>
      <c r="M1094" s="400"/>
      <c r="N1094" s="400"/>
      <c r="O1094" s="400"/>
      <c r="P1094" s="400"/>
      <c r="Q1094" s="400"/>
      <c r="R1094" s="400"/>
      <c r="S1094" s="400"/>
      <c r="T1094" s="126" t="s">
        <v>48</v>
      </c>
    </row>
    <row r="1095" spans="1:20" outlineLevel="1">
      <c r="D1095" t="s">
        <v>435</v>
      </c>
      <c r="E1095" s="199"/>
      <c r="I1095" s="401">
        <f>'Model '!G81</f>
        <v>0.39847802347802347</v>
      </c>
      <c r="J1095" s="401">
        <f>'Model '!H81</f>
        <v>0.51883525337479686</v>
      </c>
      <c r="K1095" s="402">
        <f>'Model '!I81</f>
        <v>0.47952619034818916</v>
      </c>
      <c r="L1095" s="403">
        <f>'Model '!N81</f>
        <v>0.5771345278802531</v>
      </c>
      <c r="M1095" s="404">
        <f ca="1">'Model '!O81</f>
        <v>0.58612262484176025</v>
      </c>
      <c r="N1095" s="404">
        <f ca="1">'Model '!P81</f>
        <v>0.59234741953293457</v>
      </c>
      <c r="O1095" s="404">
        <f ca="1">'Model '!Q81</f>
        <v>0.5970255912407062</v>
      </c>
      <c r="P1095" s="404">
        <f ca="1">'Model '!R81</f>
        <v>0.60062007900276626</v>
      </c>
      <c r="Q1095" s="404">
        <f ca="1">'Model '!S81</f>
        <v>0.60343673756066185</v>
      </c>
      <c r="R1095" s="404">
        <f ca="1">'Model '!T81</f>
        <v>0.60567174135822355</v>
      </c>
      <c r="S1095" s="404">
        <f ca="1">'Model '!U81</f>
        <v>0.6074557290928021</v>
      </c>
      <c r="T1095" s="126" t="s">
        <v>48</v>
      </c>
    </row>
    <row r="1096" spans="1:20" outlineLevel="1">
      <c r="D1096" t="s">
        <v>436</v>
      </c>
      <c r="E1096" s="199"/>
      <c r="I1096" s="401">
        <f>'Model '!G53</f>
        <v>9.0567840567840563E-2</v>
      </c>
      <c r="J1096" s="401">
        <f>'Model '!H53</f>
        <v>0.24616580677079655</v>
      </c>
      <c r="K1096" s="402">
        <f>'Model '!I53</f>
        <v>0.22643943873985267</v>
      </c>
      <c r="L1096" s="403">
        <f>'Model '!N53</f>
        <v>0.27313653468268229</v>
      </c>
      <c r="M1096" s="404">
        <f ca="1">'Model '!O53</f>
        <v>0.26552631069035565</v>
      </c>
      <c r="N1096" s="404">
        <f ca="1">'Model '!P53</f>
        <v>0.25901425984066573</v>
      </c>
      <c r="O1096" s="404">
        <f ca="1">'Model '!Q53</f>
        <v>0.25279225092398577</v>
      </c>
      <c r="P1096" s="404">
        <f ca="1">'Model '!R53</f>
        <v>0.24734905441453275</v>
      </c>
      <c r="Q1096" s="404">
        <f ca="1">'Model '!S53</f>
        <v>0.24240335582863656</v>
      </c>
      <c r="R1096" s="404">
        <f ca="1">'Model '!T53</f>
        <v>0.23776306686602597</v>
      </c>
      <c r="S1096" s="404">
        <f ca="1">'Model '!U53</f>
        <v>0.23328671129917622</v>
      </c>
      <c r="T1096" s="126" t="s">
        <v>48</v>
      </c>
    </row>
    <row r="1097" spans="1:20" outlineLevel="1">
      <c r="D1097" t="s">
        <v>437</v>
      </c>
      <c r="E1097" s="199"/>
      <c r="I1097" s="401">
        <f>'Model '!G68</f>
        <v>-2.9381654381654378E-2</v>
      </c>
      <c r="J1097" s="401">
        <f>'Model '!H68</f>
        <v>0.2460008952340566</v>
      </c>
      <c r="K1097" s="402">
        <f>'Model '!I68</f>
        <v>7.8956328512803972E-2</v>
      </c>
      <c r="L1097" s="403">
        <f>'Model '!N68</f>
        <v>5.1323867717026295E-2</v>
      </c>
      <c r="M1097" s="404">
        <f ca="1">'Model '!O68</f>
        <v>7.7526101893009902E-2</v>
      </c>
      <c r="N1097" s="404">
        <f ca="1">'Model '!P68</f>
        <v>8.8984020559467247E-2</v>
      </c>
      <c r="O1097" s="404">
        <f ca="1">'Model '!Q68</f>
        <v>9.2106745503443763E-2</v>
      </c>
      <c r="P1097" s="404">
        <f ca="1">'Model '!R68</f>
        <v>9.2207247777198048E-2</v>
      </c>
      <c r="Q1097" s="404">
        <f ca="1">'Model '!S68</f>
        <v>9.4316377091242146E-2</v>
      </c>
      <c r="R1097" s="404">
        <f ca="1">'Model '!T68</f>
        <v>9.3620826011505454E-2</v>
      </c>
      <c r="S1097" s="404">
        <f ca="1">'Model '!U68</f>
        <v>9.1363156908742013E-2</v>
      </c>
      <c r="T1097" s="126" t="s">
        <v>48</v>
      </c>
    </row>
    <row r="1098" spans="1:20" outlineLevel="1">
      <c r="E1098" s="199"/>
      <c r="I1098"/>
      <c r="J1098" s="397"/>
      <c r="K1098" s="398"/>
      <c r="L1098" s="399"/>
      <c r="M1098" s="400"/>
      <c r="N1098" s="400"/>
      <c r="O1098" s="400"/>
      <c r="P1098" s="400"/>
      <c r="Q1098" s="400"/>
      <c r="R1098" s="400"/>
      <c r="S1098" s="400"/>
      <c r="T1098" s="126" t="s">
        <v>48</v>
      </c>
    </row>
    <row r="1099" spans="1:20" outlineLevel="1">
      <c r="D1099" s="149" t="s">
        <v>438</v>
      </c>
      <c r="E1099" s="199"/>
      <c r="I1099"/>
      <c r="J1099" s="397"/>
      <c r="K1099" s="398"/>
      <c r="L1099" s="399"/>
      <c r="M1099" s="400"/>
      <c r="N1099" s="400"/>
      <c r="O1099" s="400"/>
      <c r="P1099" s="400"/>
      <c r="Q1099" s="400"/>
      <c r="R1099" s="400"/>
      <c r="S1099" s="400"/>
      <c r="T1099" s="126" t="s">
        <v>48</v>
      </c>
    </row>
    <row r="1100" spans="1:20" outlineLevel="1">
      <c r="D1100" t="s">
        <v>439</v>
      </c>
      <c r="E1100" s="199"/>
      <c r="I1100"/>
      <c r="J1100" s="397"/>
      <c r="K1100" s="398"/>
      <c r="L1100" s="399"/>
      <c r="M1100" s="400"/>
      <c r="N1100" s="400"/>
      <c r="O1100" s="400"/>
      <c r="P1100" s="400"/>
      <c r="Q1100" s="400"/>
      <c r="R1100" s="400"/>
      <c r="S1100" s="400"/>
      <c r="T1100" s="126" t="s">
        <v>48</v>
      </c>
    </row>
    <row r="1101" spans="1:20" outlineLevel="1">
      <c r="D1101" t="s">
        <v>440</v>
      </c>
      <c r="E1101" s="199"/>
      <c r="I1101"/>
      <c r="J1101" s="397"/>
      <c r="K1101" s="398"/>
      <c r="L1101" s="399"/>
      <c r="M1101" s="400"/>
      <c r="N1101" s="400"/>
      <c r="O1101" s="400"/>
      <c r="P1101" s="400"/>
      <c r="Q1101" s="400"/>
      <c r="R1101" s="400"/>
      <c r="S1101" s="400"/>
      <c r="T1101" s="126" t="s">
        <v>48</v>
      </c>
    </row>
    <row r="1102" spans="1:20" outlineLevel="1">
      <c r="E1102" s="199"/>
      <c r="I1102"/>
      <c r="J1102" s="397"/>
      <c r="K1102" s="398"/>
      <c r="L1102" s="399"/>
      <c r="M1102" s="400"/>
      <c r="N1102" s="400"/>
      <c r="O1102" s="400"/>
      <c r="P1102" s="400"/>
      <c r="Q1102" s="400"/>
      <c r="R1102" s="400"/>
      <c r="S1102" s="400"/>
      <c r="T1102" s="126" t="s">
        <v>48</v>
      </c>
    </row>
    <row r="1103" spans="1:20" outlineLevel="1">
      <c r="D1103" s="149" t="s">
        <v>441</v>
      </c>
      <c r="E1103" s="199"/>
      <c r="I1103"/>
      <c r="J1103" s="397"/>
      <c r="K1103" s="398"/>
      <c r="L1103" s="399"/>
      <c r="M1103" s="400"/>
      <c r="N1103" s="400"/>
      <c r="O1103" s="400"/>
      <c r="P1103" s="400"/>
      <c r="Q1103" s="400"/>
      <c r="R1103" s="400"/>
      <c r="S1103" s="400"/>
      <c r="T1103" s="126" t="s">
        <v>48</v>
      </c>
    </row>
    <row r="1104" spans="1:20" outlineLevel="1">
      <c r="D1104" t="s">
        <v>442</v>
      </c>
      <c r="E1104" s="199"/>
      <c r="I1104"/>
      <c r="J1104" s="397"/>
      <c r="K1104" s="398"/>
      <c r="L1104" s="399"/>
      <c r="M1104" s="400"/>
      <c r="N1104" s="400"/>
      <c r="O1104" s="400"/>
      <c r="P1104" s="400"/>
      <c r="Q1104" s="400"/>
      <c r="R1104" s="400"/>
      <c r="S1104" s="400"/>
      <c r="T1104" s="126" t="s">
        <v>48</v>
      </c>
    </row>
    <row r="1105" spans="1:20" outlineLevel="1">
      <c r="E1105" s="199"/>
      <c r="I1105"/>
      <c r="J1105" s="397"/>
      <c r="K1105" s="398"/>
      <c r="L1105" s="399"/>
      <c r="M1105" s="400"/>
      <c r="N1105" s="400"/>
      <c r="O1105" s="400"/>
      <c r="P1105" s="400"/>
      <c r="Q1105" s="400"/>
      <c r="R1105" s="400"/>
      <c r="S1105" s="400"/>
      <c r="T1105" s="126" t="s">
        <v>48</v>
      </c>
    </row>
    <row r="1106" spans="1:20" outlineLevel="1">
      <c r="D1106" s="149" t="s">
        <v>443</v>
      </c>
      <c r="E1106" s="199"/>
      <c r="I1106"/>
      <c r="J1106" s="397"/>
      <c r="K1106" s="398"/>
      <c r="L1106" s="399"/>
      <c r="M1106" s="400"/>
      <c r="N1106" s="400"/>
      <c r="O1106" s="400"/>
      <c r="P1106" s="400"/>
      <c r="Q1106" s="400"/>
      <c r="R1106" s="400"/>
      <c r="S1106" s="400"/>
      <c r="T1106" s="126" t="s">
        <v>48</v>
      </c>
    </row>
    <row r="1107" spans="1:20" outlineLevel="1">
      <c r="D1107" t="s">
        <v>444</v>
      </c>
      <c r="E1107" s="199"/>
      <c r="I1107"/>
      <c r="J1107" s="397"/>
      <c r="K1107" s="398"/>
      <c r="L1107" s="399"/>
      <c r="M1107" s="400"/>
      <c r="N1107" s="400"/>
      <c r="O1107" s="400"/>
      <c r="P1107" s="400"/>
      <c r="Q1107" s="400"/>
      <c r="R1107" s="400"/>
      <c r="S1107" s="400"/>
      <c r="T1107" s="126" t="s">
        <v>48</v>
      </c>
    </row>
    <row r="1108" spans="1:20" outlineLevel="1">
      <c r="E1108" s="199"/>
      <c r="I1108"/>
      <c r="J1108" s="397"/>
      <c r="K1108" s="398"/>
      <c r="L1108" s="399"/>
      <c r="M1108" s="400"/>
      <c r="N1108" s="400"/>
      <c r="O1108" s="400"/>
      <c r="P1108" s="400"/>
      <c r="Q1108" s="400"/>
      <c r="R1108" s="400"/>
      <c r="S1108" s="400"/>
      <c r="T1108" s="126" t="s">
        <v>48</v>
      </c>
    </row>
    <row r="1109" spans="1:20" outlineLevel="1">
      <c r="D1109" s="149" t="s">
        <v>445</v>
      </c>
      <c r="E1109" s="199"/>
      <c r="K1109" s="207"/>
      <c r="T1109" s="126" t="s">
        <v>48</v>
      </c>
    </row>
    <row r="1110" spans="1:20" outlineLevel="1">
      <c r="A1110" s="197"/>
      <c r="D1110" t="s">
        <v>446</v>
      </c>
      <c r="E1110" s="199"/>
      <c r="K1110" s="207"/>
      <c r="T1110" s="126" t="s">
        <v>48</v>
      </c>
    </row>
    <row r="1111" spans="1:20" outlineLevel="1">
      <c r="D1111" t="s">
        <v>447</v>
      </c>
      <c r="E1111" s="199"/>
      <c r="K1111" s="207"/>
      <c r="T1111" s="126" t="s">
        <v>48</v>
      </c>
    </row>
    <row r="1112" spans="1:20">
      <c r="K1112" s="207"/>
      <c r="T1112" s="126" t="s">
        <v>48</v>
      </c>
    </row>
    <row r="1113" spans="1:20" ht="15.75">
      <c r="A1113" s="205" t="s">
        <v>56</v>
      </c>
      <c r="B1113" s="348">
        <v>11</v>
      </c>
      <c r="C1113" s="348"/>
      <c r="D1113" s="349" t="s">
        <v>448</v>
      </c>
      <c r="E1113" s="350"/>
      <c r="F1113" s="351"/>
      <c r="G1113" s="351"/>
      <c r="H1113" s="351"/>
      <c r="I1113" s="124"/>
      <c r="J1113" s="124"/>
      <c r="K1113" s="124"/>
      <c r="L1113" s="590"/>
      <c r="M1113" s="590"/>
      <c r="N1113" s="590"/>
      <c r="O1113" s="590"/>
      <c r="P1113" s="590"/>
      <c r="Q1113" s="590"/>
      <c r="R1113" s="590"/>
      <c r="S1113" s="590"/>
      <c r="T1113" s="126" t="s">
        <v>48</v>
      </c>
    </row>
    <row r="1114" spans="1:20" outlineLevel="1">
      <c r="K1114" s="207"/>
      <c r="T1114" s="126" t="s">
        <v>48</v>
      </c>
    </row>
    <row r="1115" spans="1:20" outlineLevel="1">
      <c r="D1115" s="149" t="s">
        <v>449</v>
      </c>
      <c r="K1115" s="207"/>
      <c r="T1115" s="126" t="s">
        <v>48</v>
      </c>
    </row>
    <row r="1116" spans="1:20" outlineLevel="1">
      <c r="D1116" s="149" t="s">
        <v>450</v>
      </c>
      <c r="K1116" s="207"/>
      <c r="T1116" s="126" t="s">
        <v>48</v>
      </c>
    </row>
    <row r="1117" spans="1:20" outlineLevel="1">
      <c r="D1117" s="151" t="s">
        <v>451</v>
      </c>
      <c r="K1117" s="207"/>
      <c r="T1117" s="126" t="s">
        <v>48</v>
      </c>
    </row>
    <row r="1118" spans="1:20" outlineLevel="1">
      <c r="D1118" s="151" t="s">
        <v>452</v>
      </c>
      <c r="K1118" s="207"/>
      <c r="T1118" s="126" t="s">
        <v>48</v>
      </c>
    </row>
    <row r="1119" spans="1:20" outlineLevel="1">
      <c r="D1119" s="151" t="s">
        <v>453</v>
      </c>
      <c r="K1119" s="207"/>
      <c r="T1119" s="126" t="s">
        <v>48</v>
      </c>
    </row>
    <row r="1120" spans="1:20" outlineLevel="1">
      <c r="D1120" s="149" t="s">
        <v>454</v>
      </c>
      <c r="K1120" s="207"/>
      <c r="T1120" s="126" t="s">
        <v>48</v>
      </c>
    </row>
    <row r="1121" spans="1:20">
      <c r="K1121" s="207"/>
      <c r="T1121" s="126" t="s">
        <v>48</v>
      </c>
    </row>
    <row r="1122" spans="1:20">
      <c r="A1122" s="197" t="s">
        <v>164</v>
      </c>
      <c r="K1122" s="207"/>
      <c r="T1122" s="126" t="s">
        <v>48</v>
      </c>
    </row>
    <row r="1123" spans="1:20">
      <c r="T1123" s="126"/>
    </row>
    <row r="1124" spans="1:20">
      <c r="T1124" s="126"/>
    </row>
    <row r="1125" spans="1:20" hidden="1">
      <c r="T1125" s="126"/>
    </row>
    <row r="1126" spans="1:20" hidden="1">
      <c r="T1126" s="126"/>
    </row>
    <row r="1127" spans="1:20" hidden="1">
      <c r="T1127" s="126"/>
    </row>
    <row r="1128" spans="1:20" hidden="1">
      <c r="T1128" s="126"/>
    </row>
    <row r="1129" spans="1:20" hidden="1">
      <c r="T1129" s="126"/>
    </row>
    <row r="1130" spans="1:20" hidden="1">
      <c r="T1130" s="126"/>
    </row>
    <row r="1131" spans="1:20" hidden="1">
      <c r="T1131" s="126"/>
    </row>
    <row r="1132" spans="1:20" hidden="1">
      <c r="T1132" s="126"/>
    </row>
    <row r="1133" spans="1:20" hidden="1">
      <c r="T1133" s="126"/>
    </row>
    <row r="1134" spans="1:20" hidden="1">
      <c r="T1134" s="126"/>
    </row>
    <row r="1135" spans="1:20" hidden="1">
      <c r="T1135" s="126"/>
    </row>
    <row r="1136" spans="1:20" hidden="1">
      <c r="T1136" s="126"/>
    </row>
    <row r="1137" spans="20:20" hidden="1">
      <c r="T1137" s="126"/>
    </row>
    <row r="1138" spans="20:20" hidden="1">
      <c r="T1138" s="126"/>
    </row>
    <row r="1139" spans="20:20" hidden="1">
      <c r="T1139" s="126"/>
    </row>
    <row r="1140" spans="20:20" hidden="1">
      <c r="T1140" s="126"/>
    </row>
    <row r="1141" spans="20:20" hidden="1">
      <c r="T1141" s="126"/>
    </row>
    <row r="1142" spans="20:20" hidden="1">
      <c r="T1142" s="126"/>
    </row>
    <row r="1143" spans="20:20" hidden="1">
      <c r="T1143" s="126"/>
    </row>
    <row r="1144" spans="20:20" hidden="1">
      <c r="T1144" s="126"/>
    </row>
    <row r="1145" spans="20:20" hidden="1">
      <c r="T1145" s="126"/>
    </row>
    <row r="1146" spans="20:20" hidden="1">
      <c r="T1146" s="126"/>
    </row>
    <row r="1147" spans="20:20" hidden="1">
      <c r="T1147" s="126"/>
    </row>
    <row r="1148" spans="20:20" hidden="1">
      <c r="T1148" s="126"/>
    </row>
    <row r="1149" spans="20:20" hidden="1">
      <c r="T1149" s="126"/>
    </row>
    <row r="1150" spans="20:20" hidden="1">
      <c r="T1150" s="126"/>
    </row>
    <row r="1151" spans="20:20" hidden="1">
      <c r="T1151" s="126"/>
    </row>
    <row r="1152" spans="20:20" hidden="1">
      <c r="T1152" s="126"/>
    </row>
    <row r="1153" spans="20:20" hidden="1">
      <c r="T1153" s="126"/>
    </row>
    <row r="1154" spans="20:20" hidden="1">
      <c r="T1154" s="126"/>
    </row>
    <row r="1155" spans="20:20" hidden="1">
      <c r="T1155" s="126"/>
    </row>
    <row r="1156" spans="20:20" hidden="1">
      <c r="T1156" s="126"/>
    </row>
    <row r="1157" spans="20:20" hidden="1">
      <c r="T1157" s="126"/>
    </row>
    <row r="1158" spans="20:20" hidden="1">
      <c r="T1158" s="126"/>
    </row>
    <row r="1159" spans="20:20" hidden="1">
      <c r="T1159" s="126"/>
    </row>
    <row r="1160" spans="20:20" hidden="1">
      <c r="T1160" s="126"/>
    </row>
    <row r="1161" spans="20:20" hidden="1">
      <c r="T1161" s="126"/>
    </row>
    <row r="1162" spans="20:20" hidden="1">
      <c r="T1162" s="126"/>
    </row>
    <row r="1163" spans="20:20" hidden="1">
      <c r="T1163" s="126"/>
    </row>
    <row r="1164" spans="20:20" hidden="1">
      <c r="T1164" s="126"/>
    </row>
    <row r="1165" spans="20:20" hidden="1">
      <c r="T1165" s="126"/>
    </row>
    <row r="1166" spans="20:20" hidden="1">
      <c r="T1166" s="126"/>
    </row>
    <row r="1167" spans="20:20" hidden="1">
      <c r="T1167" s="126"/>
    </row>
    <row r="1168" spans="20:20" hidden="1">
      <c r="T1168" s="126"/>
    </row>
    <row r="1169" spans="20:20" hidden="1">
      <c r="T1169" s="126"/>
    </row>
    <row r="1170" spans="20:20" hidden="1">
      <c r="T1170" s="126"/>
    </row>
    <row r="1171" spans="20:20" hidden="1">
      <c r="T1171" s="126"/>
    </row>
    <row r="1172" spans="20:20" hidden="1">
      <c r="T1172" s="126"/>
    </row>
    <row r="1173" spans="20:20" hidden="1">
      <c r="T1173" s="126"/>
    </row>
    <row r="1174" spans="20:20" hidden="1">
      <c r="T1174" s="126"/>
    </row>
    <row r="1175" spans="20:20" hidden="1">
      <c r="T1175" s="126"/>
    </row>
    <row r="1176" spans="20:20" hidden="1">
      <c r="T1176" s="126"/>
    </row>
    <row r="1177" spans="20:20" hidden="1">
      <c r="T1177" s="126"/>
    </row>
    <row r="1178" spans="20:20" hidden="1">
      <c r="T1178" s="126"/>
    </row>
    <row r="1179" spans="20:20" hidden="1">
      <c r="T1179" s="126"/>
    </row>
    <row r="1180" spans="20:20" hidden="1">
      <c r="T1180" s="126"/>
    </row>
    <row r="1181" spans="20:20" hidden="1">
      <c r="T1181" s="126"/>
    </row>
    <row r="1182" spans="20:20" hidden="1">
      <c r="T1182" s="126"/>
    </row>
    <row r="1183" spans="20:20" hidden="1">
      <c r="T1183" s="126"/>
    </row>
    <row r="1184" spans="20:20" hidden="1">
      <c r="T1184" s="126"/>
    </row>
    <row r="1185" spans="20:20" hidden="1">
      <c r="T1185" s="126"/>
    </row>
    <row r="1186" spans="20:20" hidden="1">
      <c r="T1186" s="126"/>
    </row>
    <row r="1187" spans="20:20" hidden="1">
      <c r="T1187" s="126"/>
    </row>
    <row r="1188" spans="20:20" hidden="1">
      <c r="T1188" s="126"/>
    </row>
    <row r="1189" spans="20:20" hidden="1">
      <c r="T1189" s="126"/>
    </row>
    <row r="1190" spans="20:20" hidden="1">
      <c r="T1190" s="126"/>
    </row>
    <row r="1191" spans="20:20" hidden="1">
      <c r="T1191" s="126"/>
    </row>
    <row r="1192" spans="20:20" hidden="1">
      <c r="T1192" s="126"/>
    </row>
    <row r="1193" spans="20:20" hidden="1">
      <c r="T1193" s="126"/>
    </row>
    <row r="1194" spans="20:20" hidden="1">
      <c r="T1194" s="126"/>
    </row>
    <row r="1195" spans="20:20"/>
    <row r="1196" spans="20:20"/>
    <row r="1197" spans="20:20"/>
    <row r="1198" spans="20:20"/>
    <row r="1199" spans="20:20"/>
    <row r="1200" spans="20:2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599E-00C9-46BD-BA62-FACBB9A2C551}">
  <dimension ref="C1:K65"/>
  <sheetViews>
    <sheetView showGridLines="0" zoomScale="61" zoomScaleNormal="63" workbookViewId="0">
      <selection activeCell="G8" sqref="G8"/>
    </sheetView>
  </sheetViews>
  <sheetFormatPr defaultColWidth="9.140625" defaultRowHeight="15" outlineLevelRow="1"/>
  <cols>
    <col min="1" max="2" width="3.7109375" customWidth="1"/>
    <col min="3" max="3" width="32.42578125" customWidth="1"/>
    <col min="4" max="4" width="9.85546875" bestFit="1" customWidth="1"/>
    <col min="6" max="6" width="9.7109375" bestFit="1" customWidth="1"/>
    <col min="7" max="10" width="8.85546875" style="199" bestFit="1" customWidth="1"/>
    <col min="11" max="11" width="9.28515625" bestFit="1" customWidth="1"/>
  </cols>
  <sheetData>
    <row r="1" spans="3:11" s="121" customFormat="1">
      <c r="G1" s="407"/>
      <c r="H1" s="407"/>
      <c r="I1" s="407"/>
      <c r="J1" s="407"/>
    </row>
    <row r="2" spans="3:11" s="121" customFormat="1">
      <c r="G2" s="407"/>
      <c r="H2" s="407"/>
      <c r="I2" s="407"/>
      <c r="J2" s="407"/>
    </row>
    <row r="3" spans="3:11" s="121" customFormat="1">
      <c r="G3" s="407"/>
      <c r="H3" s="407"/>
      <c r="I3" s="407"/>
      <c r="J3" s="407"/>
    </row>
    <row r="4" spans="3:11" s="122" customFormat="1" ht="6.75" customHeight="1">
      <c r="G4" s="406"/>
      <c r="H4" s="406"/>
      <c r="I4" s="406"/>
      <c r="J4" s="406"/>
    </row>
    <row r="8" spans="3:11">
      <c r="C8" s="206" t="s">
        <v>11</v>
      </c>
      <c r="D8" s="123"/>
      <c r="E8" s="123"/>
      <c r="F8" s="123"/>
      <c r="G8" s="408"/>
      <c r="H8" s="408"/>
      <c r="I8" s="408"/>
      <c r="J8" s="408"/>
      <c r="K8" s="409"/>
    </row>
    <row r="10" spans="3:11">
      <c r="C10" t="s">
        <v>455</v>
      </c>
      <c r="F10" s="410">
        <v>706.00633194688476</v>
      </c>
      <c r="K10" s="411"/>
    </row>
    <row r="11" spans="3:11">
      <c r="C11" t="s">
        <v>456</v>
      </c>
      <c r="F11" s="410">
        <v>230.3</v>
      </c>
      <c r="K11" s="411"/>
    </row>
    <row r="12" spans="3:11">
      <c r="F12" s="410"/>
      <c r="K12" s="411"/>
    </row>
    <row r="13" spans="3:11">
      <c r="C13" t="s">
        <v>457</v>
      </c>
      <c r="F13" s="412">
        <f>F14-F15</f>
        <v>289</v>
      </c>
      <c r="K13" s="411"/>
    </row>
    <row r="14" spans="3:11">
      <c r="C14" s="151" t="s">
        <v>458</v>
      </c>
      <c r="F14" s="413">
        <v>1818</v>
      </c>
      <c r="K14" s="411"/>
    </row>
    <row r="15" spans="3:11">
      <c r="C15" s="151" t="s">
        <v>459</v>
      </c>
      <c r="F15" s="413">
        <v>1529</v>
      </c>
      <c r="K15" s="411"/>
    </row>
    <row r="17" spans="3:11">
      <c r="C17" s="206" t="s">
        <v>57</v>
      </c>
      <c r="D17" s="123" t="s">
        <v>460</v>
      </c>
      <c r="E17" s="123" t="s">
        <v>461</v>
      </c>
      <c r="F17" s="123" t="s">
        <v>462</v>
      </c>
      <c r="G17" s="408">
        <v>1</v>
      </c>
      <c r="H17" s="408">
        <v>2</v>
      </c>
      <c r="I17" s="408">
        <v>3</v>
      </c>
      <c r="J17" s="408">
        <v>4</v>
      </c>
      <c r="K17" s="408">
        <v>5</v>
      </c>
    </row>
    <row r="18" spans="3:11">
      <c r="K18" s="411"/>
    </row>
    <row r="19" spans="3:11">
      <c r="C19" s="301" t="s">
        <v>463</v>
      </c>
      <c r="D19" s="301"/>
      <c r="E19" s="301"/>
      <c r="F19" s="301"/>
      <c r="G19" s="414">
        <f>G20*$I$19</f>
        <v>2.8846153846153846</v>
      </c>
      <c r="H19" s="414">
        <f>H20*$I$19</f>
        <v>4.0865384615384617</v>
      </c>
      <c r="I19" s="414">
        <f>I25/I26</f>
        <v>4.8076923076923075</v>
      </c>
      <c r="J19" s="414">
        <f>J20*$I$19</f>
        <v>4.8076923076923075</v>
      </c>
      <c r="K19" s="414">
        <f>K20*$I$19</f>
        <v>4.8076923076923075</v>
      </c>
    </row>
    <row r="20" spans="3:11">
      <c r="C20" s="156" t="s">
        <v>464</v>
      </c>
      <c r="G20" s="415">
        <v>0.6</v>
      </c>
      <c r="H20" s="415">
        <v>0.85</v>
      </c>
      <c r="I20" s="415">
        <v>1</v>
      </c>
      <c r="J20" s="415">
        <v>1</v>
      </c>
      <c r="K20" s="415">
        <v>1</v>
      </c>
    </row>
    <row r="21" spans="3:11">
      <c r="C21" s="156"/>
      <c r="G21" s="416"/>
      <c r="H21" s="416"/>
      <c r="I21" s="416"/>
      <c r="J21" s="416"/>
      <c r="K21" s="416"/>
    </row>
    <row r="22" spans="3:11">
      <c r="C22" s="417" t="s">
        <v>70</v>
      </c>
      <c r="G22" s="418">
        <f>G19*G23</f>
        <v>1.5460898770569889</v>
      </c>
      <c r="H22" s="418">
        <f>H19*H23</f>
        <v>2.1902939924974008</v>
      </c>
      <c r="I22" s="418">
        <f>I19*I23</f>
        <v>2.576816461761648</v>
      </c>
      <c r="J22" s="418">
        <f>J19*J23</f>
        <v>2.576816461761648</v>
      </c>
      <c r="K22" s="418">
        <f>K19*K23</f>
        <v>2.576816461761648</v>
      </c>
    </row>
    <row r="23" spans="3:11">
      <c r="C23" t="s">
        <v>71</v>
      </c>
      <c r="G23" s="419">
        <f>'Model '!N37</f>
        <v>0.5359778240464228</v>
      </c>
      <c r="H23" s="420">
        <f>G23</f>
        <v>0.5359778240464228</v>
      </c>
      <c r="I23" s="420">
        <f>H23</f>
        <v>0.5359778240464228</v>
      </c>
      <c r="J23" s="420">
        <f>I23</f>
        <v>0.5359778240464228</v>
      </c>
      <c r="K23" s="420">
        <f>J23</f>
        <v>0.5359778240464228</v>
      </c>
    </row>
    <row r="24" spans="3:11">
      <c r="C24" s="156"/>
      <c r="G24" s="188"/>
      <c r="H24" s="188"/>
      <c r="I24" s="188"/>
      <c r="K24" s="199"/>
    </row>
    <row r="25" spans="3:11">
      <c r="C25" s="301" t="s">
        <v>465</v>
      </c>
      <c r="D25" s="301"/>
      <c r="E25" s="301"/>
      <c r="F25" s="301"/>
      <c r="G25" s="414">
        <f>G19-G22</f>
        <v>1.3385255075583957</v>
      </c>
      <c r="H25" s="414">
        <f>H19-H22</f>
        <v>1.8962444690410609</v>
      </c>
      <c r="I25" s="421">
        <v>2.5</v>
      </c>
      <c r="J25" s="414">
        <f>J19-J22</f>
        <v>2.2308758459306595</v>
      </c>
      <c r="K25" s="414">
        <f>K19-K22</f>
        <v>2.2308758459306595</v>
      </c>
    </row>
    <row r="26" spans="3:11">
      <c r="C26" s="156" t="s">
        <v>73</v>
      </c>
      <c r="G26" s="422">
        <f>G25/G$19</f>
        <v>0.4640221759535772</v>
      </c>
      <c r="H26" s="422">
        <f>H25/H$19</f>
        <v>0.46402217595357725</v>
      </c>
      <c r="I26" s="415">
        <v>0.52</v>
      </c>
      <c r="J26" s="422">
        <f>J25/J$19</f>
        <v>0.4640221759535772</v>
      </c>
      <c r="K26" s="422">
        <f>K25/K$19</f>
        <v>0.4640221759535772</v>
      </c>
    </row>
    <row r="27" spans="3:11">
      <c r="K27" s="199"/>
    </row>
    <row r="28" spans="3:11">
      <c r="C28" t="s">
        <v>466</v>
      </c>
      <c r="E28" t="s">
        <v>165</v>
      </c>
      <c r="G28" s="423">
        <f>G$19*G29</f>
        <v>0.55063165751219689</v>
      </c>
      <c r="H28" s="423">
        <f t="shared" ref="H28:K28" si="0">H$19*H29</f>
        <v>0.78006151480894559</v>
      </c>
      <c r="I28" s="423">
        <f t="shared" si="0"/>
        <v>0.91771942918699478</v>
      </c>
      <c r="J28" s="423">
        <f t="shared" si="0"/>
        <v>0.91771942918699478</v>
      </c>
      <c r="K28" s="423">
        <f t="shared" si="0"/>
        <v>0.91771942918699478</v>
      </c>
    </row>
    <row r="29" spans="3:11">
      <c r="C29" t="s">
        <v>71</v>
      </c>
      <c r="G29" s="419">
        <f>'Model '!N43</f>
        <v>0.19088564127089491</v>
      </c>
      <c r="H29" s="420">
        <f>G29</f>
        <v>0.19088564127089491</v>
      </c>
      <c r="I29" s="420">
        <f>H29</f>
        <v>0.19088564127089491</v>
      </c>
      <c r="J29" s="420">
        <f>I29</f>
        <v>0.19088564127089491</v>
      </c>
      <c r="K29" s="420">
        <f>J29</f>
        <v>0.19088564127089491</v>
      </c>
    </row>
    <row r="30" spans="3:11">
      <c r="G30" s="419"/>
      <c r="H30" s="424"/>
      <c r="I30" s="424"/>
      <c r="J30" s="424"/>
      <c r="K30" s="424"/>
    </row>
    <row r="31" spans="3:11">
      <c r="C31" s="301" t="s">
        <v>467</v>
      </c>
      <c r="D31" s="301"/>
      <c r="E31" s="301"/>
      <c r="F31" s="301"/>
      <c r="G31" s="414">
        <f>G25-G28</f>
        <v>0.78789385004619883</v>
      </c>
      <c r="H31" s="414">
        <f>H25-H28</f>
        <v>1.1161829542321153</v>
      </c>
      <c r="I31" s="414">
        <f>I25-I28</f>
        <v>1.5822805708130052</v>
      </c>
      <c r="J31" s="414">
        <f>J25-J28</f>
        <v>1.3131564167436647</v>
      </c>
      <c r="K31" s="414">
        <f>K25-K28</f>
        <v>1.3131564167436647</v>
      </c>
    </row>
    <row r="32" spans="3:11">
      <c r="C32" t="s">
        <v>71</v>
      </c>
      <c r="G32" s="424">
        <f>G31/G$19</f>
        <v>0.27313653468268229</v>
      </c>
      <c r="H32" s="424">
        <f>H31/H$19</f>
        <v>0.27313653468268234</v>
      </c>
      <c r="I32" s="424">
        <f>I31/I$19</f>
        <v>0.32911435872910511</v>
      </c>
      <c r="J32" s="424">
        <f>J31/J$19</f>
        <v>0.27313653468268229</v>
      </c>
      <c r="K32" s="424">
        <f>K31/K$19</f>
        <v>0.27313653468268229</v>
      </c>
    </row>
    <row r="33" spans="3:11">
      <c r="G33" s="419"/>
      <c r="H33" s="424"/>
      <c r="I33" s="424"/>
      <c r="J33" s="424"/>
      <c r="K33" s="424"/>
    </row>
    <row r="34" spans="3:11">
      <c r="C34" t="s">
        <v>253</v>
      </c>
      <c r="G34" s="418">
        <f>-('Build-Up'!$L$344/$F$14)</f>
        <v>0.49790429989266077</v>
      </c>
      <c r="H34" s="418">
        <f>G34</f>
        <v>0.49790429989266077</v>
      </c>
      <c r="I34" s="418">
        <f>H34</f>
        <v>0.49790429989266077</v>
      </c>
      <c r="J34" s="418">
        <f>I34</f>
        <v>0.49790429989266077</v>
      </c>
      <c r="K34" s="418">
        <f>J34</f>
        <v>0.49790429989266077</v>
      </c>
    </row>
    <row r="35" spans="3:11" s="135" customFormat="1">
      <c r="C35" s="135" t="s">
        <v>71</v>
      </c>
      <c r="G35" s="422">
        <f>G34/G$19</f>
        <v>0.17260682396278906</v>
      </c>
      <c r="H35" s="422">
        <f>H34/H$19</f>
        <v>0.12184011103255699</v>
      </c>
      <c r="I35" s="422">
        <f>I34/I$19</f>
        <v>0.10356409437767344</v>
      </c>
      <c r="J35" s="422">
        <f>J34/J$19</f>
        <v>0.10356409437767344</v>
      </c>
      <c r="K35" s="422">
        <f>K34/K$19</f>
        <v>0.10356409437767344</v>
      </c>
    </row>
    <row r="36" spans="3:11">
      <c r="G36" s="419"/>
      <c r="H36" s="424"/>
      <c r="I36" s="424"/>
      <c r="J36" s="424"/>
      <c r="K36" s="424"/>
    </row>
    <row r="37" spans="3:11">
      <c r="G37" s="419"/>
      <c r="H37" s="424"/>
      <c r="I37" s="424"/>
      <c r="J37" s="424"/>
      <c r="K37" s="424"/>
    </row>
    <row r="38" spans="3:11">
      <c r="C38" s="301" t="s">
        <v>468</v>
      </c>
      <c r="D38" s="301"/>
      <c r="E38" s="301"/>
      <c r="F38" s="301"/>
      <c r="G38" s="414">
        <f>G31-G34</f>
        <v>0.28998955015353806</v>
      </c>
      <c r="H38" s="414">
        <f>H31-H34</f>
        <v>0.6182786543394545</v>
      </c>
      <c r="I38" s="414">
        <f>I31-I34</f>
        <v>1.0843762709203444</v>
      </c>
      <c r="J38" s="414">
        <f>J31-J34</f>
        <v>0.81525211685100385</v>
      </c>
      <c r="K38" s="414">
        <f>K31-K34</f>
        <v>0.81525211685100385</v>
      </c>
    </row>
    <row r="39" spans="3:11">
      <c r="C39" t="s">
        <v>71</v>
      </c>
      <c r="G39" s="424">
        <f>G38/G$19</f>
        <v>0.10052971071989319</v>
      </c>
      <c r="H39" s="424">
        <f>H38/H$19</f>
        <v>0.15129642365012533</v>
      </c>
      <c r="I39" s="424">
        <f>I38/I$19</f>
        <v>0.22555026435143163</v>
      </c>
      <c r="J39" s="424">
        <f>J38/J$19</f>
        <v>0.16957244030500881</v>
      </c>
      <c r="K39" s="424">
        <f>K38/K$19</f>
        <v>0.16957244030500881</v>
      </c>
    </row>
    <row r="40" spans="3:11">
      <c r="C40" s="156"/>
      <c r="G40" s="422"/>
      <c r="H40" s="422"/>
      <c r="I40" s="422"/>
      <c r="J40" s="422"/>
      <c r="K40" s="422"/>
    </row>
    <row r="41" spans="3:11">
      <c r="C41" s="417" t="s">
        <v>469</v>
      </c>
      <c r="G41" s="163">
        <f>G38*G42</f>
        <v>9.859644705220294E-2</v>
      </c>
      <c r="H41" s="163">
        <f>H38*H42</f>
        <v>0.21021474247541455</v>
      </c>
      <c r="I41" s="163">
        <f>I38*I42</f>
        <v>0.36868793211291712</v>
      </c>
      <c r="J41" s="163">
        <f>J38*J42</f>
        <v>0.27718571972934131</v>
      </c>
      <c r="K41" s="163">
        <f>K38*K42</f>
        <v>0.27718571972934131</v>
      </c>
    </row>
    <row r="42" spans="3:11">
      <c r="C42" t="s">
        <v>470</v>
      </c>
      <c r="G42" s="425">
        <v>0.34</v>
      </c>
      <c r="H42" s="420">
        <f>G42</f>
        <v>0.34</v>
      </c>
      <c r="I42" s="420">
        <f>H42</f>
        <v>0.34</v>
      </c>
      <c r="J42" s="420">
        <f>I42</f>
        <v>0.34</v>
      </c>
      <c r="K42" s="420">
        <f>J42</f>
        <v>0.34</v>
      </c>
    </row>
    <row r="43" spans="3:11">
      <c r="G43" s="415"/>
      <c r="H43" s="422"/>
      <c r="I43" s="422"/>
      <c r="J43" s="422"/>
      <c r="K43" s="422"/>
    </row>
    <row r="44" spans="3:11">
      <c r="C44" s="301" t="s">
        <v>449</v>
      </c>
      <c r="D44" s="301"/>
      <c r="E44" s="301"/>
      <c r="F44" s="301"/>
      <c r="G44" s="414">
        <f>G38-G41</f>
        <v>0.19139310310133512</v>
      </c>
      <c r="H44" s="414">
        <f>H38-H41</f>
        <v>0.40806391186403995</v>
      </c>
      <c r="I44" s="414">
        <f>I38-I41</f>
        <v>0.71568833880742733</v>
      </c>
      <c r="J44" s="414">
        <f>J38-J41</f>
        <v>0.5380663971216626</v>
      </c>
      <c r="K44" s="414">
        <f>K38-K41</f>
        <v>0.5380663971216626</v>
      </c>
    </row>
    <row r="45" spans="3:11">
      <c r="C45" t="s">
        <v>71</v>
      </c>
      <c r="G45" s="424">
        <f>G44/G$19</f>
        <v>6.6349609075129504E-2</v>
      </c>
      <c r="H45" s="424">
        <f>H44/H$19</f>
        <v>9.9855639609082711E-2</v>
      </c>
      <c r="I45" s="424">
        <f>I44/I$19</f>
        <v>0.14886317447194489</v>
      </c>
      <c r="J45" s="424">
        <f>J44/J$19</f>
        <v>0.11191781060130583</v>
      </c>
      <c r="K45" s="424">
        <f>K44/K$19</f>
        <v>0.11191781060130583</v>
      </c>
    </row>
    <row r="46" spans="3:11">
      <c r="G46" s="424"/>
      <c r="H46" s="424"/>
      <c r="I46" s="424"/>
      <c r="J46" s="424"/>
      <c r="K46" s="424"/>
    </row>
    <row r="47" spans="3:11">
      <c r="C47" t="s">
        <v>471</v>
      </c>
      <c r="G47" s="163">
        <f>SUM(G49:G50)</f>
        <v>2.4429284842452761</v>
      </c>
      <c r="H47" s="163">
        <f>SUM(H49:H50)</f>
        <v>0.12667766776677669</v>
      </c>
      <c r="I47" s="163">
        <f>SUM(I49:I50)</f>
        <v>0.12667766776677669</v>
      </c>
      <c r="J47" s="163">
        <f>SUM(J49:J50)</f>
        <v>0.12667766776677669</v>
      </c>
      <c r="K47" s="163">
        <f>SUM(K49:K50)</f>
        <v>0.12667766776677669</v>
      </c>
    </row>
    <row r="48" spans="3:11">
      <c r="C48" t="s">
        <v>71</v>
      </c>
      <c r="G48" s="424">
        <f>G47/G$19</f>
        <v>0.84688187453836239</v>
      </c>
      <c r="H48" s="424">
        <f>H47/H$19</f>
        <v>3.0998770465281825E-2</v>
      </c>
      <c r="I48" s="424">
        <f>I47/I$19</f>
        <v>2.6348954895489551E-2</v>
      </c>
      <c r="J48" s="424">
        <f>J47/J$19</f>
        <v>2.6348954895489551E-2</v>
      </c>
      <c r="K48" s="424">
        <f>K47/K$19</f>
        <v>2.6348954895489551E-2</v>
      </c>
    </row>
    <row r="49" spans="3:11" outlineLevel="1">
      <c r="C49" s="151" t="s">
        <v>472</v>
      </c>
      <c r="F49" s="199"/>
      <c r="G49" s="426">
        <f>F10/F13</f>
        <v>2.4429284842452761</v>
      </c>
      <c r="H49" s="163"/>
      <c r="I49" s="163"/>
      <c r="J49" s="163"/>
      <c r="K49" s="163"/>
    </row>
    <row r="50" spans="3:11" outlineLevel="1">
      <c r="C50" s="151" t="s">
        <v>473</v>
      </c>
      <c r="F50" s="199"/>
      <c r="G50" s="163"/>
      <c r="H50" s="426">
        <f>F11/F14</f>
        <v>0.12667766776677669</v>
      </c>
      <c r="I50" s="141">
        <f>H50</f>
        <v>0.12667766776677669</v>
      </c>
      <c r="J50" s="141">
        <f>I50</f>
        <v>0.12667766776677669</v>
      </c>
      <c r="K50" s="141">
        <f>J50</f>
        <v>0.12667766776677669</v>
      </c>
    </row>
    <row r="51" spans="3:11">
      <c r="C51" s="151"/>
      <c r="F51" s="199"/>
      <c r="G51" s="163"/>
      <c r="H51" s="141"/>
      <c r="I51" s="141"/>
      <c r="J51" s="141"/>
      <c r="K51" s="141"/>
    </row>
    <row r="52" spans="3:11">
      <c r="C52" s="206" t="s">
        <v>474</v>
      </c>
      <c r="D52" s="123" t="s">
        <v>460</v>
      </c>
      <c r="E52" s="123" t="s">
        <v>461</v>
      </c>
      <c r="F52" s="123" t="s">
        <v>462</v>
      </c>
      <c r="G52" s="408">
        <v>1</v>
      </c>
      <c r="H52" s="408">
        <v>2</v>
      </c>
      <c r="I52" s="408">
        <v>3</v>
      </c>
      <c r="J52" s="408">
        <v>4</v>
      </c>
      <c r="K52" s="408">
        <v>5</v>
      </c>
    </row>
    <row r="53" spans="3:11">
      <c r="F53" s="199"/>
      <c r="G53" s="163"/>
      <c r="H53" s="155"/>
      <c r="I53" s="141"/>
      <c r="J53" s="141"/>
      <c r="K53" s="141"/>
    </row>
    <row r="54" spans="3:11">
      <c r="C54" s="301" t="s">
        <v>474</v>
      </c>
      <c r="D54" s="301"/>
      <c r="E54" s="301"/>
      <c r="F54" s="301"/>
      <c r="G54" s="414">
        <f>G56-G57-G58</f>
        <v>-1.7536310812512803</v>
      </c>
      <c r="H54" s="414">
        <f>H56-H57-H58</f>
        <v>0.77929054398992403</v>
      </c>
      <c r="I54" s="414">
        <f>I56-I57-I58</f>
        <v>1.0869149709333115</v>
      </c>
      <c r="J54" s="414">
        <f>J56-J57-J58</f>
        <v>0.90929302924754674</v>
      </c>
      <c r="K54" s="414">
        <f>K56-K57-K58</f>
        <v>0.90929302924754674</v>
      </c>
    </row>
    <row r="55" spans="3:11">
      <c r="F55" s="199"/>
      <c r="G55" s="163"/>
      <c r="H55" s="155"/>
      <c r="I55" s="141"/>
      <c r="J55" s="141"/>
      <c r="K55" s="141"/>
    </row>
    <row r="56" spans="3:11">
      <c r="C56" s="151" t="s">
        <v>475</v>
      </c>
      <c r="F56" s="199"/>
      <c r="G56" s="163">
        <f>G31</f>
        <v>0.78789385004619883</v>
      </c>
      <c r="H56" s="163">
        <f>H31</f>
        <v>1.1161829542321153</v>
      </c>
      <c r="I56" s="163">
        <f>I31</f>
        <v>1.5822805708130052</v>
      </c>
      <c r="J56" s="163">
        <f>J31</f>
        <v>1.3131564167436647</v>
      </c>
      <c r="K56" s="163">
        <f>K31</f>
        <v>1.3131564167436647</v>
      </c>
    </row>
    <row r="57" spans="3:11">
      <c r="C57" s="151" t="s">
        <v>469</v>
      </c>
      <c r="F57" s="199"/>
      <c r="G57" s="163">
        <f>G41</f>
        <v>9.859644705220294E-2</v>
      </c>
      <c r="H57" s="163">
        <f>H41</f>
        <v>0.21021474247541455</v>
      </c>
      <c r="I57" s="163">
        <f>I41</f>
        <v>0.36868793211291712</v>
      </c>
      <c r="J57" s="163">
        <f>J41</f>
        <v>0.27718571972934131</v>
      </c>
      <c r="K57" s="163">
        <f>K41</f>
        <v>0.27718571972934131</v>
      </c>
    </row>
    <row r="58" spans="3:11">
      <c r="C58" s="151" t="s">
        <v>476</v>
      </c>
      <c r="F58" s="199"/>
      <c r="G58" s="163">
        <f>G47</f>
        <v>2.4429284842452761</v>
      </c>
      <c r="H58" s="163">
        <f>H47</f>
        <v>0.12667766776677669</v>
      </c>
      <c r="I58" s="163">
        <f>I47</f>
        <v>0.12667766776677669</v>
      </c>
      <c r="J58" s="163">
        <f>J47</f>
        <v>0.12667766776677669</v>
      </c>
      <c r="K58" s="163">
        <f>K47</f>
        <v>0.12667766776677669</v>
      </c>
    </row>
    <row r="59" spans="3:11">
      <c r="C59" s="151"/>
      <c r="F59" s="199"/>
      <c r="G59" s="163"/>
      <c r="H59" s="163"/>
      <c r="I59" s="163"/>
      <c r="J59" s="163"/>
      <c r="K59" s="163"/>
    </row>
    <row r="60" spans="3:11">
      <c r="C60" s="301" t="s">
        <v>477</v>
      </c>
      <c r="D60" s="301"/>
      <c r="E60" s="301"/>
      <c r="F60" s="301"/>
      <c r="G60" s="414">
        <f>SUM($G$54:G54)</f>
        <v>-1.7536310812512803</v>
      </c>
      <c r="H60" s="414">
        <f>SUM($G$54:H54)</f>
        <v>-0.97434053726135628</v>
      </c>
      <c r="I60" s="414">
        <f>SUM($G$54:I54)</f>
        <v>0.11257443367195519</v>
      </c>
      <c r="J60" s="414">
        <f>SUM($G$54:J54)</f>
        <v>1.0218674629195019</v>
      </c>
      <c r="K60" s="414">
        <f>SUM($G$54:K54)</f>
        <v>1.9311604921670487</v>
      </c>
    </row>
    <row r="61" spans="3:11">
      <c r="F61" s="199"/>
      <c r="G61" s="427">
        <f>IF(AND(G60&gt;0,F60&lt;0),-F60/G54+G17,0)</f>
        <v>0</v>
      </c>
      <c r="H61" s="427">
        <f>IF(AND(H60&gt;0,G60&lt;0),-G60/H54+H17,0)</f>
        <v>0</v>
      </c>
      <c r="I61" s="427">
        <f>IF(AND(I60&gt;0,H60&lt;0),-H60/I54+I17,0)</f>
        <v>3.8964275617849942</v>
      </c>
      <c r="J61" s="427">
        <f>IF(AND(J60&gt;0,I60&lt;0),-I60/J54+J17,0)</f>
        <v>0</v>
      </c>
      <c r="K61" s="427">
        <f>IF(AND(K60&gt;0,J60&lt;0),-J60/K54+K17,0)</f>
        <v>0</v>
      </c>
    </row>
    <row r="62" spans="3:11">
      <c r="C62" s="206"/>
      <c r="D62" s="123" t="s">
        <v>460</v>
      </c>
      <c r="E62" s="123" t="s">
        <v>461</v>
      </c>
      <c r="F62" s="123" t="s">
        <v>462</v>
      </c>
      <c r="G62" s="408">
        <v>1</v>
      </c>
      <c r="H62" s="408">
        <v>2</v>
      </c>
      <c r="I62" s="408">
        <v>3</v>
      </c>
      <c r="J62" s="408">
        <v>4</v>
      </c>
      <c r="K62" s="408">
        <v>5</v>
      </c>
    </row>
    <row r="63" spans="3:11">
      <c r="F63" s="199"/>
      <c r="G63" s="427"/>
      <c r="H63" s="427"/>
      <c r="I63" s="427"/>
      <c r="J63" s="427"/>
      <c r="K63" s="411"/>
    </row>
    <row r="64" spans="3:11">
      <c r="C64" s="149" t="s">
        <v>478</v>
      </c>
      <c r="D64" s="163">
        <f>SUM(G61:J61)</f>
        <v>3.8964275617849942</v>
      </c>
      <c r="F64" s="199"/>
      <c r="G64" s="427"/>
      <c r="H64" s="427"/>
      <c r="I64" s="427"/>
      <c r="J64" s="427"/>
      <c r="K64" s="411"/>
    </row>
    <row r="65" spans="3:11">
      <c r="C65" s="149" t="s">
        <v>479</v>
      </c>
      <c r="D65" s="188">
        <f>IRR(G60:K60)</f>
        <v>3.6734342998827385E-2</v>
      </c>
      <c r="F65" s="428"/>
      <c r="K65" s="41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62BB-63C5-4542-B6AF-C3DAC02E668E}">
  <dimension ref="A1:AM65"/>
  <sheetViews>
    <sheetView showGridLines="0" topLeftCell="A23" zoomScaleNormal="100" workbookViewId="0">
      <selection activeCell="AB39" sqref="AB39"/>
    </sheetView>
  </sheetViews>
  <sheetFormatPr defaultColWidth="0" defaultRowHeight="15"/>
  <cols>
    <col min="1" max="1" width="8.7109375" customWidth="1"/>
    <col min="2" max="2" width="35.7109375" bestFit="1" customWidth="1"/>
    <col min="3" max="3" width="16.7109375" customWidth="1"/>
    <col min="4" max="4" width="10.28515625" bestFit="1" customWidth="1"/>
    <col min="5" max="5" width="12.140625" bestFit="1" customWidth="1"/>
    <col min="6" max="6" width="13.7109375" bestFit="1" customWidth="1"/>
    <col min="7" max="7" width="8.7109375" customWidth="1"/>
    <col min="8" max="8" width="33" bestFit="1" customWidth="1"/>
    <col min="9" max="9" width="10.7109375" customWidth="1"/>
    <col min="10" max="10" width="13.7109375" bestFit="1" customWidth="1"/>
    <col min="11" max="11" width="9.140625" bestFit="1" customWidth="1"/>
    <col min="12" max="13" width="11.85546875" bestFit="1" customWidth="1"/>
    <col min="14" max="15" width="9" bestFit="1" customWidth="1"/>
    <col min="16" max="17" width="10" bestFit="1" customWidth="1"/>
    <col min="18" max="18" width="11.85546875" bestFit="1" customWidth="1"/>
    <col min="19" max="19" width="10" bestFit="1" customWidth="1"/>
    <col min="20" max="20" width="11.85546875" bestFit="1" customWidth="1"/>
    <col min="21" max="21" width="8.7109375" customWidth="1"/>
    <col min="22" max="22" width="11" bestFit="1" customWidth="1"/>
    <col min="23" max="23" width="11.85546875" bestFit="1" customWidth="1"/>
    <col min="24" max="24" width="10.5703125" bestFit="1" customWidth="1"/>
    <col min="25" max="25" width="2.7109375" customWidth="1"/>
    <col min="26" max="26" width="3.5703125" customWidth="1"/>
    <col min="27" max="27" width="4" customWidth="1"/>
    <col min="28" max="28" width="3" customWidth="1"/>
    <col min="29" max="29" width="6" bestFit="1" customWidth="1"/>
    <col min="30" max="32" width="8.7109375" customWidth="1"/>
    <col min="33" max="33" width="10" bestFit="1" customWidth="1"/>
    <col min="34" max="39" width="8.7109375" customWidth="1"/>
    <col min="40" max="16384" width="8.5703125" hidden="1"/>
  </cols>
  <sheetData>
    <row r="1" spans="1:39" s="121" customFormat="1"/>
    <row r="2" spans="1:39" s="121" customFormat="1"/>
    <row r="3" spans="1:39" s="121" customFormat="1"/>
    <row r="4" spans="1:39" s="122" customFormat="1" ht="6.75" customHeight="1"/>
    <row r="7" spans="1:39" s="430" customFormat="1">
      <c r="A7" s="429"/>
      <c r="B7" s="429" t="s">
        <v>480</v>
      </c>
      <c r="C7" s="429"/>
      <c r="D7" s="429"/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</row>
    <row r="8" spans="1:39" ht="15.75" thickBot="1">
      <c r="L8" s="431"/>
      <c r="M8" s="432"/>
      <c r="N8" s="432"/>
      <c r="O8" s="432"/>
      <c r="P8" s="432"/>
      <c r="Q8" s="432"/>
      <c r="R8" s="432"/>
    </row>
    <row r="9" spans="1:39" ht="17.25">
      <c r="B9" s="433" t="s">
        <v>481</v>
      </c>
      <c r="C9" s="433"/>
      <c r="D9" s="434">
        <v>5.4</v>
      </c>
      <c r="G9" s="433"/>
      <c r="H9" s="206" t="s">
        <v>482</v>
      </c>
      <c r="I9" s="435"/>
      <c r="J9" s="436">
        <v>44926</v>
      </c>
      <c r="K9" s="436">
        <f t="shared" ref="K9:S9" si="0">EOMONTH(J9,12)</f>
        <v>45291</v>
      </c>
      <c r="L9" s="436">
        <f t="shared" si="0"/>
        <v>45657</v>
      </c>
      <c r="M9" s="437">
        <f t="shared" si="0"/>
        <v>46022</v>
      </c>
      <c r="N9" s="437">
        <f t="shared" si="0"/>
        <v>46387</v>
      </c>
      <c r="O9" s="437">
        <f t="shared" si="0"/>
        <v>46752</v>
      </c>
      <c r="P9" s="437">
        <f t="shared" si="0"/>
        <v>47118</v>
      </c>
      <c r="Q9" s="437">
        <f t="shared" si="0"/>
        <v>47483</v>
      </c>
      <c r="R9" s="437">
        <f t="shared" si="0"/>
        <v>47848</v>
      </c>
      <c r="S9" s="437">
        <f t="shared" si="0"/>
        <v>48213</v>
      </c>
      <c r="T9" s="437" t="s">
        <v>483</v>
      </c>
      <c r="U9" s="433"/>
      <c r="V9" s="438" t="s">
        <v>484</v>
      </c>
      <c r="W9" s="439"/>
      <c r="X9" s="440"/>
      <c r="AE9" s="433"/>
    </row>
    <row r="10" spans="1:39">
      <c r="G10" s="433"/>
      <c r="H10" s="433" t="s">
        <v>485</v>
      </c>
      <c r="I10" s="433"/>
      <c r="J10" s="441"/>
      <c r="K10" s="441"/>
      <c r="L10" s="453"/>
      <c r="M10" s="442">
        <f>-D45</f>
        <v>-5000</v>
      </c>
      <c r="N10" s="443">
        <f>N57</f>
        <v>0</v>
      </c>
      <c r="O10" s="443">
        <f t="shared" ref="O10:S10" si="1">O57</f>
        <v>0</v>
      </c>
      <c r="P10" s="443">
        <f t="shared" si="1"/>
        <v>0</v>
      </c>
      <c r="Q10" s="443">
        <f t="shared" si="1"/>
        <v>0</v>
      </c>
      <c r="R10" s="443">
        <f t="shared" si="1"/>
        <v>0</v>
      </c>
      <c r="S10" s="443">
        <f t="shared" si="1"/>
        <v>0</v>
      </c>
      <c r="T10" s="443">
        <f>SUM(M10:S10)</f>
        <v>-5000</v>
      </c>
      <c r="U10" s="433"/>
      <c r="V10" s="444" t="s">
        <v>486</v>
      </c>
      <c r="W10" s="445">
        <f ca="1">-T15/M15</f>
        <v>0.70034857421542218</v>
      </c>
      <c r="X10" s="440"/>
      <c r="AE10" s="433"/>
    </row>
    <row r="11" spans="1:39">
      <c r="B11" s="206" t="s">
        <v>487</v>
      </c>
      <c r="C11" s="123"/>
      <c r="D11" s="125">
        <v>46022</v>
      </c>
      <c r="E11" s="125">
        <f>EOMONTH(D11,12)</f>
        <v>46387</v>
      </c>
      <c r="F11" s="125">
        <f>EOMONTH(E11,12)</f>
        <v>46752</v>
      </c>
      <c r="G11" s="433"/>
      <c r="H11" s="433" t="s">
        <v>488</v>
      </c>
      <c r="I11" s="433"/>
      <c r="J11" s="441"/>
      <c r="K11" s="441"/>
      <c r="L11" s="453"/>
      <c r="M11" s="442">
        <f>D44</f>
        <v>0</v>
      </c>
      <c r="N11" s="446">
        <v>0</v>
      </c>
      <c r="O11" s="446">
        <v>0</v>
      </c>
      <c r="P11" s="446">
        <v>0</v>
      </c>
      <c r="Q11" s="446">
        <v>0</v>
      </c>
      <c r="R11" s="446">
        <v>0</v>
      </c>
      <c r="S11" s="446">
        <v>0</v>
      </c>
      <c r="T11" s="443">
        <f t="shared" ref="T11:T14" si="2">-SUM(M11:S11)</f>
        <v>0</v>
      </c>
      <c r="U11" s="433"/>
      <c r="V11" s="444" t="s">
        <v>489</v>
      </c>
      <c r="W11" s="447">
        <f ca="1">IRR(M15:S15)</f>
        <v>0.11491929465275774</v>
      </c>
      <c r="X11" s="448"/>
      <c r="AE11" s="433"/>
    </row>
    <row r="12" spans="1:39" ht="15.75" thickBot="1">
      <c r="G12" s="433"/>
      <c r="H12" s="433" t="s">
        <v>490</v>
      </c>
      <c r="J12" s="441"/>
      <c r="K12" s="441"/>
      <c r="L12" s="453"/>
      <c r="M12" s="442">
        <f>-D46</f>
        <v>-10</v>
      </c>
      <c r="N12" s="446">
        <v>0</v>
      </c>
      <c r="O12" s="446">
        <v>0</v>
      </c>
      <c r="P12" s="446">
        <v>0</v>
      </c>
      <c r="Q12" s="446">
        <v>0</v>
      </c>
      <c r="R12" s="446">
        <v>0</v>
      </c>
      <c r="S12" s="446">
        <v>0</v>
      </c>
      <c r="T12" s="443">
        <f>SUM(M12:S12)</f>
        <v>-10</v>
      </c>
      <c r="U12" s="433"/>
      <c r="V12" s="449" t="s">
        <v>491</v>
      </c>
      <c r="W12" s="450">
        <f ca="1">T15</f>
        <v>3508.7463568192652</v>
      </c>
      <c r="X12" s="451"/>
      <c r="AE12" s="433"/>
    </row>
    <row r="13" spans="1:39">
      <c r="B13" s="433" t="s">
        <v>492</v>
      </c>
      <c r="C13" s="433"/>
      <c r="D13" s="452">
        <f>D18/M22</f>
        <v>3.5716616934950975</v>
      </c>
      <c r="E13" s="452">
        <f t="shared" ref="E13:F13" si="3">E18/N22</f>
        <v>2.9961876272569921</v>
      </c>
      <c r="F13" s="452">
        <f t="shared" si="3"/>
        <v>2.5889732552941651</v>
      </c>
      <c r="G13" s="433"/>
      <c r="H13" s="433" t="s">
        <v>493</v>
      </c>
      <c r="I13" s="433"/>
      <c r="J13" s="441"/>
      <c r="K13" s="441"/>
      <c r="L13" s="453"/>
      <c r="M13" s="441"/>
      <c r="N13" s="454">
        <f>-M58*$F$36</f>
        <v>52.338899465569767</v>
      </c>
      <c r="O13" s="454">
        <f t="shared" ref="O13:R13" ca="1" si="4">-N58*$F$36</f>
        <v>94.244164108818794</v>
      </c>
      <c r="P13" s="454">
        <f t="shared" ca="1" si="4"/>
        <v>125.18721730250184</v>
      </c>
      <c r="Q13" s="454">
        <f t="shared" ca="1" si="4"/>
        <v>146.20831753419864</v>
      </c>
      <c r="R13" s="454">
        <f t="shared" ca="1" si="4"/>
        <v>162.46633368603418</v>
      </c>
      <c r="S13" s="454">
        <v>0</v>
      </c>
      <c r="T13" s="443">
        <f ca="1">SUM(N13:S13)</f>
        <v>580.44493209712323</v>
      </c>
      <c r="U13" s="433"/>
      <c r="X13" s="455"/>
      <c r="AE13" s="433"/>
    </row>
    <row r="14" spans="1:39">
      <c r="B14" s="433" t="s">
        <v>494</v>
      </c>
      <c r="C14" s="433"/>
      <c r="D14" s="456">
        <v>7</v>
      </c>
      <c r="E14" s="452">
        <f ca="1">E18/N28</f>
        <v>5.7820960515228608</v>
      </c>
      <c r="F14" s="452">
        <f ca="1">F18/O28</f>
        <v>4.9437425304043874</v>
      </c>
      <c r="G14" s="433"/>
      <c r="H14" s="433" t="s">
        <v>495</v>
      </c>
      <c r="I14" s="433"/>
      <c r="J14" s="441"/>
      <c r="K14" s="441"/>
      <c r="L14" s="453"/>
      <c r="M14" s="441"/>
      <c r="N14" s="446">
        <v>0</v>
      </c>
      <c r="O14" s="446">
        <v>0</v>
      </c>
      <c r="P14" s="446">
        <v>0</v>
      </c>
      <c r="Q14" s="446">
        <v>0</v>
      </c>
      <c r="R14" s="454">
        <f ca="1">F36*E32</f>
        <v>7938.3014247221417</v>
      </c>
      <c r="S14" s="446">
        <v>0</v>
      </c>
      <c r="T14" s="443">
        <f t="shared" ca="1" si="2"/>
        <v>-7938.3014247221417</v>
      </c>
      <c r="U14" s="433"/>
      <c r="V14" s="433"/>
      <c r="W14" s="433"/>
      <c r="X14" s="433"/>
      <c r="AE14" s="433"/>
    </row>
    <row r="15" spans="1:39">
      <c r="B15" s="433" t="s">
        <v>496</v>
      </c>
      <c r="C15" s="433"/>
      <c r="D15" s="452">
        <f>D22/M34</f>
        <v>76.42499251692</v>
      </c>
      <c r="E15" s="452">
        <f t="shared" ref="E15:F15" ca="1" si="5">E22/N34</f>
        <v>38.10414242510754</v>
      </c>
      <c r="F15" s="452">
        <f t="shared" ca="1" si="5"/>
        <v>26.552967260100633</v>
      </c>
      <c r="G15" s="433"/>
      <c r="H15" s="457" t="s">
        <v>497</v>
      </c>
      <c r="I15" s="457"/>
      <c r="J15" s="458"/>
      <c r="K15" s="458"/>
      <c r="L15" s="537"/>
      <c r="M15" s="459">
        <f>SUM(M10:M14)</f>
        <v>-5010</v>
      </c>
      <c r="N15" s="459">
        <f t="shared" ref="N15:S15" si="6">SUM(N10:N14)</f>
        <v>52.338899465569767</v>
      </c>
      <c r="O15" s="459">
        <f t="shared" ca="1" si="6"/>
        <v>94.244164108818794</v>
      </c>
      <c r="P15" s="459">
        <f t="shared" ca="1" si="6"/>
        <v>125.18721730250184</v>
      </c>
      <c r="Q15" s="459">
        <f t="shared" ca="1" si="6"/>
        <v>146.20831753419864</v>
      </c>
      <c r="R15" s="459">
        <f t="shared" ca="1" si="6"/>
        <v>8100.7677584081757</v>
      </c>
      <c r="S15" s="459">
        <f t="shared" si="6"/>
        <v>0</v>
      </c>
      <c r="T15" s="460">
        <f ca="1">SUM(M15:S15)</f>
        <v>3508.7463568192652</v>
      </c>
      <c r="U15" s="433"/>
      <c r="V15" s="433"/>
      <c r="W15" s="433"/>
      <c r="X15" s="433"/>
      <c r="AE15" s="433"/>
    </row>
    <row r="16" spans="1:39" ht="17.25">
      <c r="B16" s="433" t="s">
        <v>498</v>
      </c>
      <c r="C16" s="461"/>
      <c r="D16" s="462">
        <f>D20/M34</f>
        <v>62.360044915101376</v>
      </c>
      <c r="E16" s="441"/>
      <c r="F16" s="441"/>
      <c r="G16" s="433"/>
      <c r="H16" s="433"/>
      <c r="I16" s="433"/>
      <c r="J16" s="433"/>
      <c r="K16" s="433"/>
      <c r="L16" s="463"/>
      <c r="M16" s="464"/>
      <c r="N16" s="433"/>
      <c r="O16" s="433"/>
      <c r="P16" s="433"/>
      <c r="Q16" s="433"/>
      <c r="R16" s="433"/>
      <c r="S16" s="433"/>
      <c r="T16" s="433"/>
      <c r="U16" s="433"/>
      <c r="V16" s="465" t="s">
        <v>499</v>
      </c>
      <c r="W16" s="466"/>
      <c r="X16" s="466"/>
      <c r="AE16" s="433"/>
    </row>
    <row r="17" spans="2:35">
      <c r="B17" s="461"/>
      <c r="C17" s="461"/>
      <c r="D17" s="461"/>
      <c r="E17" s="461"/>
      <c r="F17" s="461"/>
      <c r="G17" s="433"/>
      <c r="H17" s="206" t="s">
        <v>500</v>
      </c>
      <c r="I17" s="435"/>
      <c r="J17" s="436">
        <v>44926</v>
      </c>
      <c r="K17" s="436">
        <f t="shared" ref="K17:T17" si="7">EOMONTH(J17,12)</f>
        <v>45291</v>
      </c>
      <c r="L17" s="436">
        <f t="shared" si="7"/>
        <v>45657</v>
      </c>
      <c r="M17" s="437">
        <f t="shared" si="7"/>
        <v>46022</v>
      </c>
      <c r="N17" s="437">
        <f t="shared" si="7"/>
        <v>46387</v>
      </c>
      <c r="O17" s="437">
        <f t="shared" si="7"/>
        <v>46752</v>
      </c>
      <c r="P17" s="437">
        <f t="shared" si="7"/>
        <v>47118</v>
      </c>
      <c r="Q17" s="437">
        <f t="shared" si="7"/>
        <v>47483</v>
      </c>
      <c r="R17" s="437">
        <f t="shared" si="7"/>
        <v>47848</v>
      </c>
      <c r="S17" s="437">
        <f t="shared" si="7"/>
        <v>48213</v>
      </c>
      <c r="T17" s="437">
        <f t="shared" si="7"/>
        <v>48579</v>
      </c>
      <c r="U17" s="433"/>
      <c r="V17" s="435" t="s">
        <v>501</v>
      </c>
      <c r="W17" s="435" t="s">
        <v>502</v>
      </c>
      <c r="X17" s="435" t="s">
        <v>503</v>
      </c>
      <c r="AE17" s="467" t="s">
        <v>504</v>
      </c>
      <c r="AF17" s="468"/>
      <c r="AG17" s="468"/>
      <c r="AH17" s="468"/>
      <c r="AI17" s="468"/>
    </row>
    <row r="18" spans="2:35">
      <c r="B18" s="433" t="s">
        <v>505</v>
      </c>
      <c r="C18" s="433"/>
      <c r="D18" s="442">
        <f>D14*M28</f>
        <v>27982.570473711472</v>
      </c>
      <c r="E18" s="442">
        <f>D18</f>
        <v>27982.570473711472</v>
      </c>
      <c r="F18" s="442">
        <f>E18</f>
        <v>27982.570473711472</v>
      </c>
      <c r="G18" s="433"/>
      <c r="H18" s="469"/>
      <c r="I18" s="433"/>
      <c r="J18" s="470"/>
      <c r="K18" s="470"/>
      <c r="L18" s="471"/>
      <c r="M18" s="472"/>
      <c r="N18" s="470"/>
      <c r="O18" s="470"/>
      <c r="P18" s="470"/>
      <c r="Q18" s="470"/>
      <c r="R18" s="470"/>
      <c r="S18" s="470"/>
      <c r="T18" s="470"/>
      <c r="U18" s="433"/>
      <c r="V18" s="433"/>
      <c r="W18" s="433"/>
      <c r="X18" s="433"/>
      <c r="AD18" s="473">
        <f ca="1">W11</f>
        <v>0.11491929465275774</v>
      </c>
      <c r="AE18" s="474">
        <v>5</v>
      </c>
      <c r="AF18" s="474">
        <v>6</v>
      </c>
      <c r="AG18" s="474">
        <v>7</v>
      </c>
      <c r="AH18" s="474">
        <v>8</v>
      </c>
      <c r="AI18" s="474">
        <v>9</v>
      </c>
    </row>
    <row r="19" spans="2:35">
      <c r="B19" s="433" t="s">
        <v>506</v>
      </c>
      <c r="C19" s="433"/>
      <c r="D19" s="442">
        <f>-M38</f>
        <v>-5813.9685419708621</v>
      </c>
      <c r="E19" s="442">
        <f t="shared" ref="E19:F19" ca="1" si="8">-N38</f>
        <v>-8591.3260667281647</v>
      </c>
      <c r="F19" s="442">
        <f t="shared" ca="1" si="8"/>
        <v>-10404.836830805776</v>
      </c>
      <c r="G19" s="433"/>
      <c r="H19" s="433" t="s">
        <v>507</v>
      </c>
      <c r="I19" s="475"/>
      <c r="J19" s="476">
        <f>'Model '!G21</f>
        <v>3151.8</v>
      </c>
      <c r="K19" s="476">
        <f>'Model '!H21</f>
        <v>4539.3</v>
      </c>
      <c r="L19" s="519">
        <f>'Model '!I21</f>
        <v>5946.1</v>
      </c>
      <c r="M19" s="476">
        <f>'Model '!N21</f>
        <v>7380.5435636632019</v>
      </c>
      <c r="N19" s="476">
        <f>'Model '!O21</f>
        <v>8798.1154730423059</v>
      </c>
      <c r="O19" s="476">
        <f>'Model '!P21</f>
        <v>10181.953278042834</v>
      </c>
      <c r="P19" s="476">
        <f>'Model '!Q21</f>
        <v>11488.511963845074</v>
      </c>
      <c r="Q19" s="476">
        <f>'Model '!R21</f>
        <v>12752.092644438784</v>
      </c>
      <c r="R19" s="476">
        <f>'Model '!S21</f>
        <v>13963.81757735354</v>
      </c>
      <c r="S19" s="476">
        <f>'Model '!T21</f>
        <v>15114.090820032323</v>
      </c>
      <c r="T19" s="476">
        <f>'Model '!U21</f>
        <v>16192.553601844018</v>
      </c>
      <c r="U19" s="433"/>
      <c r="V19" s="477">
        <f>(M19/K19)^(1/2)-1</f>
        <v>0.275116104968399</v>
      </c>
      <c r="W19" s="477">
        <f>(O19/N19)-1</f>
        <v>0.15728797936792827</v>
      </c>
      <c r="X19" s="477">
        <f>(S19/N19)^(1/5)-1</f>
        <v>0.11429061818319664</v>
      </c>
      <c r="AD19" s="474">
        <v>5</v>
      </c>
      <c r="AE19" s="570">
        <f t="dataTable" ref="AE19:AI23" dt2D="1" dtr="1" r1="D14" r2="E27" ca="1"/>
        <v>0.1004109248078755</v>
      </c>
      <c r="AF19" s="572">
        <v>5.7915534061761198E-2</v>
      </c>
      <c r="AG19" s="540">
        <v>2.3588949086975619E-2</v>
      </c>
      <c r="AH19" s="572">
        <v>-5.046018640438521E-3</v>
      </c>
      <c r="AI19" s="575">
        <v>-2.9506621673386912E-2</v>
      </c>
    </row>
    <row r="20" spans="2:35">
      <c r="B20" s="457" t="s">
        <v>508</v>
      </c>
      <c r="C20" s="457"/>
      <c r="D20" s="459">
        <f>D18+D19</f>
        <v>22168.60193174061</v>
      </c>
      <c r="E20" s="459">
        <f t="shared" ref="E20:F20" ca="1" si="9">E18+E19</f>
        <v>19391.244406983307</v>
      </c>
      <c r="F20" s="459">
        <f t="shared" ca="1" si="9"/>
        <v>17577.733642905696</v>
      </c>
      <c r="G20" s="433"/>
      <c r="H20" s="433" t="s">
        <v>469</v>
      </c>
      <c r="I20" s="475"/>
      <c r="J20" s="476">
        <f>'Model '!G23</f>
        <v>-221.40000000000009</v>
      </c>
      <c r="K20" s="476">
        <f>'Model '!H23</f>
        <v>-294.60000000000036</v>
      </c>
      <c r="L20" s="519">
        <f>'Model '!I23</f>
        <v>-365.80000000000018</v>
      </c>
      <c r="M20" s="476">
        <f>'Model '!N23</f>
        <v>-454.06477135207552</v>
      </c>
      <c r="N20" s="476">
        <f>'Model '!O23</f>
        <v>-541.27643257393197</v>
      </c>
      <c r="O20" s="476">
        <f>'Model '!P23</f>
        <v>-626.41270893296632</v>
      </c>
      <c r="P20" s="476">
        <f>'Model '!Q23</f>
        <v>-706.79463010306608</v>
      </c>
      <c r="Q20" s="476">
        <f>'Model '!R23</f>
        <v>-784.53246443324019</v>
      </c>
      <c r="R20" s="476">
        <f>'Model '!S23</f>
        <v>-859.08003668989193</v>
      </c>
      <c r="S20" s="476">
        <f>'Model '!T23</f>
        <v>-929.84698663390361</v>
      </c>
      <c r="T20" s="476">
        <f>'Model '!U23</f>
        <v>-996.19602342381734</v>
      </c>
      <c r="U20" s="433"/>
      <c r="V20" s="477">
        <f>(M20/K20)^(1/2)-1</f>
        <v>0.24148801963301736</v>
      </c>
      <c r="W20" s="477">
        <f>(O20/N20)-1</f>
        <v>0.15728797936792804</v>
      </c>
      <c r="X20" s="477">
        <f>(S20/N20)^(1/5)-1</f>
        <v>0.11429061818319664</v>
      </c>
      <c r="AD20" s="474">
        <v>6</v>
      </c>
      <c r="AE20" s="571">
        <v>0.15341889810390463</v>
      </c>
      <c r="AF20" s="544">
        <v>0.10905246905875376</v>
      </c>
      <c r="AG20" s="539">
        <v>7.3198874615908682E-2</v>
      </c>
      <c r="AH20" s="544">
        <v>4.3279839936984699E-2</v>
      </c>
      <c r="AI20" s="576">
        <v>1.7715237949632368E-2</v>
      </c>
    </row>
    <row r="21" spans="2:35">
      <c r="B21" s="433" t="s">
        <v>509</v>
      </c>
      <c r="C21" s="433"/>
      <c r="D21" s="442">
        <f>$D$45</f>
        <v>5000</v>
      </c>
      <c r="E21" s="442">
        <f t="shared" ref="E21:F21" si="10">$D$45</f>
        <v>5000</v>
      </c>
      <c r="F21" s="442">
        <f t="shared" si="10"/>
        <v>5000</v>
      </c>
      <c r="G21" s="433"/>
      <c r="H21" s="478" t="s">
        <v>510</v>
      </c>
      <c r="I21" s="479"/>
      <c r="J21" s="520">
        <f>-J20/J19</f>
        <v>7.0245573957738464E-2</v>
      </c>
      <c r="K21" s="520">
        <f t="shared" ref="K21:T21" si="11">-K20/K19</f>
        <v>6.4899874429978271E-2</v>
      </c>
      <c r="L21" s="521">
        <f t="shared" si="11"/>
        <v>6.1519315181379416E-2</v>
      </c>
      <c r="M21" s="520">
        <f t="shared" si="11"/>
        <v>6.1521860474827758E-2</v>
      </c>
      <c r="N21" s="520">
        <f t="shared" si="11"/>
        <v>6.1521860474827758E-2</v>
      </c>
      <c r="O21" s="520">
        <f t="shared" si="11"/>
        <v>6.1521860474827751E-2</v>
      </c>
      <c r="P21" s="520">
        <f t="shared" si="11"/>
        <v>6.1521860474827758E-2</v>
      </c>
      <c r="Q21" s="520">
        <f t="shared" si="11"/>
        <v>6.1521860474827758E-2</v>
      </c>
      <c r="R21" s="520">
        <f t="shared" si="11"/>
        <v>6.1521860474827765E-2</v>
      </c>
      <c r="S21" s="520">
        <f t="shared" si="11"/>
        <v>6.1521860474827758E-2</v>
      </c>
      <c r="T21" s="520">
        <f t="shared" si="11"/>
        <v>6.1521860474827758E-2</v>
      </c>
      <c r="U21" s="433"/>
      <c r="V21" s="481"/>
      <c r="W21" s="481"/>
      <c r="X21" s="481"/>
      <c r="AC21" s="482" t="s">
        <v>511</v>
      </c>
      <c r="AD21" s="474">
        <v>7</v>
      </c>
      <c r="AE21" s="542">
        <v>0.19801697612927649</v>
      </c>
      <c r="AF21" s="539">
        <v>0.15206554100301162</v>
      </c>
      <c r="AG21" s="545">
        <v>0.11491929465275774</v>
      </c>
      <c r="AH21" s="539">
        <v>8.391386914398824E-2</v>
      </c>
      <c r="AI21" s="543">
        <v>5.7415645379547797E-2</v>
      </c>
    </row>
    <row r="22" spans="2:35">
      <c r="B22" s="457" t="s">
        <v>512</v>
      </c>
      <c r="C22" s="457"/>
      <c r="D22" s="459">
        <f>D20+D21</f>
        <v>27168.60193174061</v>
      </c>
      <c r="E22" s="459">
        <f t="shared" ref="E22:F22" ca="1" si="12">E20+E21</f>
        <v>24391.244406983307</v>
      </c>
      <c r="F22" s="459">
        <f t="shared" ca="1" si="12"/>
        <v>22577.733642905696</v>
      </c>
      <c r="G22" s="433"/>
      <c r="H22" s="457" t="s">
        <v>513</v>
      </c>
      <c r="I22" s="483"/>
      <c r="J22" s="484">
        <f>J19-J20</f>
        <v>3373.2000000000003</v>
      </c>
      <c r="K22" s="484">
        <f t="shared" ref="K22:T22" si="13">K19-K20</f>
        <v>4833.9000000000005</v>
      </c>
      <c r="L22" s="522">
        <f t="shared" si="13"/>
        <v>6311.9000000000005</v>
      </c>
      <c r="M22" s="484">
        <f t="shared" si="13"/>
        <v>7834.6083350152776</v>
      </c>
      <c r="N22" s="484">
        <f t="shared" si="13"/>
        <v>9339.3919056162376</v>
      </c>
      <c r="O22" s="484">
        <f t="shared" si="13"/>
        <v>10808.365986975801</v>
      </c>
      <c r="P22" s="484">
        <f t="shared" si="13"/>
        <v>12195.30659394814</v>
      </c>
      <c r="Q22" s="484">
        <f t="shared" si="13"/>
        <v>13536.625108872024</v>
      </c>
      <c r="R22" s="484">
        <f t="shared" si="13"/>
        <v>14822.897614043432</v>
      </c>
      <c r="S22" s="484">
        <f t="shared" si="13"/>
        <v>16043.937806666227</v>
      </c>
      <c r="T22" s="484">
        <f t="shared" si="13"/>
        <v>17188.749625267836</v>
      </c>
      <c r="U22" s="433"/>
      <c r="V22" s="538">
        <f>(M22/K22)^(1/2)-1</f>
        <v>0.27309207368674082</v>
      </c>
      <c r="W22" s="538">
        <f>(O22/N22)-1</f>
        <v>0.15728797936792827</v>
      </c>
      <c r="X22" s="538">
        <f>(S22/N22)^(1/5)-1</f>
        <v>0.11429061818319664</v>
      </c>
      <c r="AD22" s="474">
        <v>8</v>
      </c>
      <c r="AE22" s="571">
        <v>0.23672385994737444</v>
      </c>
      <c r="AF22" s="544">
        <v>0.18939009407772511</v>
      </c>
      <c r="AG22" s="539">
        <v>0.1511170567061102</v>
      </c>
      <c r="AH22" s="544">
        <v>0.11916501013492375</v>
      </c>
      <c r="AI22" s="576">
        <v>9.185354112753541E-2</v>
      </c>
    </row>
    <row r="23" spans="2:35">
      <c r="B23" s="433"/>
      <c r="C23" s="433"/>
      <c r="D23" s="433"/>
      <c r="E23" s="433"/>
      <c r="F23" s="433"/>
      <c r="G23" s="433"/>
      <c r="H23" s="478" t="s">
        <v>514</v>
      </c>
      <c r="I23" s="479"/>
      <c r="J23" s="441"/>
      <c r="K23" s="520">
        <f>K22/J22-1</f>
        <v>0.43303094983991475</v>
      </c>
      <c r="L23" s="523">
        <f t="shared" ref="L23:T23" si="14">L22/K22-1</f>
        <v>0.30575725604584281</v>
      </c>
      <c r="M23" s="520">
        <f t="shared" si="14"/>
        <v>0.24124405250642078</v>
      </c>
      <c r="N23" s="520">
        <f t="shared" si="14"/>
        <v>0.19206876799132622</v>
      </c>
      <c r="O23" s="520">
        <f t="shared" si="14"/>
        <v>0.15728797936792827</v>
      </c>
      <c r="P23" s="520">
        <f t="shared" si="14"/>
        <v>0.12832102545783686</v>
      </c>
      <c r="Q23" s="520">
        <f t="shared" si="14"/>
        <v>0.10998645295145804</v>
      </c>
      <c r="R23" s="520">
        <f t="shared" si="14"/>
        <v>9.5021653833670339E-2</v>
      </c>
      <c r="S23" s="520">
        <f t="shared" si="14"/>
        <v>8.2375269965162756E-2</v>
      </c>
      <c r="T23" s="520">
        <f t="shared" si="14"/>
        <v>7.1354790351153108E-2</v>
      </c>
      <c r="U23" s="433"/>
      <c r="V23" s="433"/>
      <c r="W23" s="433"/>
      <c r="X23" s="433"/>
      <c r="AD23" s="474">
        <v>9</v>
      </c>
      <c r="AE23" s="573">
        <v>0.27104909134509603</v>
      </c>
      <c r="AF23" s="574">
        <v>0.2224849821807755</v>
      </c>
      <c r="AG23" s="541">
        <v>0.18320942683551333</v>
      </c>
      <c r="AH23" s="574">
        <v>0.15041541291032834</v>
      </c>
      <c r="AI23" s="577">
        <v>0.12238078250324902</v>
      </c>
    </row>
    <row r="24" spans="2:35">
      <c r="B24" s="206" t="s">
        <v>515</v>
      </c>
      <c r="C24" s="123"/>
      <c r="D24" s="125">
        <v>47483</v>
      </c>
      <c r="E24" s="125">
        <f>EOMONTH(D24,12)</f>
        <v>47848</v>
      </c>
      <c r="F24" s="125">
        <f>EOMONTH(E24,12)</f>
        <v>48213</v>
      </c>
      <c r="G24" s="433"/>
      <c r="H24" s="433" t="s">
        <v>516</v>
      </c>
      <c r="I24" s="433"/>
      <c r="J24" s="476">
        <f>'Model '!G36</f>
        <v>-2018.4</v>
      </c>
      <c r="K24" s="476">
        <f>'Model '!H36</f>
        <v>-2533.9</v>
      </c>
      <c r="L24" s="519">
        <f>'Model '!I36</f>
        <v>-3267.4</v>
      </c>
      <c r="M24" s="476">
        <f>'Model '!N36</f>
        <v>-3712.4390314066118</v>
      </c>
      <c r="N24" s="476">
        <f ca="1">'Model '!O36</f>
        <v>-4503.0106134468597</v>
      </c>
      <c r="O24" s="476">
        <f ca="1">'Model '!P36</f>
        <v>-5285.5252978761064</v>
      </c>
      <c r="P24" s="476">
        <f ca="1">'Model '!Q36</f>
        <v>-6040.7217413335065</v>
      </c>
      <c r="Q24" s="476">
        <f ca="1">'Model '!R36</f>
        <v>-6778.574307662353</v>
      </c>
      <c r="R24" s="476">
        <f ca="1">'Model '!S36</f>
        <v>-7494.5142260545808</v>
      </c>
      <c r="S24" s="476">
        <f ca="1">'Model '!T36</f>
        <v>-8183.5879718724536</v>
      </c>
      <c r="T24" s="476">
        <f ca="1">'Model '!U36</f>
        <v>-8840.4328206747068</v>
      </c>
      <c r="U24" s="433"/>
      <c r="V24" s="477">
        <f>(M24/K24)^(1/2)-1</f>
        <v>0.21041676214201388</v>
      </c>
      <c r="W24" s="477">
        <f ca="1">(O24/N24)-1</f>
        <v>0.17377589164291707</v>
      </c>
      <c r="X24" s="477">
        <f ca="1">(S24/N24)^(1/5)-1</f>
        <v>0.12690720849677195</v>
      </c>
      <c r="AE24" s="433"/>
    </row>
    <row r="25" spans="2:35">
      <c r="G25" s="433"/>
      <c r="H25" s="440" t="s">
        <v>517</v>
      </c>
      <c r="I25" s="455"/>
      <c r="J25" s="256">
        <f>J22+J24</f>
        <v>1354.8000000000002</v>
      </c>
      <c r="K25" s="256">
        <f t="shared" ref="K25:T25" si="15">K22+K24</f>
        <v>2300.0000000000005</v>
      </c>
      <c r="L25" s="257">
        <f t="shared" si="15"/>
        <v>3044.5000000000005</v>
      </c>
      <c r="M25" s="256">
        <f t="shared" si="15"/>
        <v>4122.1693036086654</v>
      </c>
      <c r="N25" s="256">
        <f t="shared" ca="1" si="15"/>
        <v>4836.381292169378</v>
      </c>
      <c r="O25" s="256">
        <f t="shared" ca="1" si="15"/>
        <v>5522.8406890996948</v>
      </c>
      <c r="P25" s="256">
        <f t="shared" ca="1" si="15"/>
        <v>6154.5848526146337</v>
      </c>
      <c r="Q25" s="256">
        <f t="shared" ca="1" si="15"/>
        <v>6758.0508012096707</v>
      </c>
      <c r="R25" s="256">
        <f t="shared" ca="1" si="15"/>
        <v>7328.3833879888507</v>
      </c>
      <c r="S25" s="256">
        <f t="shared" ca="1" si="15"/>
        <v>7860.349834793773</v>
      </c>
      <c r="T25" s="256">
        <f t="shared" ca="1" si="15"/>
        <v>8348.3168045931288</v>
      </c>
      <c r="U25" s="433"/>
      <c r="V25" s="477">
        <f>(M25/K25)^(1/2)-1</f>
        <v>0.33874849143075236</v>
      </c>
      <c r="W25" s="477">
        <f ca="1">(O25/N25)-1</f>
        <v>0.14193657519140768</v>
      </c>
      <c r="X25" s="477">
        <f ca="1">(S25/N25)^(1/5)-1</f>
        <v>0.10200678522474838</v>
      </c>
      <c r="AE25" s="467" t="s">
        <v>504</v>
      </c>
      <c r="AF25" s="468"/>
      <c r="AG25" s="468"/>
      <c r="AH25" s="468"/>
      <c r="AI25" s="468"/>
    </row>
    <row r="26" spans="2:35">
      <c r="B26" s="433" t="s">
        <v>492</v>
      </c>
      <c r="C26" s="433"/>
      <c r="D26" s="452">
        <f ca="1">D30/Q22</f>
        <v>4.0892881373073822</v>
      </c>
      <c r="E26" s="452">
        <f t="shared" ref="E26:F26" ca="1" si="16">E30/R22</f>
        <v>3.7344358652550715</v>
      </c>
      <c r="F26" s="452">
        <f t="shared" ca="1" si="16"/>
        <v>3.4502228283313126</v>
      </c>
      <c r="G26" s="433"/>
      <c r="H26" s="478" t="s">
        <v>518</v>
      </c>
      <c r="I26" s="479"/>
      <c r="J26" s="520">
        <f>J25/J22</f>
        <v>0.40163642831732482</v>
      </c>
      <c r="K26" s="520">
        <f t="shared" ref="K26:T26" si="17">K25/K22</f>
        <v>0.4758062847804051</v>
      </c>
      <c r="L26" s="524">
        <f t="shared" si="17"/>
        <v>0.48234287615456523</v>
      </c>
      <c r="M26" s="520">
        <f t="shared" si="17"/>
        <v>0.52614873996769196</v>
      </c>
      <c r="N26" s="520">
        <f t="shared" ca="1" si="17"/>
        <v>0.51784755806863858</v>
      </c>
      <c r="O26" s="520">
        <f t="shared" ca="1" si="17"/>
        <v>0.51097831954939144</v>
      </c>
      <c r="P26" s="520">
        <f t="shared" ca="1" si="17"/>
        <v>0.50466831688092328</v>
      </c>
      <c r="Q26" s="520">
        <f t="shared" ca="1" si="17"/>
        <v>0.49924192676211326</v>
      </c>
      <c r="R26" s="520">
        <f t="shared" ca="1" si="17"/>
        <v>0.49439614161848033</v>
      </c>
      <c r="S26" s="520">
        <f t="shared" ca="1" si="17"/>
        <v>0.48992647126367023</v>
      </c>
      <c r="T26" s="520">
        <f t="shared" ca="1" si="17"/>
        <v>0.48568493849726696</v>
      </c>
      <c r="U26" s="433"/>
      <c r="V26" s="433"/>
      <c r="W26" s="433"/>
      <c r="X26" s="433"/>
      <c r="AD26" s="553">
        <f ca="1">W10</f>
        <v>0.70034857421542218</v>
      </c>
      <c r="AE26" s="474">
        <v>5</v>
      </c>
      <c r="AF26" s="474">
        <v>6</v>
      </c>
      <c r="AG26" s="474">
        <v>7</v>
      </c>
      <c r="AH26" s="474">
        <v>8</v>
      </c>
      <c r="AI26" s="474">
        <v>9</v>
      </c>
    </row>
    <row r="27" spans="2:35">
      <c r="B27" s="433" t="s">
        <v>494</v>
      </c>
      <c r="C27" s="433"/>
      <c r="D27" s="452">
        <f ca="1">D30/Q28</f>
        <v>7.7010979521588547</v>
      </c>
      <c r="E27" s="456">
        <v>7</v>
      </c>
      <c r="F27" s="452">
        <f ca="1">F30/S28</f>
        <v>6.4433929025251571</v>
      </c>
      <c r="G27" s="433"/>
      <c r="H27" s="433" t="s">
        <v>466</v>
      </c>
      <c r="I27" s="433"/>
      <c r="J27" s="476">
        <f>'Model '!G42</f>
        <v>-653.20000000000005</v>
      </c>
      <c r="K27" s="476">
        <f>'Model '!H42</f>
        <v>-664.9</v>
      </c>
      <c r="L27" s="519">
        <f>'Model '!I42</f>
        <v>-1050.0999999999999</v>
      </c>
      <c r="M27" s="476">
        <f>'Model '!N42</f>
        <v>-1322.165346019563</v>
      </c>
      <c r="N27" s="476">
        <f>'Model '!O42</f>
        <v>-1561.4204186418513</v>
      </c>
      <c r="O27" s="476">
        <f>'Model '!P42</f>
        <v>-1794.9940033483156</v>
      </c>
      <c r="P27" s="476">
        <f>'Model '!Q42</f>
        <v>-2015.460998785705</v>
      </c>
      <c r="Q27" s="476">
        <f>'Model '!R42</f>
        <v>-2228.8211781698046</v>
      </c>
      <c r="R27" s="476">
        <f>'Model '!S42</f>
        <v>-2433.5909574986863</v>
      </c>
      <c r="S27" s="476">
        <f>'Model '!T42</f>
        <v>-2628.1665465216406</v>
      </c>
      <c r="T27" s="476">
        <f>'Model '!U42</f>
        <v>-2810.8164745495314</v>
      </c>
      <c r="U27" s="433"/>
      <c r="V27" s="477">
        <f>(M27/K27)^(1/2)-1</f>
        <v>0.41014807401370179</v>
      </c>
      <c r="W27" s="477">
        <f>(O27/N27)-1</f>
        <v>0.1495904510520174</v>
      </c>
      <c r="X27" s="477">
        <f>(S27/N27)^(1/5)-1</f>
        <v>0.10975371035885306</v>
      </c>
      <c r="AD27" s="474">
        <v>5</v>
      </c>
      <c r="AE27" s="578">
        <f t="dataTable" ref="AE27:AI31" dt2D="1" dtr="1" r1="D14" r2="E27" ca="1"/>
        <v>0.58613565938067147</v>
      </c>
      <c r="AF27" s="579">
        <v>0.31249325598136801</v>
      </c>
      <c r="AG27" s="546">
        <v>0.11937676740677987</v>
      </c>
      <c r="AH27" s="579">
        <v>-2.4199688241974934E-2</v>
      </c>
      <c r="AI27" s="580">
        <v>-0.13513170664580015</v>
      </c>
    </row>
    <row r="28" spans="2:35">
      <c r="B28" s="433" t="s">
        <v>519</v>
      </c>
      <c r="C28" s="433"/>
      <c r="D28" s="452">
        <f ca="1">D32/Q34</f>
        <v>39.088966899753615</v>
      </c>
      <c r="E28" s="452">
        <f t="shared" ref="E28:F28" ca="1" si="18">E32/R34</f>
        <v>34.898714842481439</v>
      </c>
      <c r="F28" s="452">
        <f t="shared" ca="1" si="18"/>
        <v>32.482258245508952</v>
      </c>
      <c r="G28" s="433"/>
      <c r="H28" s="486" t="s">
        <v>520</v>
      </c>
      <c r="I28" s="487"/>
      <c r="J28" s="488">
        <f>'Model '!G80</f>
        <v>1167.7</v>
      </c>
      <c r="K28" s="488">
        <f>'Model '!H80</f>
        <v>2202.3000000000002</v>
      </c>
      <c r="L28" s="525">
        <f>'Model '!I80</f>
        <v>2675.9</v>
      </c>
      <c r="M28" s="488">
        <f>'Model '!N80</f>
        <v>3997.5100676730676</v>
      </c>
      <c r="N28" s="488">
        <f ca="1">'Model '!O80</f>
        <v>4839.5201712952448</v>
      </c>
      <c r="O28" s="488">
        <f ca="1">'Model '!P80</f>
        <v>5660.1997983544989</v>
      </c>
      <c r="P28" s="488">
        <f ca="1">'Model '!Q80</f>
        <v>6436.9611657674923</v>
      </c>
      <c r="Q28" s="488">
        <f ca="1">'Model '!R80</f>
        <v>7187.9569407852896</v>
      </c>
      <c r="R28" s="488">
        <f ca="1">'Model '!S80</f>
        <v>7907.8800681268031</v>
      </c>
      <c r="S28" s="488">
        <f ca="1">'Model '!T80</f>
        <v>8590.995662424064</v>
      </c>
      <c r="T28" s="488">
        <f ca="1">'Model '!U80</f>
        <v>9231.1144723541711</v>
      </c>
      <c r="U28" s="433"/>
      <c r="V28" s="554">
        <f>(M28/K28)^(1/2)-1</f>
        <v>0.34727590769784289</v>
      </c>
      <c r="W28" s="554">
        <f ca="1">(O28/N28)-1</f>
        <v>0.16957871813965553</v>
      </c>
      <c r="X28" s="554">
        <f ca="1">(S28/N28)^(1/5)-1</f>
        <v>0.12162644194538275</v>
      </c>
      <c r="Y28" s="473"/>
      <c r="AD28" s="474">
        <v>6</v>
      </c>
      <c r="AE28" s="584">
        <v>0.99774867776089593</v>
      </c>
      <c r="AF28" s="547">
        <v>0.65309420489964876</v>
      </c>
      <c r="AG28" s="548">
        <v>0.409862670811101</v>
      </c>
      <c r="AH28" s="547">
        <v>0.22902714597213977</v>
      </c>
      <c r="AI28" s="585">
        <v>8.9307512423189933E-2</v>
      </c>
    </row>
    <row r="29" spans="2:35">
      <c r="B29" s="433"/>
      <c r="C29" s="461"/>
      <c r="D29" s="461"/>
      <c r="E29" s="461"/>
      <c r="F29" s="461"/>
      <c r="G29" s="433"/>
      <c r="H29" s="478" t="s">
        <v>521</v>
      </c>
      <c r="I29" s="479"/>
      <c r="J29" s="520">
        <f>J28/J22</f>
        <v>0.34616980908336298</v>
      </c>
      <c r="K29" s="520">
        <f t="shared" ref="K29:T29" si="19">K28/K22</f>
        <v>0.45559486129212434</v>
      </c>
      <c r="L29" s="524">
        <f t="shared" si="19"/>
        <v>0.42394524628083458</v>
      </c>
      <c r="M29" s="520">
        <f t="shared" si="19"/>
        <v>0.5102373847850139</v>
      </c>
      <c r="N29" s="520">
        <f t="shared" ca="1" si="19"/>
        <v>0.51818364837918429</v>
      </c>
      <c r="O29" s="520">
        <f t="shared" ca="1" si="19"/>
        <v>0.52368691115522004</v>
      </c>
      <c r="P29" s="520">
        <f t="shared" ca="1" si="19"/>
        <v>0.52782282398392522</v>
      </c>
      <c r="Q29" s="520">
        <f t="shared" ca="1" si="19"/>
        <v>0.53100066545199953</v>
      </c>
      <c r="R29" s="520">
        <f t="shared" ca="1" si="19"/>
        <v>0.53349083789358165</v>
      </c>
      <c r="S29" s="520">
        <f t="shared" ca="1" si="19"/>
        <v>0.53546677666966036</v>
      </c>
      <c r="T29" s="520">
        <f t="shared" ca="1" si="19"/>
        <v>0.53704397781117441</v>
      </c>
      <c r="U29" s="433"/>
      <c r="V29" s="433"/>
      <c r="W29" s="433"/>
      <c r="X29" s="433"/>
      <c r="AC29" s="482" t="s">
        <v>511</v>
      </c>
      <c r="AD29" s="474">
        <v>7</v>
      </c>
      <c r="AE29" s="549">
        <v>1.4093616961411204</v>
      </c>
      <c r="AF29" s="548">
        <v>0.99369515381792917</v>
      </c>
      <c r="AG29" s="550">
        <v>0.70034857421542218</v>
      </c>
      <c r="AH29" s="548">
        <v>0.48225398018625448</v>
      </c>
      <c r="AI29" s="551">
        <v>0.31374673149218002</v>
      </c>
    </row>
    <row r="30" spans="2:35">
      <c r="B30" s="433" t="s">
        <v>505</v>
      </c>
      <c r="C30" s="433"/>
      <c r="D30" s="442">
        <f ca="1">E30</f>
        <v>55355.16047688762</v>
      </c>
      <c r="E30" s="442">
        <f ca="1">E27*R28</f>
        <v>55355.16047688762</v>
      </c>
      <c r="F30" s="489">
        <f ca="1">E30</f>
        <v>55355.16047688762</v>
      </c>
      <c r="G30" s="433"/>
      <c r="H30" s="433" t="s">
        <v>253</v>
      </c>
      <c r="I30" s="475"/>
      <c r="J30" s="476">
        <f>-'Model '!G72</f>
        <v>-902.3</v>
      </c>
      <c r="K30" s="476">
        <f>-'Model '!H72</f>
        <v>-1157.4000000000001</v>
      </c>
      <c r="L30" s="471">
        <f>-'Model '!I72</f>
        <v>-1412.3</v>
      </c>
      <c r="M30" s="476">
        <f>'Model '!N72</f>
        <v>-2105.6356527881162</v>
      </c>
      <c r="N30" s="476">
        <f>'Model '!O72</f>
        <v>-2647.1121629155814</v>
      </c>
      <c r="O30" s="476">
        <f>'Model '!P72</f>
        <v>-3185.1785304690534</v>
      </c>
      <c r="P30" s="476">
        <f>'Model '!Q72</f>
        <v>-3711.426572144695</v>
      </c>
      <c r="Q30" s="476">
        <f>'Model '!R72</f>
        <v>-4227.7922466119026</v>
      </c>
      <c r="R30" s="476">
        <f>'Model '!S72</f>
        <v>-4731.2477110164209</v>
      </c>
      <c r="S30" s="476">
        <f>'Model '!T72</f>
        <v>-5218.5063474197386</v>
      </c>
      <c r="T30" s="476">
        <f>'Model '!U72</f>
        <v>-5686.0061891582091</v>
      </c>
      <c r="U30" s="433"/>
      <c r="V30" s="477"/>
      <c r="W30" s="477"/>
      <c r="X30" s="477"/>
      <c r="AD30" s="474">
        <v>8</v>
      </c>
      <c r="AE30" s="584">
        <v>1.8209747145213446</v>
      </c>
      <c r="AF30" s="547">
        <v>1.3342961027362097</v>
      </c>
      <c r="AG30" s="548">
        <v>0.99083447761974341</v>
      </c>
      <c r="AH30" s="547">
        <v>0.73548081440036883</v>
      </c>
      <c r="AI30" s="585">
        <v>0.53818595056116991</v>
      </c>
    </row>
    <row r="31" spans="2:35">
      <c r="B31" s="433" t="s">
        <v>506</v>
      </c>
      <c r="C31" s="433"/>
      <c r="D31" s="536">
        <f ca="1">E31</f>
        <v>-12220.65019239858</v>
      </c>
      <c r="E31" s="442">
        <f ca="1">-R38</f>
        <v>-12220.65019239858</v>
      </c>
      <c r="F31" s="442">
        <f ca="1">E31</f>
        <v>-12220.65019239858</v>
      </c>
      <c r="G31" s="433"/>
      <c r="H31" s="433" t="s">
        <v>522</v>
      </c>
      <c r="I31" s="490"/>
      <c r="J31" s="476">
        <f>'Model '!G55</f>
        <v>-347.7</v>
      </c>
      <c r="K31" s="476">
        <f>'Model '!H55</f>
        <v>-473.3</v>
      </c>
      <c r="L31" s="471">
        <f>'Model '!I55</f>
        <v>-767.3</v>
      </c>
      <c r="M31" s="476">
        <f>'Model '!N55</f>
        <v>-1491.348843897571</v>
      </c>
      <c r="N31" s="476">
        <f ca="1">'Model '!O55</f>
        <v>-1471.2006840501874</v>
      </c>
      <c r="O31" s="476">
        <f ca="1">'Model '!P55</f>
        <v>-1517.0209621398126</v>
      </c>
      <c r="P31" s="476">
        <f ca="1">'Model '!Q55</f>
        <v>-1606.6694577211165</v>
      </c>
      <c r="Q31" s="476">
        <f ca="1">'Model '!R55</f>
        <v>-1716.884424044064</v>
      </c>
      <c r="R31" s="476">
        <f ca="1">'Model '!S55</f>
        <v>-1784.0727300422841</v>
      </c>
      <c r="S31" s="476">
        <f ca="1">'Model '!T55</f>
        <v>-1876.3328298584333</v>
      </c>
      <c r="T31" s="476">
        <f ca="1">'Model '!U55</f>
        <v>-1980.848196266729</v>
      </c>
      <c r="U31" s="433"/>
      <c r="V31" s="477"/>
      <c r="W31" s="477"/>
      <c r="X31" s="477"/>
      <c r="AD31" s="474">
        <v>9</v>
      </c>
      <c r="AE31" s="581">
        <v>2.2325877329015689</v>
      </c>
      <c r="AF31" s="582">
        <v>1.6748970516544901</v>
      </c>
      <c r="AG31" s="552">
        <v>1.2813203810240641</v>
      </c>
      <c r="AH31" s="582">
        <v>0.98870764861448357</v>
      </c>
      <c r="AI31" s="583">
        <v>0.76262516963015969</v>
      </c>
    </row>
    <row r="32" spans="2:35">
      <c r="B32" s="457" t="s">
        <v>508</v>
      </c>
      <c r="C32" s="457"/>
      <c r="D32" s="459">
        <f ca="1">SUM(D30:D31)</f>
        <v>43134.510284489043</v>
      </c>
      <c r="E32" s="459">
        <f t="shared" ref="E32:F32" ca="1" si="20">SUM(E30:E31)</f>
        <v>43134.510284489043</v>
      </c>
      <c r="F32" s="459">
        <f t="shared" ca="1" si="20"/>
        <v>43134.510284489043</v>
      </c>
      <c r="G32" s="433"/>
      <c r="H32" s="433" t="s">
        <v>523</v>
      </c>
      <c r="I32" s="490"/>
      <c r="J32" s="476">
        <f>'Model '!G64</f>
        <v>-3.7</v>
      </c>
      <c r="K32" s="476">
        <f>'Model '!H64</f>
        <v>472.6</v>
      </c>
      <c r="L32" s="471">
        <f>'Model '!I64</f>
        <v>-55.8</v>
      </c>
      <c r="M32" s="476">
        <f>'Model '!N64</f>
        <v>-45.031889706016173</v>
      </c>
      <c r="N32" s="476">
        <f ca="1">'Model '!O64</f>
        <v>-81.086779563942699</v>
      </c>
      <c r="O32" s="476">
        <f ca="1">'Model '!P64</f>
        <v>-107.70988728713751</v>
      </c>
      <c r="P32" s="476">
        <f ca="1">'Model '!Q64</f>
        <v>-125.79624135263704</v>
      </c>
      <c r="Q32" s="476">
        <f ca="1">'Model '!R64</f>
        <v>-139.78448332302281</v>
      </c>
      <c r="R32" s="476">
        <f ca="1">'Model '!S64</f>
        <v>-156.56825950110795</v>
      </c>
      <c r="S32" s="476">
        <f ca="1">'Model '!T64</f>
        <v>-168.21586111452902</v>
      </c>
      <c r="T32" s="476">
        <f ca="1">'Model '!U64</f>
        <v>-175.87288505067741</v>
      </c>
      <c r="U32" s="433"/>
      <c r="V32" s="477"/>
      <c r="W32" s="477"/>
      <c r="X32" s="477"/>
      <c r="AE32" s="433"/>
    </row>
    <row r="33" spans="2:31">
      <c r="B33" s="461"/>
      <c r="C33" s="461"/>
      <c r="D33" s="461"/>
      <c r="E33" s="461"/>
      <c r="F33" s="461"/>
      <c r="G33" s="433"/>
      <c r="H33" s="478" t="s">
        <v>470</v>
      </c>
      <c r="I33" s="475"/>
      <c r="J33" s="520">
        <f>-J32/(J28+J30)</f>
        <v>1.3941220798794269E-2</v>
      </c>
      <c r="K33" s="520">
        <f t="shared" ref="K33:T33" si="21">-K32/(K28+K30)</f>
        <v>-0.45229208536702076</v>
      </c>
      <c r="L33" s="521">
        <f t="shared" si="21"/>
        <v>4.4159544159544151E-2</v>
      </c>
      <c r="M33" s="520">
        <f t="shared" si="21"/>
        <v>2.3802790159702356E-2</v>
      </c>
      <c r="N33" s="520">
        <f t="shared" ca="1" si="21"/>
        <v>3.6985259702582124E-2</v>
      </c>
      <c r="O33" s="520">
        <f t="shared" ca="1" si="21"/>
        <v>4.3518772418129695E-2</v>
      </c>
      <c r="P33" s="520">
        <f t="shared" ca="1" si="21"/>
        <v>4.6154703611898724E-2</v>
      </c>
      <c r="Q33" s="520">
        <f t="shared" ca="1" si="21"/>
        <v>4.7221860188443675E-2</v>
      </c>
      <c r="R33" s="520">
        <f t="shared" ca="1" si="21"/>
        <v>4.928749754457893E-2</v>
      </c>
      <c r="S33" s="520">
        <f t="shared" ca="1" si="21"/>
        <v>4.9878841829425716E-2</v>
      </c>
      <c r="T33" s="520">
        <f t="shared" ca="1" si="21"/>
        <v>4.9610017805189768E-2</v>
      </c>
      <c r="U33" s="433"/>
      <c r="V33" s="481"/>
      <c r="W33" s="481"/>
      <c r="X33" s="481"/>
      <c r="AE33" s="433"/>
    </row>
    <row r="34" spans="2:31">
      <c r="B34" s="206" t="s">
        <v>524</v>
      </c>
      <c r="C34" s="123"/>
      <c r="D34" s="491"/>
      <c r="E34" s="491" t="s">
        <v>525</v>
      </c>
      <c r="F34" s="491" t="s">
        <v>526</v>
      </c>
      <c r="G34" s="433"/>
      <c r="H34" s="457" t="s">
        <v>431</v>
      </c>
      <c r="I34" s="483"/>
      <c r="J34" s="484">
        <f>J28+J30+J31+J32</f>
        <v>-85.999999999999901</v>
      </c>
      <c r="K34" s="484">
        <f t="shared" ref="K34:T34" si="22">K28+K30+K31+K32</f>
        <v>1044.2000000000003</v>
      </c>
      <c r="L34" s="522">
        <f t="shared" si="22"/>
        <v>440.50000000000017</v>
      </c>
      <c r="M34" s="484">
        <f t="shared" si="22"/>
        <v>355.49368128136427</v>
      </c>
      <c r="N34" s="484">
        <f t="shared" ca="1" si="22"/>
        <v>640.12054476553328</v>
      </c>
      <c r="O34" s="484">
        <f t="shared" ca="1" si="22"/>
        <v>850.29041845849542</v>
      </c>
      <c r="P34" s="484">
        <f t="shared" ca="1" si="22"/>
        <v>993.06889454904376</v>
      </c>
      <c r="Q34" s="484">
        <f t="shared" ca="1" si="22"/>
        <v>1103.4957868063002</v>
      </c>
      <c r="R34" s="484">
        <f t="shared" ca="1" si="22"/>
        <v>1235.99136756699</v>
      </c>
      <c r="S34" s="484">
        <f t="shared" ca="1" si="22"/>
        <v>1327.9406240313631</v>
      </c>
      <c r="T34" s="484">
        <f t="shared" ca="1" si="22"/>
        <v>1388.3872018785555</v>
      </c>
      <c r="U34" s="433"/>
      <c r="V34" s="555"/>
      <c r="W34" s="555"/>
      <c r="X34" s="555"/>
      <c r="AE34" s="433"/>
    </row>
    <row r="35" spans="2:31">
      <c r="B35" s="433" t="s">
        <v>527</v>
      </c>
      <c r="C35" s="433"/>
      <c r="D35" s="492"/>
      <c r="E35" s="492">
        <v>1</v>
      </c>
      <c r="F35" s="477">
        <f>E35-F36</f>
        <v>0.815964030369977</v>
      </c>
      <c r="G35" s="433"/>
      <c r="H35" s="478" t="s">
        <v>528</v>
      </c>
      <c r="I35" s="479"/>
      <c r="J35" s="480">
        <f>J34/J22</f>
        <v>-2.5495078856871783E-2</v>
      </c>
      <c r="K35" s="480">
        <f t="shared" ref="K35:T35" si="23">K34/K22</f>
        <v>0.21601605329030393</v>
      </c>
      <c r="L35" s="526">
        <f t="shared" si="23"/>
        <v>6.9788811609816398E-2</v>
      </c>
      <c r="M35" s="480">
        <f t="shared" si="23"/>
        <v>4.5374786598144735E-2</v>
      </c>
      <c r="N35" s="480">
        <f t="shared" ca="1" si="23"/>
        <v>6.853985261937634E-2</v>
      </c>
      <c r="O35" s="480">
        <f t="shared" ca="1" si="23"/>
        <v>7.8669654551215662E-2</v>
      </c>
      <c r="P35" s="480">
        <f t="shared" ca="1" si="23"/>
        <v>8.1430416439210243E-2</v>
      </c>
      <c r="Q35" s="480">
        <f t="shared" ca="1" si="23"/>
        <v>8.1519269236691741E-2</v>
      </c>
      <c r="R35" s="480">
        <f t="shared" ca="1" si="23"/>
        <v>8.3383923963422216E-2</v>
      </c>
      <c r="S35" s="480">
        <f t="shared" ca="1" si="23"/>
        <v>8.2768995992966651E-2</v>
      </c>
      <c r="T35" s="480">
        <f t="shared" ca="1" si="23"/>
        <v>8.0773019105333646E-2</v>
      </c>
      <c r="U35" s="433"/>
      <c r="AE35" s="433"/>
    </row>
    <row r="36" spans="2:31">
      <c r="B36" s="433" t="s">
        <v>529</v>
      </c>
      <c r="C36" s="433"/>
      <c r="D36" s="492"/>
      <c r="E36" s="493">
        <v>0</v>
      </c>
      <c r="F36" s="494">
        <f>(D44+D45)/D22</f>
        <v>0.18403596963002303</v>
      </c>
      <c r="G36" s="433"/>
      <c r="H36" s="495" t="s">
        <v>205</v>
      </c>
      <c r="I36" s="495"/>
      <c r="J36" s="496"/>
      <c r="K36" s="496"/>
      <c r="L36" s="497"/>
      <c r="M36" s="496"/>
      <c r="N36" s="496"/>
      <c r="O36" s="496"/>
      <c r="P36" s="496"/>
      <c r="Q36" s="496"/>
      <c r="R36" s="496"/>
      <c r="S36" s="496"/>
      <c r="T36" s="496"/>
      <c r="U36" s="433"/>
      <c r="V36" s="433"/>
      <c r="W36" s="433"/>
      <c r="X36" s="433"/>
      <c r="AE36" s="433"/>
    </row>
    <row r="37" spans="2:31">
      <c r="B37" s="457" t="s">
        <v>530</v>
      </c>
      <c r="C37" s="457"/>
      <c r="D37" s="485"/>
      <c r="E37" s="485">
        <f>SUM(E35:E36)</f>
        <v>1</v>
      </c>
      <c r="F37" s="485">
        <f>SUM(F35:F36)</f>
        <v>1</v>
      </c>
      <c r="G37" s="433"/>
      <c r="L37" s="498"/>
      <c r="U37" s="433"/>
      <c r="V37" s="433"/>
      <c r="W37" s="433"/>
      <c r="X37" s="433"/>
      <c r="AE37" s="433"/>
    </row>
    <row r="38" spans="2:31">
      <c r="B38" s="461"/>
      <c r="C38" s="461"/>
      <c r="D38" s="461"/>
      <c r="E38" s="461"/>
      <c r="F38" s="461"/>
      <c r="G38" s="433"/>
      <c r="H38" s="499" t="s">
        <v>531</v>
      </c>
      <c r="I38" s="499"/>
      <c r="J38" s="500">
        <f>'Build-Up'!I417</f>
        <v>449.89999999999964</v>
      </c>
      <c r="K38" s="500">
        <f>'Build-Up'!J417</f>
        <v>1122.3999999999996</v>
      </c>
      <c r="L38" s="501">
        <f>'Build-Up'!K417</f>
        <v>2826.4999999999991</v>
      </c>
      <c r="M38" s="500">
        <f>'Build-Up'!L417</f>
        <v>5813.9685419708621</v>
      </c>
      <c r="N38" s="500">
        <f ca="1">'Build-Up'!M417</f>
        <v>8591.3260667281647</v>
      </c>
      <c r="O38" s="500">
        <f ca="1">'Build-Up'!N417</f>
        <v>10404.836830805776</v>
      </c>
      <c r="P38" s="500">
        <f ca="1">'Build-Up'!O417</f>
        <v>11701.31580680864</v>
      </c>
      <c r="Q38" s="500">
        <f ca="1">'Build-Up'!P417</f>
        <v>12353.135682267801</v>
      </c>
      <c r="R38" s="500">
        <f ca="1">'Build-Up'!Q417</f>
        <v>12220.65019239858</v>
      </c>
      <c r="S38" s="500">
        <f ca="1">'Build-Up'!R417</f>
        <v>11415.328763292166</v>
      </c>
      <c r="T38" s="500">
        <f ca="1">'Build-Up'!S417</f>
        <v>10008.290625735177</v>
      </c>
      <c r="U38" s="433"/>
      <c r="V38" s="433"/>
      <c r="W38" s="502"/>
      <c r="X38" s="502"/>
      <c r="AE38" s="433"/>
    </row>
    <row r="39" spans="2:31">
      <c r="B39" s="206" t="s">
        <v>532</v>
      </c>
      <c r="C39" s="123"/>
      <c r="D39" s="491" t="s">
        <v>307</v>
      </c>
      <c r="E39" s="491" t="s">
        <v>382</v>
      </c>
      <c r="F39" s="491" t="s">
        <v>171</v>
      </c>
      <c r="G39" s="433"/>
      <c r="H39" s="503" t="s">
        <v>533</v>
      </c>
      <c r="I39" s="503"/>
      <c r="J39" s="504">
        <f>'Build-Up'!I418</f>
        <v>0.38528731694784585</v>
      </c>
      <c r="K39" s="504">
        <f>'Build-Up'!J418</f>
        <v>0.50964900331471619</v>
      </c>
      <c r="L39" s="505">
        <f>'Build-Up'!K418</f>
        <v>1.0562801300497024</v>
      </c>
      <c r="M39" s="504">
        <f>'Build-Up'!L418</f>
        <v>1.4543974733139688</v>
      </c>
      <c r="N39" s="535">
        <f ca="1">'Build-Up'!M418</f>
        <v>1.7752433635231217</v>
      </c>
      <c r="O39" s="535">
        <f ca="1">'Build-Up'!N418</f>
        <v>1.838245503953873</v>
      </c>
      <c r="P39" s="535">
        <f ca="1">'Build-Up'!O418</f>
        <v>1.8178322822635</v>
      </c>
      <c r="Q39" s="535">
        <f ca="1">'Build-Up'!P418</f>
        <v>1.7185878802604808</v>
      </c>
      <c r="R39" s="535">
        <f ca="1">'Build-Up'!Q418</f>
        <v>1.5453762686228212</v>
      </c>
      <c r="S39" s="535">
        <f ca="1">'Build-Up'!R418</f>
        <v>1.3287550374657247</v>
      </c>
      <c r="T39" s="535">
        <f ca="1">'Build-Up'!S418</f>
        <v>1.0841909344433474</v>
      </c>
      <c r="AE39" s="433"/>
    </row>
    <row r="40" spans="2:31">
      <c r="B40" s="433" t="s">
        <v>534</v>
      </c>
      <c r="C40" s="433"/>
      <c r="D40" s="442">
        <f>D41</f>
        <v>5010</v>
      </c>
      <c r="E40" s="442">
        <f>E41</f>
        <v>927.77777777777771</v>
      </c>
      <c r="F40" s="477">
        <f>D40/D41</f>
        <v>1</v>
      </c>
      <c r="G40" s="433"/>
      <c r="H40" s="433"/>
      <c r="I40" s="433"/>
      <c r="J40" s="433"/>
      <c r="K40" s="433"/>
      <c r="L40" s="506"/>
      <c r="M40" s="433"/>
      <c r="AE40" s="433"/>
    </row>
    <row r="41" spans="2:31">
      <c r="B41" s="457" t="s">
        <v>535</v>
      </c>
      <c r="C41" s="457"/>
      <c r="D41" s="459">
        <f>D47</f>
        <v>5010</v>
      </c>
      <c r="E41" s="459">
        <f>E47</f>
        <v>927.77777777777771</v>
      </c>
      <c r="F41" s="485">
        <f>F40</f>
        <v>1</v>
      </c>
      <c r="G41" s="433"/>
      <c r="H41" s="206" t="s">
        <v>536</v>
      </c>
      <c r="I41" s="435"/>
      <c r="J41" s="436">
        <v>44926</v>
      </c>
      <c r="K41" s="436">
        <f t="shared" ref="K41:T41" si="24">EOMONTH(J41,12)</f>
        <v>45291</v>
      </c>
      <c r="L41" s="436">
        <f t="shared" si="24"/>
        <v>45657</v>
      </c>
      <c r="M41" s="437">
        <f t="shared" si="24"/>
        <v>46022</v>
      </c>
      <c r="N41" s="437">
        <f t="shared" si="24"/>
        <v>46387</v>
      </c>
      <c r="O41" s="437">
        <f t="shared" si="24"/>
        <v>46752</v>
      </c>
      <c r="P41" s="437">
        <f t="shared" si="24"/>
        <v>47118</v>
      </c>
      <c r="Q41" s="437">
        <f t="shared" si="24"/>
        <v>47483</v>
      </c>
      <c r="R41" s="437">
        <f t="shared" si="24"/>
        <v>47848</v>
      </c>
      <c r="S41" s="437">
        <f t="shared" si="24"/>
        <v>48213</v>
      </c>
      <c r="T41" s="437">
        <f t="shared" si="24"/>
        <v>48579</v>
      </c>
      <c r="AE41" s="433"/>
    </row>
    <row r="42" spans="2:31">
      <c r="B42" s="433"/>
      <c r="C42" s="433"/>
      <c r="D42" s="433"/>
      <c r="E42" s="433"/>
      <c r="F42" s="433"/>
      <c r="G42" s="433"/>
      <c r="H42" s="433"/>
      <c r="I42" s="433"/>
      <c r="J42" s="441"/>
      <c r="K42" s="433"/>
      <c r="L42" s="506"/>
      <c r="M42" s="433"/>
      <c r="N42" s="433"/>
      <c r="O42" s="433"/>
      <c r="P42" s="433"/>
      <c r="Q42" s="433"/>
      <c r="R42" s="433"/>
      <c r="S42" s="433"/>
      <c r="T42" s="433"/>
      <c r="AE42" s="433"/>
    </row>
    <row r="43" spans="2:31">
      <c r="B43" s="206" t="s">
        <v>537</v>
      </c>
      <c r="C43" s="123"/>
      <c r="D43" s="491" t="s">
        <v>307</v>
      </c>
      <c r="E43" s="491" t="s">
        <v>382</v>
      </c>
      <c r="F43" s="491" t="s">
        <v>171</v>
      </c>
      <c r="G43" s="433"/>
      <c r="H43" s="440" t="s">
        <v>467</v>
      </c>
      <c r="I43" s="440"/>
      <c r="J43" s="441"/>
      <c r="K43" s="256">
        <f>K28</f>
        <v>2202.3000000000002</v>
      </c>
      <c r="L43" s="257">
        <f t="shared" ref="L43:T43" si="25">L28</f>
        <v>2675.9</v>
      </c>
      <c r="M43" s="256">
        <f t="shared" si="25"/>
        <v>3997.5100676730676</v>
      </c>
      <c r="N43" s="256">
        <f t="shared" ca="1" si="25"/>
        <v>4839.5201712952448</v>
      </c>
      <c r="O43" s="256">
        <f t="shared" ca="1" si="25"/>
        <v>5660.1997983544989</v>
      </c>
      <c r="P43" s="256">
        <f t="shared" ca="1" si="25"/>
        <v>6436.9611657674923</v>
      </c>
      <c r="Q43" s="256">
        <f t="shared" ca="1" si="25"/>
        <v>7187.9569407852896</v>
      </c>
      <c r="R43" s="256">
        <f t="shared" ca="1" si="25"/>
        <v>7907.8800681268031</v>
      </c>
      <c r="S43" s="256">
        <f t="shared" ca="1" si="25"/>
        <v>8590.995662424064</v>
      </c>
      <c r="T43" s="256">
        <f t="shared" ca="1" si="25"/>
        <v>9231.1144723541711</v>
      </c>
      <c r="AE43" s="433"/>
    </row>
    <row r="44" spans="2:31">
      <c r="B44" s="433" t="s">
        <v>538</v>
      </c>
      <c r="C44" s="433"/>
      <c r="D44" s="507">
        <v>0</v>
      </c>
      <c r="E44" s="442">
        <f>D44/$D$9</f>
        <v>0</v>
      </c>
      <c r="F44" s="477">
        <f>D44/$D$47</f>
        <v>0</v>
      </c>
      <c r="G44" s="433"/>
      <c r="H44" s="433" t="s">
        <v>469</v>
      </c>
      <c r="I44" s="433"/>
      <c r="J44" s="441"/>
      <c r="K44" s="476">
        <f>'Model '!H138</f>
        <v>-121.09999999999991</v>
      </c>
      <c r="L44" s="519">
        <f>'Model '!I138</f>
        <v>-171.00000000000006</v>
      </c>
      <c r="M44" s="476">
        <f>'Model '!N138</f>
        <v>-45.031889706016173</v>
      </c>
      <c r="N44" s="476">
        <f ca="1">'Model '!O138</f>
        <v>-81.086779563942699</v>
      </c>
      <c r="O44" s="476">
        <f ca="1">'Model '!P138</f>
        <v>-107.70988728713751</v>
      </c>
      <c r="P44" s="476">
        <f ca="1">'Model '!Q138</f>
        <v>-125.79624135263704</v>
      </c>
      <c r="Q44" s="476">
        <f ca="1">'Model '!R138</f>
        <v>-139.78448332302281</v>
      </c>
      <c r="R44" s="476">
        <f ca="1">'Model '!S138</f>
        <v>-156.56825950110795</v>
      </c>
      <c r="S44" s="476">
        <f ca="1">'Model '!T138</f>
        <v>-168.21586111452902</v>
      </c>
      <c r="T44" s="476">
        <f ca="1">'Model '!U138</f>
        <v>-175.87288505067741</v>
      </c>
      <c r="AE44" s="433"/>
    </row>
    <row r="45" spans="2:31">
      <c r="B45" s="433" t="s">
        <v>539</v>
      </c>
      <c r="C45" s="433"/>
      <c r="D45" s="508">
        <v>5000</v>
      </c>
      <c r="E45" s="442">
        <f t="shared" ref="E45:E46" si="26">D45/$D$9</f>
        <v>925.92592592592587</v>
      </c>
      <c r="F45" s="477">
        <f t="shared" ref="F45:F46" si="27">D45/$D$47</f>
        <v>0.99800399201596801</v>
      </c>
      <c r="G45" s="433"/>
      <c r="H45" s="433" t="s">
        <v>540</v>
      </c>
      <c r="I45" s="433"/>
      <c r="J45" s="441"/>
      <c r="K45" s="476">
        <f>'Model '!H142</f>
        <v>-15.200000000000003</v>
      </c>
      <c r="L45" s="519">
        <f>'Model '!I142</f>
        <v>-192.60000000000005</v>
      </c>
      <c r="M45" s="476">
        <f>'Model '!N142</f>
        <v>-19.460090028875527</v>
      </c>
      <c r="N45" s="476">
        <f ca="1">'Model '!O142</f>
        <v>8.338782518122656</v>
      </c>
      <c r="O45" s="476">
        <f ca="1">'Model '!P142</f>
        <v>9.6201443826875845</v>
      </c>
      <c r="P45" s="476">
        <f ca="1">'Model '!Q142</f>
        <v>11.326037512961378</v>
      </c>
      <c r="Q45" s="476">
        <f ca="1">'Model '!R142</f>
        <v>12.002473569729531</v>
      </c>
      <c r="R45" s="476">
        <f ca="1">'Model '!S142</f>
        <v>12.681119144329401</v>
      </c>
      <c r="S45" s="476">
        <f ca="1">'Model '!T142</f>
        <v>13.360047798258279</v>
      </c>
      <c r="T45" s="476">
        <f ca="1">'Model '!U142</f>
        <v>14.037138858335808</v>
      </c>
      <c r="U45" s="433"/>
      <c r="V45" s="433"/>
      <c r="W45" s="433"/>
      <c r="X45" s="433"/>
      <c r="Y45" s="433"/>
      <c r="Z45" s="433"/>
      <c r="AA45" s="433"/>
      <c r="AB45" s="433"/>
      <c r="AC45" s="433"/>
      <c r="AD45" s="433"/>
      <c r="AE45" s="433"/>
    </row>
    <row r="46" spans="2:31">
      <c r="B46" s="433" t="s">
        <v>490</v>
      </c>
      <c r="C46" s="433"/>
      <c r="D46" s="509">
        <v>10</v>
      </c>
      <c r="E46" s="442">
        <f t="shared" si="26"/>
        <v>1.8518518518518516</v>
      </c>
      <c r="F46" s="477">
        <f t="shared" si="27"/>
        <v>1.996007984031936E-3</v>
      </c>
      <c r="G46" s="433"/>
      <c r="H46" s="433" t="s">
        <v>541</v>
      </c>
      <c r="I46" s="433"/>
      <c r="J46" s="441"/>
      <c r="K46" s="476">
        <f>'Model '!H149</f>
        <v>-35.400000000000034</v>
      </c>
      <c r="L46" s="471">
        <f>'Model '!I149</f>
        <v>102.80000000000007</v>
      </c>
      <c r="M46" s="476">
        <f>'Model '!N149</f>
        <v>-230.15510649101233</v>
      </c>
      <c r="N46" s="476">
        <f>'Model '!O149</f>
        <v>-107.68433557177462</v>
      </c>
      <c r="O46" s="476">
        <f>'Model '!P149</f>
        <v>-105.12176037394417</v>
      </c>
      <c r="P46" s="476">
        <f>'Model '!Q149</f>
        <v>-99.25133464853306</v>
      </c>
      <c r="Q46" s="476">
        <f>'Model '!R149</f>
        <v>-95.986556400275816</v>
      </c>
      <c r="R46" s="476">
        <f>'Model '!S149</f>
        <v>-92.047389930173438</v>
      </c>
      <c r="S46" s="476">
        <f>'Model '!T149</f>
        <v>-87.379277935966286</v>
      </c>
      <c r="T46" s="476">
        <f>'Model '!U149</f>
        <v>-81.924272998007382</v>
      </c>
      <c r="AA46" s="433"/>
      <c r="AB46" s="433"/>
      <c r="AC46" s="433"/>
      <c r="AD46" s="433"/>
      <c r="AE46" s="433"/>
    </row>
    <row r="47" spans="2:31">
      <c r="B47" s="457" t="s">
        <v>542</v>
      </c>
      <c r="C47" s="457"/>
      <c r="D47" s="510">
        <f>SUM(D44:D46)</f>
        <v>5010</v>
      </c>
      <c r="E47" s="510">
        <f t="shared" ref="E47:F47" si="28">SUM(E44:E46)</f>
        <v>927.77777777777771</v>
      </c>
      <c r="F47" s="510">
        <f t="shared" si="28"/>
        <v>1</v>
      </c>
      <c r="G47" s="433"/>
      <c r="H47" s="511" t="s">
        <v>543</v>
      </c>
      <c r="I47" s="512"/>
      <c r="J47" s="458"/>
      <c r="K47" s="513">
        <f>SUM(K43:K46)</f>
        <v>2030.6000000000004</v>
      </c>
      <c r="L47" s="527">
        <f t="shared" ref="L47:T47" si="29">SUM(L43:L46)</f>
        <v>2415.1000000000004</v>
      </c>
      <c r="M47" s="513">
        <f t="shared" si="29"/>
        <v>3702.8629814471637</v>
      </c>
      <c r="N47" s="513">
        <f t="shared" ca="1" si="29"/>
        <v>4659.0878386776503</v>
      </c>
      <c r="O47" s="513">
        <f t="shared" ca="1" si="29"/>
        <v>5456.9882950761048</v>
      </c>
      <c r="P47" s="513">
        <f t="shared" ca="1" si="29"/>
        <v>6223.239627279283</v>
      </c>
      <c r="Q47" s="513">
        <f t="shared" ca="1" si="29"/>
        <v>6964.1883746317208</v>
      </c>
      <c r="R47" s="513">
        <f t="shared" ca="1" si="29"/>
        <v>7671.9455378398516</v>
      </c>
      <c r="S47" s="513">
        <f t="shared" ca="1" si="29"/>
        <v>8348.7605711718261</v>
      </c>
      <c r="T47" s="513">
        <f t="shared" ca="1" si="29"/>
        <v>8987.3544531638217</v>
      </c>
      <c r="AA47" s="433"/>
      <c r="AB47" s="433"/>
      <c r="AC47" s="433"/>
      <c r="AD47" s="433"/>
      <c r="AE47" s="433"/>
    </row>
    <row r="48" spans="2:31">
      <c r="G48" s="433"/>
      <c r="H48" s="478" t="s">
        <v>544</v>
      </c>
      <c r="I48" s="433"/>
      <c r="J48" s="441"/>
      <c r="K48" s="514">
        <f>K47/K43</f>
        <v>0.92203605321709137</v>
      </c>
      <c r="L48" s="528">
        <f t="shared" ref="L48:T48" si="30">L47/L43</f>
        <v>0.90253746403079349</v>
      </c>
      <c r="M48" s="514">
        <f t="shared" si="30"/>
        <v>0.92629234667633575</v>
      </c>
      <c r="N48" s="514">
        <f t="shared" ca="1" si="30"/>
        <v>0.96271689625599721</v>
      </c>
      <c r="O48" s="514">
        <f t="shared" ca="1" si="30"/>
        <v>0.9640981748846621</v>
      </c>
      <c r="P48" s="514">
        <f t="shared" ca="1" si="30"/>
        <v>0.96679775860311146</v>
      </c>
      <c r="Q48" s="514">
        <f t="shared" ca="1" si="30"/>
        <v>0.96886896123655386</v>
      </c>
      <c r="R48" s="514">
        <f t="shared" ca="1" si="30"/>
        <v>0.97016462967895778</v>
      </c>
      <c r="S48" s="514">
        <f t="shared" ca="1" si="30"/>
        <v>0.97180360684946643</v>
      </c>
      <c r="T48" s="514">
        <f t="shared" ca="1" si="30"/>
        <v>0.97359365221605965</v>
      </c>
      <c r="AA48" s="433"/>
      <c r="AB48" s="433"/>
      <c r="AC48" s="433"/>
      <c r="AD48" s="433"/>
      <c r="AE48" s="433"/>
    </row>
    <row r="49" spans="2:31">
      <c r="B49" s="433"/>
      <c r="C49" s="433"/>
      <c r="D49" s="433"/>
      <c r="E49" s="433"/>
      <c r="F49" s="433"/>
      <c r="G49" s="433"/>
      <c r="H49" s="433" t="s">
        <v>545</v>
      </c>
      <c r="I49" s="433"/>
      <c r="J49" s="441"/>
      <c r="K49" s="476">
        <f>'Model '!H159</f>
        <v>-1603.6999999999998</v>
      </c>
      <c r="L49" s="471">
        <f>'Model '!I159</f>
        <v>-2741.2999999999997</v>
      </c>
      <c r="M49" s="476">
        <f>'Model '!N159</f>
        <v>-3340.2434357111829</v>
      </c>
      <c r="N49" s="476">
        <f>'Model '!O159</f>
        <v>-3365.7902437819857</v>
      </c>
      <c r="O49" s="476">
        <f>'Model '!P159</f>
        <v>-3368.7003560499415</v>
      </c>
      <c r="P49" s="476">
        <f>'Model '!Q159</f>
        <v>-3340.3200095124753</v>
      </c>
      <c r="Q49" s="476">
        <f>'Model '!R159</f>
        <v>-3295.5249128586156</v>
      </c>
      <c r="R49" s="476">
        <f>'Model '!S159</f>
        <v>-3232.8402481274229</v>
      </c>
      <c r="S49" s="476">
        <f>'Model '!T159</f>
        <v>-3150.6954488713968</v>
      </c>
      <c r="T49" s="476">
        <f>'Model '!U159</f>
        <v>-3047.418862738954</v>
      </c>
      <c r="AE49" s="433"/>
    </row>
    <row r="50" spans="2:31">
      <c r="B50" s="433"/>
      <c r="C50" s="433"/>
      <c r="D50" s="433"/>
      <c r="E50" s="433"/>
      <c r="F50" s="433"/>
      <c r="G50" s="433"/>
      <c r="H50" s="511" t="s">
        <v>546</v>
      </c>
      <c r="I50" s="512"/>
      <c r="J50" s="458"/>
      <c r="K50" s="515">
        <f>K47+K49</f>
        <v>426.90000000000055</v>
      </c>
      <c r="L50" s="529">
        <f t="shared" ref="L50:T50" si="31">L47+L49</f>
        <v>-326.19999999999936</v>
      </c>
      <c r="M50" s="515">
        <f t="shared" si="31"/>
        <v>362.61954573598086</v>
      </c>
      <c r="N50" s="515">
        <f t="shared" ca="1" si="31"/>
        <v>1293.2975948956646</v>
      </c>
      <c r="O50" s="515">
        <f t="shared" ca="1" si="31"/>
        <v>2088.2879390261633</v>
      </c>
      <c r="P50" s="515">
        <f t="shared" ca="1" si="31"/>
        <v>2882.9196177668077</v>
      </c>
      <c r="Q50" s="515">
        <f t="shared" ca="1" si="31"/>
        <v>3668.6634617731052</v>
      </c>
      <c r="R50" s="515">
        <f t="shared" ca="1" si="31"/>
        <v>4439.1052897124282</v>
      </c>
      <c r="S50" s="515">
        <f t="shared" ca="1" si="31"/>
        <v>5198.0651223004297</v>
      </c>
      <c r="T50" s="515">
        <f t="shared" ca="1" si="31"/>
        <v>5939.9355904248678</v>
      </c>
      <c r="AE50" s="433"/>
    </row>
    <row r="51" spans="2:31">
      <c r="E51" s="433"/>
      <c r="F51" s="433"/>
      <c r="G51" s="433"/>
      <c r="H51" s="478" t="s">
        <v>544</v>
      </c>
      <c r="I51" s="433"/>
      <c r="J51" s="441"/>
      <c r="K51" s="514">
        <f>K50/K43</f>
        <v>0.19384280070835058</v>
      </c>
      <c r="L51" s="530">
        <f t="shared" ref="L51:T51" si="32">L50/L43</f>
        <v>-0.12190291117007337</v>
      </c>
      <c r="M51" s="514">
        <f t="shared" si="32"/>
        <v>9.0711352716382282E-2</v>
      </c>
      <c r="N51" s="514">
        <f t="shared" ca="1" si="32"/>
        <v>0.26723674023855293</v>
      </c>
      <c r="O51" s="514">
        <f t="shared" ca="1" si="32"/>
        <v>0.36894244256770908</v>
      </c>
      <c r="P51" s="514">
        <f t="shared" ca="1" si="32"/>
        <v>0.44786966140148698</v>
      </c>
      <c r="Q51" s="514">
        <f t="shared" ca="1" si="32"/>
        <v>0.51039029476605369</v>
      </c>
      <c r="R51" s="514">
        <f t="shared" ca="1" si="32"/>
        <v>0.56135212616646968</v>
      </c>
      <c r="S51" s="514">
        <f t="shared" ca="1" si="32"/>
        <v>0.60505968418027656</v>
      </c>
      <c r="T51" s="514">
        <f t="shared" ca="1" si="32"/>
        <v>0.64346895580312657</v>
      </c>
      <c r="AE51" s="433"/>
    </row>
    <row r="52" spans="2:31">
      <c r="B52" s="433"/>
      <c r="C52" s="433"/>
      <c r="D52" s="433"/>
      <c r="E52" s="433"/>
      <c r="F52" s="433"/>
      <c r="G52" s="433"/>
      <c r="H52" s="433" t="s">
        <v>547</v>
      </c>
      <c r="J52" s="441"/>
      <c r="K52" s="476">
        <f>'Model '!H171</f>
        <v>400.00000000000017</v>
      </c>
      <c r="L52" s="471">
        <f>'Model '!I171</f>
        <v>2094.6999999999998</v>
      </c>
      <c r="M52" s="476">
        <f>'Model '!N171</f>
        <v>0</v>
      </c>
      <c r="N52" s="476">
        <f ca="1">'Model '!O171</f>
        <v>818.10080925835643</v>
      </c>
      <c r="O52" s="476">
        <f ca="1">'Model '!P171</f>
        <v>1141.7227728518533</v>
      </c>
      <c r="P52" s="476">
        <f ca="1">'Model '!Q171</f>
        <v>1080.6240498802206</v>
      </c>
      <c r="Q52" s="476">
        <f ca="1">'Model '!R171</f>
        <v>1044.7791688527443</v>
      </c>
      <c r="R52" s="476">
        <f ca="1">'Model '!S171</f>
        <v>1001.5511560020548</v>
      </c>
      <c r="S52" s="476">
        <f ca="1">'Model '!T171</f>
        <v>950.34481761675147</v>
      </c>
      <c r="T52" s="476">
        <f ca="1">'Model '!U171</f>
        <v>890.52804350322185</v>
      </c>
      <c r="U52" s="433"/>
      <c r="V52" s="433"/>
      <c r="W52" s="433"/>
      <c r="X52" s="433"/>
      <c r="Y52" s="433"/>
      <c r="Z52" s="433"/>
      <c r="AA52" s="433"/>
      <c r="AB52" s="433"/>
      <c r="AC52" s="433"/>
      <c r="AD52" s="433"/>
      <c r="AE52" s="433"/>
    </row>
    <row r="53" spans="2:31">
      <c r="B53" s="433"/>
      <c r="C53" s="433"/>
      <c r="D53" s="433"/>
      <c r="E53" s="433"/>
      <c r="F53" s="433"/>
      <c r="G53" s="433"/>
      <c r="H53" s="531" t="s">
        <v>548</v>
      </c>
      <c r="J53" s="441"/>
      <c r="K53" s="476"/>
      <c r="L53" s="471"/>
      <c r="M53" s="476"/>
      <c r="N53" s="476"/>
      <c r="O53" s="476"/>
      <c r="P53" s="476"/>
      <c r="Q53" s="476"/>
      <c r="R53" s="476"/>
      <c r="S53" s="476"/>
      <c r="T53" s="476"/>
      <c r="AA53" s="433"/>
      <c r="AB53" s="433"/>
      <c r="AC53" s="433"/>
      <c r="AD53" s="433"/>
      <c r="AE53" s="433"/>
    </row>
    <row r="54" spans="2:31">
      <c r="B54" s="433"/>
      <c r="C54" s="433"/>
      <c r="D54" s="433"/>
      <c r="E54" s="433"/>
      <c r="F54" s="433"/>
      <c r="G54" s="433"/>
      <c r="H54" s="433" t="s">
        <v>549</v>
      </c>
      <c r="J54" s="441"/>
      <c r="K54" s="476">
        <f>'Model '!H169</f>
        <v>-130.69999999999999</v>
      </c>
      <c r="L54" s="471">
        <f>'Model '!I169</f>
        <v>-339.1</v>
      </c>
      <c r="M54" s="476">
        <f>'Model '!N169</f>
        <v>-718.78282689689104</v>
      </c>
      <c r="N54" s="476">
        <f ca="1">'Model '!O169</f>
        <v>-818.2040578111297</v>
      </c>
      <c r="O54" s="476">
        <f ca="1">'Model '!P169</f>
        <v>-956.95405311140564</v>
      </c>
      <c r="P54" s="476">
        <f ca="1">'Model '!Q169</f>
        <v>-1088.2789118314665</v>
      </c>
      <c r="Q54" s="476">
        <f ca="1">'Model '!R169</f>
        <v>-1215.24765434507</v>
      </c>
      <c r="R54" s="476">
        <f ca="1">'Model '!S169</f>
        <v>-1336.963031748953</v>
      </c>
      <c r="S54" s="476">
        <f ca="1">'Model '!T169</f>
        <v>-1452.4554631109013</v>
      </c>
      <c r="T54" s="476">
        <f ca="1">'Model '!U169</f>
        <v>-1560.6785491252053</v>
      </c>
      <c r="AA54" s="433"/>
      <c r="AB54" s="433"/>
      <c r="AC54" s="433"/>
      <c r="AD54" s="433"/>
      <c r="AE54" s="433"/>
    </row>
    <row r="55" spans="2:31">
      <c r="B55" s="433"/>
      <c r="C55" s="433"/>
      <c r="D55" s="433"/>
      <c r="E55" s="433"/>
      <c r="F55" s="433"/>
      <c r="G55" s="433"/>
      <c r="H55" s="511" t="s">
        <v>550</v>
      </c>
      <c r="I55" s="512"/>
      <c r="J55" s="458"/>
      <c r="K55" s="515">
        <f>K50+SUM(K52:K54)</f>
        <v>696.20000000000073</v>
      </c>
      <c r="L55" s="529">
        <f t="shared" ref="L55:T55" si="33">L50+SUM(L52:L54)</f>
        <v>1429.4000000000005</v>
      </c>
      <c r="M55" s="515">
        <f t="shared" si="33"/>
        <v>-356.16328116091017</v>
      </c>
      <c r="N55" s="515">
        <f t="shared" ca="1" si="33"/>
        <v>1293.1943463428913</v>
      </c>
      <c r="O55" s="515">
        <f t="shared" ca="1" si="33"/>
        <v>2273.0566587666108</v>
      </c>
      <c r="P55" s="515">
        <f t="shared" ca="1" si="33"/>
        <v>2875.2647558155618</v>
      </c>
      <c r="Q55" s="515">
        <f t="shared" ca="1" si="33"/>
        <v>3498.1949762807794</v>
      </c>
      <c r="R55" s="515">
        <f t="shared" ca="1" si="33"/>
        <v>4103.6934139655295</v>
      </c>
      <c r="S55" s="515">
        <f t="shared" ca="1" si="33"/>
        <v>4695.9544768062797</v>
      </c>
      <c r="T55" s="515">
        <f t="shared" ca="1" si="33"/>
        <v>5269.7850848028847</v>
      </c>
      <c r="AA55" s="433"/>
      <c r="AB55" s="433"/>
      <c r="AC55" s="433"/>
      <c r="AD55" s="433"/>
      <c r="AE55" s="433"/>
    </row>
    <row r="56" spans="2:31">
      <c r="B56" s="433"/>
      <c r="C56" s="433"/>
      <c r="D56" s="433"/>
      <c r="E56" s="433"/>
      <c r="F56" s="433"/>
      <c r="G56" s="433"/>
      <c r="H56" s="478" t="s">
        <v>544</v>
      </c>
      <c r="I56" s="433"/>
      <c r="J56" s="441"/>
      <c r="K56" s="514">
        <f>K55/K43</f>
        <v>0.31612405212732175</v>
      </c>
      <c r="L56" s="530">
        <f t="shared" ref="L56:T56" si="34">L55/L43</f>
        <v>0.534175417616503</v>
      </c>
      <c r="M56" s="514">
        <f t="shared" si="34"/>
        <v>-8.9096281217931034E-2</v>
      </c>
      <c r="N56" s="514">
        <f t="shared" ca="1" si="34"/>
        <v>0.26721540577787939</v>
      </c>
      <c r="O56" s="514">
        <f t="shared" ca="1" si="34"/>
        <v>0.40158594038101286</v>
      </c>
      <c r="P56" s="514">
        <f t="shared" ca="1" si="34"/>
        <v>0.44668045709310072</v>
      </c>
      <c r="Q56" s="514">
        <f t="shared" ca="1" si="34"/>
        <v>0.4866744479827948</v>
      </c>
      <c r="R56" s="514">
        <f t="shared" ca="1" si="34"/>
        <v>0.51893723458271934</v>
      </c>
      <c r="S56" s="514">
        <f t="shared" ca="1" si="34"/>
        <v>0.54661353134489343</v>
      </c>
      <c r="T56" s="514">
        <f t="shared" ca="1" si="34"/>
        <v>0.57087203290405675</v>
      </c>
      <c r="AA56" s="433"/>
      <c r="AB56" s="433"/>
      <c r="AC56" s="433"/>
      <c r="AD56" s="433"/>
      <c r="AE56" s="433"/>
    </row>
    <row r="57" spans="2:31" ht="17.25">
      <c r="B57" s="433"/>
      <c r="C57" s="433"/>
      <c r="D57" s="433"/>
      <c r="E57" s="433"/>
      <c r="F57" s="433"/>
      <c r="G57" s="433"/>
      <c r="H57" s="433" t="s">
        <v>427</v>
      </c>
      <c r="I57" s="433"/>
      <c r="J57" s="441"/>
      <c r="K57" s="476">
        <f>'Model '!H181</f>
        <v>0</v>
      </c>
      <c r="L57" s="519">
        <f>'Model '!I181</f>
        <v>0</v>
      </c>
      <c r="M57" s="476">
        <f>'Model '!N181</f>
        <v>0</v>
      </c>
      <c r="N57" s="476">
        <f>'Model '!O181</f>
        <v>0</v>
      </c>
      <c r="O57" s="476">
        <f>'Model '!P181</f>
        <v>0</v>
      </c>
      <c r="P57" s="476">
        <f>'Model '!Q181</f>
        <v>0</v>
      </c>
      <c r="Q57" s="476">
        <f>'Model '!R181</f>
        <v>0</v>
      </c>
      <c r="R57" s="476">
        <f>'Model '!S181</f>
        <v>0</v>
      </c>
      <c r="S57" s="476">
        <f>'Model '!T181</f>
        <v>0</v>
      </c>
      <c r="T57" s="476">
        <f>'Model '!U181</f>
        <v>0</v>
      </c>
      <c r="AA57" s="433"/>
      <c r="AB57" s="466"/>
      <c r="AC57" s="466"/>
      <c r="AD57" s="466"/>
      <c r="AE57" s="433"/>
    </row>
    <row r="58" spans="2:31" ht="17.25">
      <c r="B58" s="433"/>
      <c r="C58" s="433"/>
      <c r="D58" s="433"/>
      <c r="E58" s="433"/>
      <c r="F58" s="433"/>
      <c r="G58" s="433"/>
      <c r="H58" s="433" t="s">
        <v>426</v>
      </c>
      <c r="J58" s="441"/>
      <c r="K58" s="476">
        <f>'Model '!H173</f>
        <v>-236.29999999999956</v>
      </c>
      <c r="L58" s="471">
        <f>'Model '!I173</f>
        <v>-430</v>
      </c>
      <c r="M58" s="476">
        <f>'Model '!N173</f>
        <v>-284.39494502509126</v>
      </c>
      <c r="N58" s="476">
        <f ca="1">'Model '!O173</f>
        <v>-512.09643581242665</v>
      </c>
      <c r="O58" s="476">
        <f ca="1">'Model '!P173</f>
        <v>-680.23233476679661</v>
      </c>
      <c r="P58" s="476">
        <f ca="1">'Model '!Q173</f>
        <v>-794.45511563923469</v>
      </c>
      <c r="Q58" s="476">
        <f ca="1">'Model '!R173</f>
        <v>-882.79662944504048</v>
      </c>
      <c r="R58" s="476">
        <f ca="1">'Model '!S173</f>
        <v>-988.79309405359209</v>
      </c>
      <c r="S58" s="476">
        <f ca="1">'Model '!T173</f>
        <v>-1062.3524992250907</v>
      </c>
      <c r="T58" s="476">
        <f ca="1">'Model '!U173</f>
        <v>-1110.7097615028447</v>
      </c>
      <c r="AA58" s="433"/>
      <c r="AB58" s="466"/>
      <c r="AC58" s="466"/>
      <c r="AD58" s="466"/>
      <c r="AE58" s="433"/>
    </row>
    <row r="59" spans="2:31" ht="17.25">
      <c r="B59" s="433"/>
      <c r="C59" s="433"/>
      <c r="D59" s="433"/>
      <c r="E59" s="433"/>
      <c r="F59" s="433"/>
      <c r="G59" s="433"/>
      <c r="H59" s="511" t="s">
        <v>551</v>
      </c>
      <c r="I59" s="512"/>
      <c r="J59" s="458"/>
      <c r="K59" s="515">
        <f>K55+SUM(K57:K58)</f>
        <v>459.90000000000117</v>
      </c>
      <c r="L59" s="529">
        <f t="shared" ref="L59:T59" si="35">L55+SUM(L57:L58)</f>
        <v>999.40000000000055</v>
      </c>
      <c r="M59" s="515">
        <f t="shared" si="35"/>
        <v>-640.55822618600143</v>
      </c>
      <c r="N59" s="515">
        <f t="shared" ca="1" si="35"/>
        <v>781.09791053046467</v>
      </c>
      <c r="O59" s="515">
        <f t="shared" ca="1" si="35"/>
        <v>1592.8243239998142</v>
      </c>
      <c r="P59" s="515">
        <f t="shared" ca="1" si="35"/>
        <v>2080.8096401763269</v>
      </c>
      <c r="Q59" s="515">
        <f t="shared" ca="1" si="35"/>
        <v>2615.3983468357392</v>
      </c>
      <c r="R59" s="515">
        <f t="shared" ca="1" si="35"/>
        <v>3114.9003199119375</v>
      </c>
      <c r="S59" s="515">
        <f t="shared" ca="1" si="35"/>
        <v>3633.6019775811892</v>
      </c>
      <c r="T59" s="515">
        <f t="shared" ca="1" si="35"/>
        <v>4159.0753233000396</v>
      </c>
      <c r="AA59" s="433"/>
      <c r="AB59" s="466"/>
      <c r="AC59" s="466"/>
      <c r="AD59" s="466"/>
      <c r="AE59" s="433"/>
    </row>
    <row r="60" spans="2:31" ht="17.25">
      <c r="B60" s="433"/>
      <c r="C60" s="433"/>
      <c r="D60" s="433"/>
      <c r="E60" s="433"/>
      <c r="F60" s="433"/>
      <c r="G60" s="433"/>
      <c r="H60" s="478" t="s">
        <v>544</v>
      </c>
      <c r="I60" s="433"/>
      <c r="J60" s="441"/>
      <c r="K60" s="514">
        <f>K59/K43</f>
        <v>0.20882713526767521</v>
      </c>
      <c r="L60" s="530">
        <f t="shared" ref="L60:T60" si="36">L59/L43</f>
        <v>0.3734818192010167</v>
      </c>
      <c r="M60" s="514">
        <f t="shared" si="36"/>
        <v>-0.16023930280152301</v>
      </c>
      <c r="N60" s="514">
        <f t="shared" ca="1" si="36"/>
        <v>0.1613998666982335</v>
      </c>
      <c r="O60" s="514">
        <f t="shared" ca="1" si="36"/>
        <v>0.28140779137564559</v>
      </c>
      <c r="P60" s="514">
        <f t="shared" ca="1" si="36"/>
        <v>0.32325962307219042</v>
      </c>
      <c r="Q60" s="514">
        <f t="shared" ca="1" si="36"/>
        <v>0.36385837705783541</v>
      </c>
      <c r="R60" s="514">
        <f t="shared" ca="1" si="36"/>
        <v>0.39389827527439808</v>
      </c>
      <c r="S60" s="514">
        <f t="shared" ca="1" si="36"/>
        <v>0.42295469819337794</v>
      </c>
      <c r="T60" s="514">
        <f t="shared" ca="1" si="36"/>
        <v>0.45054964227297345</v>
      </c>
      <c r="AA60" s="433"/>
      <c r="AB60" s="466"/>
      <c r="AC60" s="466"/>
      <c r="AD60" s="466"/>
      <c r="AE60" s="433"/>
    </row>
    <row r="61" spans="2:31" ht="17.25">
      <c r="B61" s="433"/>
      <c r="C61" s="433"/>
      <c r="D61" s="433"/>
      <c r="E61" s="433"/>
      <c r="F61" s="433"/>
      <c r="G61" s="433"/>
      <c r="H61" s="495" t="s">
        <v>205</v>
      </c>
      <c r="I61" s="495"/>
      <c r="J61" s="441"/>
      <c r="K61" s="496"/>
      <c r="L61" s="497"/>
      <c r="M61" s="496"/>
      <c r="N61" s="496"/>
      <c r="O61" s="496"/>
      <c r="P61" s="496"/>
      <c r="Q61" s="496"/>
      <c r="R61" s="496"/>
      <c r="S61" s="496"/>
      <c r="T61" s="496"/>
      <c r="AA61" s="433"/>
      <c r="AB61" s="466"/>
      <c r="AC61" s="466"/>
      <c r="AD61" s="466"/>
      <c r="AE61" s="433"/>
    </row>
    <row r="62" spans="2:31" ht="17.25">
      <c r="B62" s="433"/>
      <c r="C62" s="433"/>
      <c r="D62" s="433"/>
      <c r="E62" s="433"/>
      <c r="F62" s="433"/>
      <c r="G62" s="433"/>
      <c r="I62" s="433"/>
      <c r="J62" s="516"/>
      <c r="K62" s="516"/>
      <c r="L62" s="516"/>
      <c r="M62" s="516"/>
      <c r="N62" s="516"/>
      <c r="O62" s="516"/>
      <c r="P62" s="516"/>
      <c r="Q62" s="516"/>
      <c r="R62" s="516"/>
      <c r="S62" s="516"/>
      <c r="T62" s="516"/>
      <c r="AA62" s="433"/>
      <c r="AB62" s="466"/>
      <c r="AC62" s="466"/>
      <c r="AD62" s="466"/>
      <c r="AE62" s="433"/>
    </row>
    <row r="63" spans="2:31" ht="17.25">
      <c r="B63" s="433"/>
      <c r="C63" s="433"/>
      <c r="D63" s="433"/>
      <c r="E63" s="433"/>
      <c r="F63" s="433"/>
      <c r="G63" s="433"/>
      <c r="I63" s="433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AA63" s="433"/>
      <c r="AB63" s="466"/>
      <c r="AC63" s="466"/>
      <c r="AD63" s="466"/>
      <c r="AE63" s="433"/>
    </row>
    <row r="64" spans="2:31" ht="17.25">
      <c r="B64" s="433"/>
      <c r="C64" s="433"/>
      <c r="D64" s="433"/>
      <c r="E64" s="433"/>
      <c r="F64" s="433"/>
      <c r="G64" s="433"/>
      <c r="AA64" s="433"/>
      <c r="AB64" s="466"/>
      <c r="AC64" s="466"/>
      <c r="AD64" s="466"/>
      <c r="AE64" s="433"/>
    </row>
    <row r="65" spans="2:31" ht="17.25">
      <c r="B65" s="433"/>
      <c r="C65" s="433"/>
      <c r="D65" s="433"/>
      <c r="E65" s="433"/>
      <c r="F65" s="433"/>
      <c r="G65" s="433"/>
      <c r="AA65" s="433"/>
      <c r="AB65" s="466"/>
      <c r="AC65" s="466"/>
      <c r="AD65" s="466"/>
      <c r="AE65" s="433"/>
    </row>
  </sheetData>
  <hyperlinks>
    <hyperlink ref="B7" r:id="rId1" xr:uid="{D1BF3BAF-EC9B-4121-BB4A-763B4680C828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A9B5-C613-452C-94FE-05F7A63E4D56}">
  <dimension ref="B1:T37"/>
  <sheetViews>
    <sheetView showGridLines="0" topLeftCell="A16" zoomScale="115" zoomScaleNormal="115" workbookViewId="0">
      <selection activeCell="C37" sqref="C37"/>
    </sheetView>
  </sheetViews>
  <sheetFormatPr defaultColWidth="9.140625" defaultRowHeight="14.25" outlineLevelRow="1"/>
  <cols>
    <col min="1" max="1" width="9.140625" style="1"/>
    <col min="2" max="2" width="34" style="1" customWidth="1"/>
    <col min="3" max="5" width="12.7109375" style="1" bestFit="1" customWidth="1"/>
    <col min="6" max="6" width="12.140625" style="1" bestFit="1" customWidth="1"/>
    <col min="7" max="7" width="12.7109375" style="1" bestFit="1" customWidth="1"/>
    <col min="8" max="16384" width="9.140625" style="1"/>
  </cols>
  <sheetData>
    <row r="1" spans="2:7" s="101" customFormat="1"/>
    <row r="2" spans="2:7" s="101" customFormat="1"/>
    <row r="3" spans="2:7" s="101" customFormat="1"/>
    <row r="4" spans="2:7" s="106" customFormat="1" ht="6.75" customHeight="1"/>
    <row r="8" spans="2:7">
      <c r="E8" s="66"/>
    </row>
    <row r="9" spans="2:7" ht="15">
      <c r="B9" s="67" t="s">
        <v>552</v>
      </c>
      <c r="C9" s="68">
        <v>6</v>
      </c>
      <c r="D9" s="68">
        <f>C9+1</f>
        <v>7</v>
      </c>
      <c r="E9" s="68">
        <f>D9+1</f>
        <v>8</v>
      </c>
      <c r="F9" s="68">
        <f>E9+1</f>
        <v>9</v>
      </c>
      <c r="G9" s="69">
        <f>F9+1</f>
        <v>10</v>
      </c>
    </row>
    <row r="10" spans="2:7">
      <c r="B10" s="70"/>
      <c r="G10" s="556"/>
    </row>
    <row r="11" spans="2:7">
      <c r="B11" s="70" t="s">
        <v>467</v>
      </c>
      <c r="C11" s="72">
        <f>'D@G'!M28</f>
        <v>3997.5100676730676</v>
      </c>
      <c r="D11" s="73">
        <f>C11</f>
        <v>3997.5100676730676</v>
      </c>
      <c r="E11" s="73">
        <f t="shared" ref="E11:G11" si="0">D11</f>
        <v>3997.5100676730676</v>
      </c>
      <c r="F11" s="73">
        <f t="shared" si="0"/>
        <v>3997.5100676730676</v>
      </c>
      <c r="G11" s="557">
        <f t="shared" si="0"/>
        <v>3997.5100676730676</v>
      </c>
    </row>
    <row r="12" spans="2:7">
      <c r="B12" s="70" t="s">
        <v>553</v>
      </c>
      <c r="C12" s="74">
        <f>C9</f>
        <v>6</v>
      </c>
      <c r="D12" s="74">
        <f t="shared" ref="D12:G12" si="1">D9</f>
        <v>7</v>
      </c>
      <c r="E12" s="74">
        <f t="shared" si="1"/>
        <v>8</v>
      </c>
      <c r="F12" s="74">
        <f t="shared" si="1"/>
        <v>9</v>
      </c>
      <c r="G12" s="558">
        <f t="shared" si="1"/>
        <v>10</v>
      </c>
    </row>
    <row r="13" spans="2:7">
      <c r="B13" s="75" t="s">
        <v>554</v>
      </c>
      <c r="C13" s="76">
        <f>C12*C11</f>
        <v>23985.060406038407</v>
      </c>
      <c r="D13" s="76">
        <f t="shared" ref="D13:G13" si="2">D12*D11</f>
        <v>27982.570473711472</v>
      </c>
      <c r="E13" s="76">
        <f t="shared" si="2"/>
        <v>31980.080541384541</v>
      </c>
      <c r="F13" s="76">
        <f t="shared" si="2"/>
        <v>35977.59060905761</v>
      </c>
      <c r="G13" s="559">
        <f t="shared" si="2"/>
        <v>39975.100676730675</v>
      </c>
    </row>
    <row r="14" spans="2:7">
      <c r="B14" s="70"/>
      <c r="G14" s="556"/>
    </row>
    <row r="15" spans="2:7">
      <c r="B15" s="70" t="s">
        <v>506</v>
      </c>
      <c r="C15" s="72">
        <f>-'D@G'!M38</f>
        <v>-5813.9685419708621</v>
      </c>
      <c r="D15" s="73">
        <f>C15</f>
        <v>-5813.9685419708621</v>
      </c>
      <c r="E15" s="73">
        <f t="shared" ref="E15:G15" si="3">D15</f>
        <v>-5813.9685419708621</v>
      </c>
      <c r="F15" s="73">
        <f t="shared" si="3"/>
        <v>-5813.9685419708621</v>
      </c>
      <c r="G15" s="557">
        <f t="shared" si="3"/>
        <v>-5813.9685419708621</v>
      </c>
    </row>
    <row r="16" spans="2:7">
      <c r="B16" s="75" t="s">
        <v>555</v>
      </c>
      <c r="C16" s="76">
        <f>C13+C15</f>
        <v>18171.091864067545</v>
      </c>
      <c r="D16" s="76">
        <f t="shared" ref="D16:G16" si="4">D13+D15</f>
        <v>22168.60193174061</v>
      </c>
      <c r="E16" s="76">
        <f t="shared" si="4"/>
        <v>26166.111999413679</v>
      </c>
      <c r="F16" s="76">
        <f t="shared" si="4"/>
        <v>30163.622067086748</v>
      </c>
      <c r="G16" s="559">
        <f t="shared" si="4"/>
        <v>34161.132134759813</v>
      </c>
    </row>
    <row r="17" spans="2:20">
      <c r="B17" s="70"/>
      <c r="G17" s="556"/>
    </row>
    <row r="18" spans="2:20" ht="15">
      <c r="B18" s="70" t="s">
        <v>556</v>
      </c>
      <c r="C18" s="72">
        <f>'D@G'!D45</f>
        <v>5000</v>
      </c>
      <c r="D18" s="73">
        <f>C18</f>
        <v>5000</v>
      </c>
      <c r="E18" s="73">
        <f t="shared" ref="E18:G18" si="5">D18</f>
        <v>5000</v>
      </c>
      <c r="F18" s="73">
        <f t="shared" si="5"/>
        <v>5000</v>
      </c>
      <c r="G18" s="557">
        <f t="shared" si="5"/>
        <v>5000</v>
      </c>
      <c r="T18"/>
    </row>
    <row r="19" spans="2:20">
      <c r="B19" s="77" t="s">
        <v>557</v>
      </c>
      <c r="C19" s="78">
        <f>C16+C18</f>
        <v>23171.091864067545</v>
      </c>
      <c r="D19" s="78">
        <f t="shared" ref="D19:G19" si="6">D16+D18</f>
        <v>27168.60193174061</v>
      </c>
      <c r="E19" s="78">
        <f t="shared" si="6"/>
        <v>31166.111999413679</v>
      </c>
      <c r="F19" s="78">
        <f t="shared" si="6"/>
        <v>35163.622067086748</v>
      </c>
      <c r="G19" s="560">
        <f t="shared" si="6"/>
        <v>39161.132134759813</v>
      </c>
    </row>
    <row r="20" spans="2:20">
      <c r="B20" s="70"/>
      <c r="G20" s="556"/>
    </row>
    <row r="21" spans="2:20">
      <c r="B21" s="79" t="s">
        <v>558</v>
      </c>
      <c r="G21" s="556"/>
    </row>
    <row r="22" spans="2:20">
      <c r="B22" s="80" t="s">
        <v>559</v>
      </c>
      <c r="C22" s="81">
        <f>1-C23</f>
        <v>0.78421388041045548</v>
      </c>
      <c r="D22" s="81">
        <f t="shared" ref="D22:G22" si="7">1-D23</f>
        <v>0.815964030369977</v>
      </c>
      <c r="E22" s="81">
        <f t="shared" si="7"/>
        <v>0.83956933735930672</v>
      </c>
      <c r="F22" s="81">
        <f t="shared" si="7"/>
        <v>0.85780759472215995</v>
      </c>
      <c r="G22" s="561">
        <f t="shared" si="7"/>
        <v>0.87232238376576576</v>
      </c>
    </row>
    <row r="23" spans="2:20">
      <c r="B23" s="82" t="s">
        <v>529</v>
      </c>
      <c r="C23" s="83">
        <f>C18/C19</f>
        <v>0.21578611958954447</v>
      </c>
      <c r="D23" s="83">
        <f t="shared" ref="D23:G23" si="8">D18/D19</f>
        <v>0.18403596963002303</v>
      </c>
      <c r="E23" s="83">
        <f t="shared" si="8"/>
        <v>0.16043066264069333</v>
      </c>
      <c r="F23" s="83">
        <f t="shared" si="8"/>
        <v>0.14219240527784008</v>
      </c>
      <c r="G23" s="562">
        <f t="shared" si="8"/>
        <v>0.12767761623423421</v>
      </c>
    </row>
    <row r="24" spans="2:20">
      <c r="B24" s="84"/>
      <c r="C24" s="85"/>
      <c r="D24" s="85"/>
      <c r="E24" s="85"/>
      <c r="F24" s="85"/>
      <c r="G24" s="563"/>
    </row>
    <row r="25" spans="2:20">
      <c r="B25" s="84" t="s">
        <v>560</v>
      </c>
      <c r="C25" s="86">
        <f ca="1">'D@G'!D32</f>
        <v>43134.510284489043</v>
      </c>
      <c r="D25" s="87">
        <f ca="1">C25</f>
        <v>43134.510284489043</v>
      </c>
      <c r="E25" s="87">
        <f t="shared" ref="E25:G25" ca="1" si="9">D25</f>
        <v>43134.510284489043</v>
      </c>
      <c r="F25" s="87">
        <f t="shared" ca="1" si="9"/>
        <v>43134.510284489043</v>
      </c>
      <c r="G25" s="564">
        <f t="shared" ca="1" si="9"/>
        <v>43134.510284489043</v>
      </c>
    </row>
    <row r="26" spans="2:20">
      <c r="B26" s="88" t="s">
        <v>561</v>
      </c>
      <c r="C26" s="89">
        <f ca="1">C25*C23</f>
        <v>9307.8285946851884</v>
      </c>
      <c r="D26" s="89">
        <f t="shared" ref="D26:G26" ca="1" si="10">D25*D23</f>
        <v>7938.3014247221417</v>
      </c>
      <c r="E26" s="89">
        <f t="shared" ca="1" si="10"/>
        <v>6920.0980676223789</v>
      </c>
      <c r="F26" s="89">
        <f t="shared" ca="1" si="10"/>
        <v>6133.3997678332271</v>
      </c>
      <c r="G26" s="565">
        <f t="shared" ca="1" si="10"/>
        <v>5507.3114505546209</v>
      </c>
    </row>
    <row r="27" spans="2:20">
      <c r="B27" s="70"/>
      <c r="G27" s="71"/>
    </row>
    <row r="28" spans="2:20">
      <c r="B28" s="90" t="s">
        <v>562</v>
      </c>
      <c r="G28" s="71"/>
    </row>
    <row r="29" spans="2:20" outlineLevel="1">
      <c r="B29" s="91">
        <v>46022</v>
      </c>
      <c r="C29" s="72" cm="1">
        <f t="array" aca="1" ref="C29:C33" ca="1">TRANSPOSE('D@G'!M15:Q15)</f>
        <v>-5010</v>
      </c>
      <c r="D29" s="73">
        <f ca="1">C29</f>
        <v>-5010</v>
      </c>
      <c r="E29" s="73">
        <f t="shared" ref="E29:G29" ca="1" si="11">D29</f>
        <v>-5010</v>
      </c>
      <c r="F29" s="73">
        <f t="shared" ca="1" si="11"/>
        <v>-5010</v>
      </c>
      <c r="G29" s="557">
        <f t="shared" ca="1" si="11"/>
        <v>-5010</v>
      </c>
    </row>
    <row r="30" spans="2:20" outlineLevel="1">
      <c r="B30" s="91">
        <v>46387</v>
      </c>
      <c r="C30" s="92">
        <f ca="1"/>
        <v>52.338899465569767</v>
      </c>
      <c r="D30" s="73">
        <f t="shared" ref="D30:G33" ca="1" si="12">C30</f>
        <v>52.338899465569767</v>
      </c>
      <c r="E30" s="73">
        <f t="shared" ca="1" si="12"/>
        <v>52.338899465569767</v>
      </c>
      <c r="F30" s="73">
        <f t="shared" ca="1" si="12"/>
        <v>52.338899465569767</v>
      </c>
      <c r="G30" s="557">
        <f t="shared" ca="1" si="12"/>
        <v>52.338899465569767</v>
      </c>
    </row>
    <row r="31" spans="2:20" outlineLevel="1">
      <c r="B31" s="91">
        <v>46752</v>
      </c>
      <c r="C31" s="92">
        <f ca="1"/>
        <v>94.244164108818794</v>
      </c>
      <c r="D31" s="73">
        <f t="shared" ca="1" si="12"/>
        <v>94.244164108818794</v>
      </c>
      <c r="E31" s="73">
        <f t="shared" ca="1" si="12"/>
        <v>94.244164108818794</v>
      </c>
      <c r="F31" s="73">
        <f t="shared" ca="1" si="12"/>
        <v>94.244164108818794</v>
      </c>
      <c r="G31" s="557">
        <f t="shared" ca="1" si="12"/>
        <v>94.244164108818794</v>
      </c>
    </row>
    <row r="32" spans="2:20" outlineLevel="1">
      <c r="B32" s="91">
        <v>47118</v>
      </c>
      <c r="C32" s="92">
        <f ca="1"/>
        <v>125.18721730250184</v>
      </c>
      <c r="D32" s="73">
        <f t="shared" ca="1" si="12"/>
        <v>125.18721730250184</v>
      </c>
      <c r="E32" s="73">
        <f t="shared" ca="1" si="12"/>
        <v>125.18721730250184</v>
      </c>
      <c r="F32" s="73">
        <f t="shared" ca="1" si="12"/>
        <v>125.18721730250184</v>
      </c>
      <c r="G32" s="557">
        <f t="shared" ca="1" si="12"/>
        <v>125.18721730250184</v>
      </c>
    </row>
    <row r="33" spans="2:7" outlineLevel="1">
      <c r="B33" s="91">
        <v>47483</v>
      </c>
      <c r="C33" s="92">
        <f ca="1"/>
        <v>146.20831753419864</v>
      </c>
      <c r="D33" s="73">
        <f t="shared" ca="1" si="12"/>
        <v>146.20831753419864</v>
      </c>
      <c r="E33" s="73">
        <f t="shared" ca="1" si="12"/>
        <v>146.20831753419864</v>
      </c>
      <c r="F33" s="73">
        <f t="shared" ca="1" si="12"/>
        <v>146.20831753419864</v>
      </c>
      <c r="G33" s="557">
        <f t="shared" ca="1" si="12"/>
        <v>146.20831753419864</v>
      </c>
    </row>
    <row r="34" spans="2:7" outlineLevel="1">
      <c r="B34" s="91">
        <v>47848</v>
      </c>
      <c r="C34" s="72">
        <f ca="1">'D@G'!$R$13+AVP!C26</f>
        <v>9470.2949283712223</v>
      </c>
      <c r="D34" s="72">
        <f ca="1">'D@G'!$R$13+AVP!D26</f>
        <v>8100.7677584081757</v>
      </c>
      <c r="E34" s="72">
        <f ca="1">'D@G'!$R$13+AVP!E26</f>
        <v>7082.5644013084129</v>
      </c>
      <c r="F34" s="72">
        <f ca="1">'D@G'!$R$13+AVP!F26</f>
        <v>6295.8661015192611</v>
      </c>
      <c r="G34" s="566">
        <f ca="1">'D@G'!$R$13+AVP!G26</f>
        <v>5669.7777842406549</v>
      </c>
    </row>
    <row r="35" spans="2:7">
      <c r="B35" s="93" t="s">
        <v>489</v>
      </c>
      <c r="C35" s="94">
        <f ca="1">XIRR(C29:C34,$B$29:$B$34)</f>
        <v>0.14901998639106753</v>
      </c>
      <c r="D35" s="94">
        <f t="shared" ref="D35:G35" ca="1" si="13">XIRR(D29:D34,$B$29:$B$34)</f>
        <v>0.11485267281532288</v>
      </c>
      <c r="E35" s="94">
        <f t="shared" ca="1" si="13"/>
        <v>8.637601435184479E-2</v>
      </c>
      <c r="F35" s="94">
        <f t="shared" ca="1" si="13"/>
        <v>6.2087520956993103E-2</v>
      </c>
      <c r="G35" s="567">
        <f t="shared" ca="1" si="13"/>
        <v>4.0999236702919023E-2</v>
      </c>
    </row>
    <row r="36" spans="2:7">
      <c r="B36" s="95" t="s">
        <v>563</v>
      </c>
      <c r="C36" s="96">
        <f ca="1">-SUM(C29:C34)/C29</f>
        <v>0.97370729077491258</v>
      </c>
      <c r="D36" s="96">
        <f t="shared" ref="D36:G36" ca="1" si="14">-SUM(D29:D34)/D29</f>
        <v>0.70034857421542218</v>
      </c>
      <c r="E36" s="96">
        <f t="shared" ca="1" si="14"/>
        <v>0.49711437120149748</v>
      </c>
      <c r="F36" s="96">
        <f t="shared" ca="1" si="14"/>
        <v>0.34008876246114783</v>
      </c>
      <c r="G36" s="568">
        <f t="shared" ca="1" si="14"/>
        <v>0.21512103446142603</v>
      </c>
    </row>
    <row r="37" spans="2:7">
      <c r="B37" s="97" t="s">
        <v>491</v>
      </c>
      <c r="C37" s="98">
        <f ca="1">SUM(C29:C34)</f>
        <v>4878.2735267823118</v>
      </c>
      <c r="D37" s="98">
        <f t="shared" ref="D37:G37" ca="1" si="15">SUM(D29:D34)</f>
        <v>3508.7463568192652</v>
      </c>
      <c r="E37" s="98">
        <f t="shared" ca="1" si="15"/>
        <v>2490.5429997195024</v>
      </c>
      <c r="F37" s="98">
        <f t="shared" ca="1" si="15"/>
        <v>1703.8446999303505</v>
      </c>
      <c r="G37" s="569">
        <f t="shared" ca="1" si="15"/>
        <v>1077.7563826517444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6A85-8C57-4BEC-8692-6B6CFB232930}">
  <dimension ref="A1:AI51"/>
  <sheetViews>
    <sheetView showGridLines="0" zoomScale="88" zoomScaleNormal="88" workbookViewId="0">
      <pane xSplit="2" ySplit="3" topLeftCell="V19" activePane="bottomRight" state="frozen"/>
      <selection pane="topRight" activeCell="C1" sqref="C1"/>
      <selection pane="bottomLeft" activeCell="A4" sqref="A4"/>
      <selection pane="bottomRight" activeCell="X31" sqref="X31:AG31"/>
    </sheetView>
  </sheetViews>
  <sheetFormatPr defaultColWidth="9.140625" defaultRowHeight="14.25" outlineLevelCol="1"/>
  <cols>
    <col min="1" max="1" width="7.28515625" style="2" bestFit="1" customWidth="1"/>
    <col min="2" max="2" width="41.7109375" style="3" customWidth="1"/>
    <col min="3" max="7" width="9.28515625" style="3" hidden="1" customWidth="1" outlineLevel="1"/>
    <col min="8" max="9" width="9.28515625" style="4" hidden="1" customWidth="1" outlineLevel="1"/>
    <col min="10" max="10" width="9.28515625" style="5" hidden="1" customWidth="1" outlineLevel="1"/>
    <col min="11" max="15" width="9.28515625" style="6" hidden="1" customWidth="1" outlineLevel="1"/>
    <col min="16" max="21" width="9.28515625" style="3" hidden="1" customWidth="1" outlineLevel="1"/>
    <col min="22" max="22" width="7.28515625" style="3" customWidth="1" collapsed="1"/>
    <col min="23" max="26" width="7.28515625" style="3" customWidth="1"/>
    <col min="27" max="28" width="9.42578125" style="3" bestFit="1" customWidth="1"/>
    <col min="29" max="30" width="9.42578125" style="2" bestFit="1" customWidth="1"/>
    <col min="31" max="31" width="10.28515625" style="1" bestFit="1" customWidth="1"/>
    <col min="32" max="33" width="9" style="1" bestFit="1" customWidth="1"/>
    <col min="34" max="16384" width="9.140625" style="1"/>
  </cols>
  <sheetData>
    <row r="1" spans="1:35">
      <c r="T1" s="612"/>
      <c r="U1" s="612"/>
      <c r="V1" s="612"/>
      <c r="W1" s="613"/>
      <c r="X1" s="613"/>
      <c r="Y1" s="7"/>
      <c r="AC1" s="3"/>
    </row>
    <row r="2" spans="1:35">
      <c r="A2" s="8"/>
      <c r="B2" s="9"/>
      <c r="C2" s="10">
        <v>2001</v>
      </c>
      <c r="D2" s="10">
        <v>2002</v>
      </c>
      <c r="E2" s="10">
        <v>2003</v>
      </c>
      <c r="F2" s="10">
        <v>2004</v>
      </c>
      <c r="G2" s="10">
        <v>2005</v>
      </c>
      <c r="H2" s="10">
        <v>2006</v>
      </c>
      <c r="I2" s="10">
        <v>2007</v>
      </c>
      <c r="J2" s="10">
        <v>2008</v>
      </c>
      <c r="K2" s="10">
        <v>2009</v>
      </c>
      <c r="L2" s="10">
        <v>2010</v>
      </c>
      <c r="M2" s="10">
        <v>2011</v>
      </c>
      <c r="N2" s="10">
        <v>2012</v>
      </c>
      <c r="O2" s="10">
        <v>2013</v>
      </c>
      <c r="P2" s="10">
        <v>2014</v>
      </c>
      <c r="Q2" s="10">
        <v>2015</v>
      </c>
      <c r="R2" s="10">
        <v>2016</v>
      </c>
      <c r="S2" s="10">
        <v>2017</v>
      </c>
      <c r="T2" s="10">
        <v>2018</v>
      </c>
      <c r="U2" s="10">
        <v>2019</v>
      </c>
      <c r="V2" s="10">
        <v>2020</v>
      </c>
      <c r="W2" s="10">
        <v>2021</v>
      </c>
      <c r="X2" s="10">
        <v>2022</v>
      </c>
      <c r="Y2" s="10">
        <v>2023</v>
      </c>
      <c r="Z2" s="10">
        <v>2024</v>
      </c>
      <c r="AA2" s="10" t="s">
        <v>564</v>
      </c>
      <c r="AB2" s="10" t="s">
        <v>565</v>
      </c>
      <c r="AC2" s="10" t="s">
        <v>566</v>
      </c>
      <c r="AD2" s="10" t="s">
        <v>567</v>
      </c>
      <c r="AE2" s="10" t="s">
        <v>568</v>
      </c>
      <c r="AF2" s="10" t="s">
        <v>569</v>
      </c>
      <c r="AG2" s="10" t="s">
        <v>570</v>
      </c>
      <c r="AH2" s="11"/>
      <c r="AI2" s="11"/>
    </row>
    <row r="3" spans="1:35">
      <c r="B3" s="12" t="s">
        <v>571</v>
      </c>
      <c r="C3" s="13">
        <v>37226</v>
      </c>
      <c r="D3" s="13">
        <f t="shared" ref="D3:AD3" si="0">EDATE(C3,12)</f>
        <v>37591</v>
      </c>
      <c r="E3" s="13">
        <f t="shared" si="0"/>
        <v>37956</v>
      </c>
      <c r="F3" s="13">
        <f t="shared" si="0"/>
        <v>38322</v>
      </c>
      <c r="G3" s="13">
        <f t="shared" si="0"/>
        <v>38687</v>
      </c>
      <c r="H3" s="13">
        <f t="shared" si="0"/>
        <v>39052</v>
      </c>
      <c r="I3" s="13">
        <f t="shared" si="0"/>
        <v>39417</v>
      </c>
      <c r="J3" s="13">
        <f t="shared" si="0"/>
        <v>39783</v>
      </c>
      <c r="K3" s="13">
        <f t="shared" si="0"/>
        <v>40148</v>
      </c>
      <c r="L3" s="13">
        <f t="shared" si="0"/>
        <v>40513</v>
      </c>
      <c r="M3" s="13">
        <f t="shared" si="0"/>
        <v>40878</v>
      </c>
      <c r="N3" s="13">
        <f t="shared" si="0"/>
        <v>41244</v>
      </c>
      <c r="O3" s="13">
        <f t="shared" si="0"/>
        <v>41609</v>
      </c>
      <c r="P3" s="13">
        <f t="shared" si="0"/>
        <v>41974</v>
      </c>
      <c r="Q3" s="13">
        <f t="shared" si="0"/>
        <v>42339</v>
      </c>
      <c r="R3" s="13">
        <f t="shared" si="0"/>
        <v>42705</v>
      </c>
      <c r="S3" s="13">
        <f t="shared" si="0"/>
        <v>43070</v>
      </c>
      <c r="T3" s="13">
        <f t="shared" si="0"/>
        <v>43435</v>
      </c>
      <c r="U3" s="13">
        <f t="shared" si="0"/>
        <v>43800</v>
      </c>
      <c r="V3" s="13">
        <f t="shared" si="0"/>
        <v>44166</v>
      </c>
      <c r="W3" s="13">
        <f t="shared" si="0"/>
        <v>44531</v>
      </c>
      <c r="X3" s="13">
        <f t="shared" si="0"/>
        <v>44896</v>
      </c>
      <c r="Y3" s="13">
        <f t="shared" si="0"/>
        <v>45261</v>
      </c>
      <c r="Z3" s="13">
        <f t="shared" si="0"/>
        <v>45627</v>
      </c>
      <c r="AA3" s="13">
        <f t="shared" si="0"/>
        <v>45992</v>
      </c>
      <c r="AB3" s="13">
        <f t="shared" si="0"/>
        <v>46357</v>
      </c>
      <c r="AC3" s="13">
        <f t="shared" si="0"/>
        <v>46722</v>
      </c>
      <c r="AD3" s="13">
        <f t="shared" si="0"/>
        <v>47088</v>
      </c>
    </row>
    <row r="4" spans="1:35">
      <c r="B4" s="14" t="s">
        <v>572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5">
      <c r="B5" s="16" t="s">
        <v>573</v>
      </c>
      <c r="C5" s="17">
        <v>2.4820000000000002E-2</v>
      </c>
      <c r="D5" s="17">
        <v>2.9910000000000003E-2</v>
      </c>
      <c r="E5" s="17">
        <v>4.2830000000000007E-2</v>
      </c>
      <c r="F5" s="17">
        <v>5.3859999999999998E-2</v>
      </c>
      <c r="G5" s="17">
        <v>4.8940000000000004E-2</v>
      </c>
      <c r="H5" s="17">
        <v>5.4669999999999996E-2</v>
      </c>
      <c r="I5" s="17">
        <v>5.5739999999999998E-2</v>
      </c>
      <c r="J5" s="17">
        <v>3.0369999999999998E-2</v>
      </c>
      <c r="K5" s="17">
        <v>-1.1000000000000001E-3</v>
      </c>
      <c r="L5" s="17">
        <v>5.3849999999999995E-2</v>
      </c>
      <c r="M5" s="17">
        <v>4.2819999999999997E-2</v>
      </c>
      <c r="N5" s="17">
        <v>3.5130000000000002E-2</v>
      </c>
      <c r="O5" s="17">
        <v>3.4910000000000004E-2</v>
      </c>
      <c r="P5" s="17">
        <v>3.5799999999999998E-2</v>
      </c>
      <c r="Q5" s="18">
        <v>3.4509999999999999E-2</v>
      </c>
      <c r="R5" s="17">
        <v>3.2680000000000001E-2</v>
      </c>
      <c r="S5" s="17">
        <v>3.7999999999999999E-2</v>
      </c>
      <c r="T5" s="18">
        <v>3.6000000000000004E-2</v>
      </c>
      <c r="U5" s="18">
        <v>2.7999999999999997E-2</v>
      </c>
      <c r="V5" s="18">
        <v>-2.7999999999999997E-2</v>
      </c>
      <c r="W5" s="18">
        <v>6.3E-2</v>
      </c>
      <c r="X5" s="18">
        <v>3.5000000000000003E-2</v>
      </c>
      <c r="Y5" s="18">
        <v>3.2000000000000001E-2</v>
      </c>
      <c r="Z5" s="18">
        <v>3.2000000000000001E-2</v>
      </c>
      <c r="AA5" s="19">
        <v>0.03</v>
      </c>
      <c r="AB5" s="19">
        <v>2.7999999999999997E-2</v>
      </c>
      <c r="AC5" s="19">
        <v>0.03</v>
      </c>
      <c r="AD5" s="19">
        <v>2.7999999999999997E-2</v>
      </c>
      <c r="AE5" s="19">
        <v>2.7999999999999997E-2</v>
      </c>
      <c r="AF5" s="19">
        <v>2.7999999999999997E-2</v>
      </c>
      <c r="AG5" s="19">
        <v>2.7999999999999997E-2</v>
      </c>
    </row>
    <row r="6" spans="1:35">
      <c r="B6" s="16" t="s">
        <v>574</v>
      </c>
      <c r="C6" s="18">
        <v>9.5559023836548906E-3</v>
      </c>
      <c r="D6" s="18">
        <v>1.7005488134807178E-2</v>
      </c>
      <c r="E6" s="18">
        <v>2.7956082831814388E-2</v>
      </c>
      <c r="F6" s="18">
        <v>3.8481444885832827E-2</v>
      </c>
      <c r="G6" s="18">
        <v>3.4835402400031024E-2</v>
      </c>
      <c r="H6" s="18">
        <v>2.7839629722291592E-2</v>
      </c>
      <c r="I6" s="18">
        <v>2.0038824080666595E-2</v>
      </c>
      <c r="J6" s="18">
        <v>1.1394549706484902E-3</v>
      </c>
      <c r="K6" s="18">
        <v>-2.5766469028394301E-2</v>
      </c>
      <c r="L6" s="18">
        <v>2.6955612235535886E-2</v>
      </c>
      <c r="M6" s="18">
        <v>1.5640448367461257E-2</v>
      </c>
      <c r="N6" s="18">
        <v>2.2894138068541459E-2</v>
      </c>
      <c r="O6" s="18">
        <v>2.1177792556241082E-2</v>
      </c>
      <c r="P6" s="18">
        <v>2.5235512738460253E-2</v>
      </c>
      <c r="Q6" s="18">
        <v>2.9455089066187545E-2</v>
      </c>
      <c r="R6" s="18">
        <v>1.8197195685014655E-2</v>
      </c>
      <c r="S6" s="18">
        <v>2.457461980910769E-2</v>
      </c>
      <c r="T6" s="18">
        <v>2.9665359650419942E-2</v>
      </c>
      <c r="U6" s="18">
        <v>2.5839486181470583E-2</v>
      </c>
      <c r="V6" s="18">
        <v>-2.1630936922237831E-2</v>
      </c>
      <c r="W6" s="18">
        <v>6.054984309933098E-2</v>
      </c>
      <c r="X6" s="18">
        <v>2.5122355174274746E-2</v>
      </c>
      <c r="Y6" s="18">
        <v>2.8877049031531987E-2</v>
      </c>
      <c r="Z6" s="18">
        <v>2.7960707685114494E-2</v>
      </c>
      <c r="AA6" s="20">
        <v>1.7033937907054542E-2</v>
      </c>
      <c r="AB6" s="20">
        <v>1.5471548233163546E-2</v>
      </c>
      <c r="AC6" s="20">
        <v>1.9480316207175274E-2</v>
      </c>
      <c r="AD6" s="20">
        <v>2.0273753095784386E-2</v>
      </c>
      <c r="AE6" s="20">
        <v>2.0273753095784386E-2</v>
      </c>
      <c r="AF6" s="20">
        <v>2.0273753095784386E-2</v>
      </c>
      <c r="AG6" s="20">
        <v>2.0273753095784386E-2</v>
      </c>
    </row>
    <row r="7" spans="1:35">
      <c r="B7" s="16" t="s">
        <v>575</v>
      </c>
      <c r="C7" s="18">
        <v>2.1576270387532626E-2</v>
      </c>
      <c r="D7" s="18">
        <v>9.3073611626819375E-3</v>
      </c>
      <c r="E7" s="18">
        <v>7.3945317229822116E-3</v>
      </c>
      <c r="F7" s="18">
        <v>2.0439337672640168E-2</v>
      </c>
      <c r="G7" s="18">
        <v>1.8945051230348398E-2</v>
      </c>
      <c r="H7" s="18">
        <v>3.4208118799546661E-2</v>
      </c>
      <c r="I7" s="18">
        <v>2.9798062958880545E-2</v>
      </c>
      <c r="J7" s="18">
        <v>3.134082068106725E-3</v>
      </c>
      <c r="K7" s="18">
        <v>-4.4247314746598154E-2</v>
      </c>
      <c r="L7" s="18">
        <v>1.9925567213811224E-2</v>
      </c>
      <c r="M7" s="18">
        <v>1.7837627058616912E-2</v>
      </c>
      <c r="N7" s="18">
        <v>-9.0546627468908181E-3</v>
      </c>
      <c r="O7" s="18">
        <v>-1.2115598804763872E-3</v>
      </c>
      <c r="P7" s="18">
        <v>1.4549558548970332E-2</v>
      </c>
      <c r="Q7" s="18">
        <v>2.0028265328031924E-2</v>
      </c>
      <c r="R7" s="18">
        <v>1.778058308707875E-2</v>
      </c>
      <c r="S7" s="18">
        <v>2.7434093376350166E-2</v>
      </c>
      <c r="T7" s="18">
        <v>1.7457827074343291E-2</v>
      </c>
      <c r="U7" s="18">
        <v>1.6454530389107047E-2</v>
      </c>
      <c r="V7" s="18">
        <v>-6.1586562254449362E-2</v>
      </c>
      <c r="W7" s="18">
        <v>6.2768802716583361E-2</v>
      </c>
      <c r="X7" s="18">
        <v>3.5734916502972114E-2</v>
      </c>
      <c r="Y7" s="18">
        <v>6.7980680375556712E-3</v>
      </c>
      <c r="Z7" s="18">
        <v>8.8561117646082099E-3</v>
      </c>
      <c r="AA7" s="20">
        <v>1.0616991478880733E-2</v>
      </c>
      <c r="AB7" s="20">
        <v>1.2304738186390773E-2</v>
      </c>
      <c r="AC7" s="20">
        <v>1.331017143963642E-2</v>
      </c>
      <c r="AD7" s="20">
        <v>1.2999999999999999E-2</v>
      </c>
      <c r="AE7" s="20">
        <v>1.2999999999999999E-2</v>
      </c>
      <c r="AF7" s="20">
        <v>1.2999999999999999E-2</v>
      </c>
      <c r="AG7" s="20">
        <v>1.2999999999999999E-2</v>
      </c>
    </row>
    <row r="8" spans="1:35">
      <c r="B8" s="16" t="s">
        <v>576</v>
      </c>
      <c r="C8" s="18">
        <v>8.3684687886847353E-2</v>
      </c>
      <c r="D8" s="18">
        <v>9.1852882325275775E-2</v>
      </c>
      <c r="E8" s="18">
        <v>0.1011470430063437</v>
      </c>
      <c r="F8" s="18">
        <v>0.10143211421166676</v>
      </c>
      <c r="G8" s="18">
        <v>0.11364025390358834</v>
      </c>
      <c r="H8" s="18">
        <v>0.126241101663366</v>
      </c>
      <c r="I8" s="18">
        <v>0.14108226770093246</v>
      </c>
      <c r="J8" s="18">
        <v>9.736780858091687E-2</v>
      </c>
      <c r="K8" s="18">
        <v>9.3133879370957962E-2</v>
      </c>
      <c r="L8" s="18">
        <v>0.10660741185405809</v>
      </c>
      <c r="M8" s="18">
        <v>9.2799536094270385E-2</v>
      </c>
      <c r="N8" s="18">
        <v>7.8210249613225535E-2</v>
      </c>
      <c r="O8" s="18">
        <v>7.8149292056526765E-2</v>
      </c>
      <c r="P8" s="18">
        <v>7.4475806670895928E-2</v>
      </c>
      <c r="Q8" s="18">
        <v>7.1848510617613215E-2</v>
      </c>
      <c r="R8" s="18">
        <v>6.868678172178333E-2</v>
      </c>
      <c r="S8" s="18">
        <v>6.8955837753418292E-2</v>
      </c>
      <c r="T8" s="18">
        <v>6.8666284129349497E-2</v>
      </c>
      <c r="U8" s="18">
        <v>6.157624035820719E-2</v>
      </c>
      <c r="V8" s="18">
        <v>1.976562504331314E-2</v>
      </c>
      <c r="W8" s="18">
        <v>7.7350091049669389E-2</v>
      </c>
      <c r="X8" s="18">
        <v>0.03</v>
      </c>
      <c r="Y8" s="18">
        <v>5.438388739234834E-2</v>
      </c>
      <c r="Z8" s="18">
        <v>5.0421976889852393E-2</v>
      </c>
      <c r="AA8" s="20">
        <v>4.7234332652313471E-2</v>
      </c>
      <c r="AB8" s="20">
        <v>3.9721402066722034E-2</v>
      </c>
      <c r="AC8" s="20">
        <v>4.0080632950983519E-2</v>
      </c>
      <c r="AD8" s="20">
        <v>4.0080632950983519E-2</v>
      </c>
      <c r="AE8" s="20">
        <v>4.0080632950983519E-2</v>
      </c>
      <c r="AF8" s="20">
        <v>4.0080632950983519E-2</v>
      </c>
      <c r="AG8" s="20">
        <v>4.0080632950983519E-2</v>
      </c>
    </row>
    <row r="9" spans="1:35">
      <c r="B9" s="16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20"/>
      <c r="AB9" s="19"/>
      <c r="AC9" s="19"/>
      <c r="AD9" s="19"/>
      <c r="AE9" s="19"/>
      <c r="AF9" s="19"/>
      <c r="AG9" s="19"/>
    </row>
    <row r="10" spans="1:35">
      <c r="B10" s="21" t="s">
        <v>577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35">
      <c r="B11" s="16" t="s">
        <v>578</v>
      </c>
      <c r="C11" s="18">
        <v>1.6036655211913109E-2</v>
      </c>
      <c r="D11" s="18">
        <v>2.4802705749718212E-2</v>
      </c>
      <c r="E11" s="18">
        <v>2.0352035203520247E-2</v>
      </c>
      <c r="F11" s="18">
        <v>3.3423180592991875E-2</v>
      </c>
      <c r="G11" s="18">
        <v>3.3385498174230532E-2</v>
      </c>
      <c r="H11" s="18">
        <v>2.5239777889954462E-2</v>
      </c>
      <c r="I11" s="18">
        <v>4.1088133924175319E-2</v>
      </c>
      <c r="J11" s="18">
        <v>-2.2228002553859039E-4</v>
      </c>
      <c r="K11" s="18">
        <v>2.8141231232083674E-2</v>
      </c>
      <c r="L11" s="18">
        <v>1.4377930222179369E-2</v>
      </c>
      <c r="M11" s="18">
        <v>3.0620668384193861E-2</v>
      </c>
      <c r="N11" s="18">
        <v>1.7595049796895523E-2</v>
      </c>
      <c r="O11" s="18">
        <v>1.5128383667573297E-2</v>
      </c>
      <c r="P11" s="18">
        <v>6.5312139196231911E-3</v>
      </c>
      <c r="Q11" s="18">
        <v>6.3872475153647912E-3</v>
      </c>
      <c r="R11" s="18">
        <v>2.0507989115119862E-2</v>
      </c>
      <c r="S11" s="18">
        <v>2.1299307195522532E-2</v>
      </c>
      <c r="T11" s="18">
        <v>2.0023809043401064E-2</v>
      </c>
      <c r="U11" s="18">
        <v>2.3195274699624457E-2</v>
      </c>
      <c r="V11" s="18">
        <v>1.3049530216912242E-2</v>
      </c>
      <c r="W11" s="18">
        <v>7.1765805996068854E-2</v>
      </c>
      <c r="X11" s="18">
        <v>6.411498247913161E-2</v>
      </c>
      <c r="Y11" s="18">
        <v>3.3208171023921373E-2</v>
      </c>
      <c r="Z11" s="18">
        <v>2.872366268806581E-2</v>
      </c>
      <c r="AA11" s="20">
        <v>3.7895399919770423E-2</v>
      </c>
      <c r="AB11" s="20">
        <v>2.7791218192388945E-2</v>
      </c>
      <c r="AC11" s="20">
        <v>2.5493107079235022E-2</v>
      </c>
      <c r="AD11" s="20">
        <v>2.5493107079235022E-2</v>
      </c>
      <c r="AE11" s="20">
        <v>2.5493107079235022E-2</v>
      </c>
      <c r="AF11" s="20">
        <v>2.5493107079235022E-2</v>
      </c>
      <c r="AG11" s="20">
        <v>2.5493107079235022E-2</v>
      </c>
    </row>
    <row r="12" spans="1:35">
      <c r="B12" s="22" t="s">
        <v>579</v>
      </c>
      <c r="C12" s="18">
        <v>2.7823240589198051E-2</v>
      </c>
      <c r="D12" s="18">
        <v>1.9639065817409707E-2</v>
      </c>
      <c r="E12" s="18">
        <v>1.0931806350858997E-2</v>
      </c>
      <c r="F12" s="18">
        <v>2.2657054582904346E-2</v>
      </c>
      <c r="G12" s="18">
        <v>2.1148036253776592E-2</v>
      </c>
      <c r="H12" s="18">
        <v>2.6134122287968298E-2</v>
      </c>
      <c r="I12" s="18">
        <v>2.4353676117251366E-2</v>
      </c>
      <c r="J12" s="18">
        <v>1.7624596562335837E-2</v>
      </c>
      <c r="K12" s="18">
        <v>1.8236717759594345E-2</v>
      </c>
      <c r="L12" s="18">
        <v>6.6189486646655027E-3</v>
      </c>
      <c r="M12" s="18">
        <v>2.2766626338585061E-2</v>
      </c>
      <c r="N12" s="18">
        <v>1.8996943778720743E-2</v>
      </c>
      <c r="O12" s="18">
        <v>1.7408566188369834E-2</v>
      </c>
      <c r="P12" s="18">
        <v>1.6224195046636636E-2</v>
      </c>
      <c r="Q12" s="18">
        <v>2.0715072792840905E-2</v>
      </c>
      <c r="R12" s="18">
        <v>2.1971236613002709E-2</v>
      </c>
      <c r="S12" s="18">
        <v>1.770166453265043E-2</v>
      </c>
      <c r="T12" s="18">
        <v>2.2485295505299874E-2</v>
      </c>
      <c r="U12" s="18">
        <v>2.2905988164406255E-2</v>
      </c>
      <c r="V12" s="18">
        <v>1.6239380497707012E-2</v>
      </c>
      <c r="W12" s="18">
        <v>5.5045498261448556E-2</v>
      </c>
      <c r="X12" s="18">
        <v>5.6805073960192187E-2</v>
      </c>
      <c r="Y12" s="18">
        <v>3.9170866191365672E-2</v>
      </c>
      <c r="Z12" s="18">
        <v>3.2136130000319119E-2</v>
      </c>
      <c r="AA12" s="20">
        <v>3.8261770431675002E-2</v>
      </c>
      <c r="AB12" s="20">
        <v>2.9546608638138183E-2</v>
      </c>
      <c r="AC12" s="20">
        <v>2.7555024949450058E-2</v>
      </c>
      <c r="AD12" s="20">
        <v>2.7555024949450058E-2</v>
      </c>
      <c r="AE12" s="20">
        <v>2.7555024949450058E-2</v>
      </c>
      <c r="AF12" s="20">
        <v>2.7555024949450058E-2</v>
      </c>
      <c r="AG12" s="20">
        <v>2.7555024949450058E-2</v>
      </c>
    </row>
    <row r="13" spans="1:35">
      <c r="B13" s="16" t="s">
        <v>580</v>
      </c>
      <c r="C13" s="18">
        <v>2.0489094999999999E-2</v>
      </c>
      <c r="D13" s="18">
        <v>2.2776339E-2</v>
      </c>
      <c r="E13" s="18">
        <v>1.9736147999999998E-2</v>
      </c>
      <c r="F13" s="18">
        <v>2.3597599E-2</v>
      </c>
      <c r="G13" s="18">
        <v>2.2244692E-2</v>
      </c>
      <c r="H13" s="18">
        <v>1.9188922000000001E-2</v>
      </c>
      <c r="I13" s="18">
        <v>3.0667702000000002E-2</v>
      </c>
      <c r="J13" s="18">
        <v>1.5819209000000001E-2</v>
      </c>
      <c r="K13" s="18">
        <v>9.2695590000000001E-3</v>
      </c>
      <c r="L13" s="18">
        <v>2.2134460000000002E-2</v>
      </c>
      <c r="M13" s="18">
        <v>2.7495731999999998E-2</v>
      </c>
      <c r="N13" s="18">
        <v>2.2200000000000001E-2</v>
      </c>
      <c r="O13" s="18">
        <v>8.5000000000000006E-3</v>
      </c>
      <c r="P13" s="18">
        <v>-1.6981320547397871E-3</v>
      </c>
      <c r="Q13" s="18">
        <v>2.3013808284970683E-3</v>
      </c>
      <c r="R13" s="18">
        <v>1.1380652890086829E-2</v>
      </c>
      <c r="S13" s="18">
        <v>1.3522850656401131E-2</v>
      </c>
      <c r="T13" s="18">
        <v>1.6E-2</v>
      </c>
      <c r="U13" s="18">
        <v>1.2999999999999999E-2</v>
      </c>
      <c r="V13" s="18">
        <v>-3.0000000000000001E-3</v>
      </c>
      <c r="W13" s="18">
        <v>0.05</v>
      </c>
      <c r="X13" s="18">
        <v>9.1999999999999998E-2</v>
      </c>
      <c r="Y13" s="18">
        <v>2.9000000000000001E-2</v>
      </c>
      <c r="Z13" s="18">
        <v>2.4E-2</v>
      </c>
      <c r="AA13" s="20">
        <v>0.02</v>
      </c>
      <c r="AB13" s="20">
        <v>0.02</v>
      </c>
      <c r="AC13" s="20">
        <v>0.02</v>
      </c>
      <c r="AD13" s="20">
        <v>0.02</v>
      </c>
      <c r="AE13" s="20">
        <v>0.02</v>
      </c>
      <c r="AF13" s="20">
        <v>0.02</v>
      </c>
      <c r="AG13" s="20">
        <v>0.02</v>
      </c>
    </row>
    <row r="14" spans="1:35">
      <c r="B14" s="14" t="s">
        <v>180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  <c r="AB14" s="24"/>
      <c r="AC14" s="24"/>
      <c r="AD14" s="24"/>
      <c r="AE14" s="24"/>
      <c r="AF14" s="24"/>
      <c r="AG14" s="24"/>
    </row>
    <row r="15" spans="1:35">
      <c r="B15" s="21" t="s">
        <v>572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5">
      <c r="B16" s="16" t="s">
        <v>581</v>
      </c>
      <c r="C16" s="25">
        <v>1315.7560000000001</v>
      </c>
      <c r="D16" s="25">
        <v>1488.788</v>
      </c>
      <c r="E16" s="25">
        <v>1717.951</v>
      </c>
      <c r="F16" s="25">
        <v>1957.75</v>
      </c>
      <c r="G16" s="25">
        <v>2170.5839999999998</v>
      </c>
      <c r="H16" s="25">
        <v>2409.4499999999998</v>
      </c>
      <c r="I16" s="25">
        <v>2720.2629999999999</v>
      </c>
      <c r="J16" s="25">
        <v>3109.8029999999999</v>
      </c>
      <c r="K16" s="25">
        <v>3333.0390000000002</v>
      </c>
      <c r="L16" s="25">
        <v>3885.8470000000002</v>
      </c>
      <c r="M16" s="25">
        <v>4376.3819999999996</v>
      </c>
      <c r="N16" s="25">
        <v>4814.76</v>
      </c>
      <c r="O16" s="25">
        <v>5331.6189999999997</v>
      </c>
      <c r="P16" s="25">
        <v>5778.9530000000004</v>
      </c>
      <c r="Q16" s="25">
        <v>5995.7870000000003</v>
      </c>
      <c r="R16" s="25">
        <v>6269.3270000000002</v>
      </c>
      <c r="S16" s="25">
        <v>6585.4790000000003</v>
      </c>
      <c r="T16" s="25">
        <v>7004.1409999999996</v>
      </c>
      <c r="U16" s="25">
        <v>7389.1310000000003</v>
      </c>
      <c r="V16" s="25">
        <v>7609.5969999999998</v>
      </c>
      <c r="W16" s="25">
        <v>9012.1419999999998</v>
      </c>
      <c r="X16" s="25">
        <v>10079.675999999999</v>
      </c>
      <c r="Y16" s="25">
        <v>10943.343999999999</v>
      </c>
      <c r="Z16" s="25">
        <v>11744.709000000001</v>
      </c>
      <c r="AA16" s="26">
        <v>12615.817965689303</v>
      </c>
      <c r="AB16" s="26">
        <v>13330.956270957242</v>
      </c>
      <c r="AC16" s="26">
        <v>14098.699303567255</v>
      </c>
      <c r="AD16" s="26">
        <v>14870.566175691807</v>
      </c>
      <c r="AE16" s="26">
        <v>14870.566175691807</v>
      </c>
      <c r="AF16" s="26">
        <v>14870.566175691807</v>
      </c>
      <c r="AG16" s="26">
        <v>14870.566175691807</v>
      </c>
    </row>
    <row r="17" spans="2:35">
      <c r="B17" s="16" t="s">
        <v>582</v>
      </c>
      <c r="C17" s="25">
        <v>559.70986224455771</v>
      </c>
      <c r="D17" s="25">
        <v>509.56269518999682</v>
      </c>
      <c r="E17" s="25">
        <v>558.30909628334541</v>
      </c>
      <c r="F17" s="25">
        <v>669.05906068642184</v>
      </c>
      <c r="G17" s="25">
        <v>891.37146813732249</v>
      </c>
      <c r="H17" s="25">
        <v>1107.7686729395832</v>
      </c>
      <c r="I17" s="25">
        <v>1396.9991746251924</v>
      </c>
      <c r="J17" s="25">
        <v>1693.7689914740615</v>
      </c>
      <c r="K17" s="25">
        <v>1667.0503084182521</v>
      </c>
      <c r="L17" s="25">
        <v>2207.5775037712674</v>
      </c>
      <c r="M17" s="25">
        <v>2612.4242252701606</v>
      </c>
      <c r="N17" s="25">
        <v>2463.0438327775091</v>
      </c>
      <c r="O17" s="25">
        <v>2468.363641088129</v>
      </c>
      <c r="P17" s="25">
        <v>2454.7591167496157</v>
      </c>
      <c r="Q17" s="25">
        <v>1800.0681504313191</v>
      </c>
      <c r="R17" s="25">
        <v>1798.0904352065854</v>
      </c>
      <c r="S17" s="25">
        <v>2063.2761983337291</v>
      </c>
      <c r="T17" s="25">
        <v>1915.8633611729092</v>
      </c>
      <c r="U17" s="25">
        <v>1872.4911622720879</v>
      </c>
      <c r="V17" s="25">
        <v>1474.592358261594</v>
      </c>
      <c r="W17" s="25">
        <v>1670.1807079129401</v>
      </c>
      <c r="X17" s="25">
        <v>1951.4526980152493</v>
      </c>
      <c r="Y17" s="25">
        <v>2192.2494741410974</v>
      </c>
      <c r="Z17" s="25">
        <v>2179.1647745990144</v>
      </c>
      <c r="AA17" s="26">
        <v>2238.3877154325251</v>
      </c>
      <c r="AB17" s="26">
        <v>2423.810231083135</v>
      </c>
      <c r="AC17" s="26">
        <v>2539.0804493806054</v>
      </c>
      <c r="AD17" s="26">
        <v>2628.5960241303214</v>
      </c>
      <c r="AE17" s="26">
        <v>2628.5960241303214</v>
      </c>
      <c r="AF17" s="26">
        <v>2628.5960241303214</v>
      </c>
      <c r="AG17" s="26">
        <v>2628.5960241303214</v>
      </c>
    </row>
    <row r="18" spans="2:35">
      <c r="B18" s="16" t="s">
        <v>583</v>
      </c>
      <c r="C18" s="18">
        <v>1.3898886533416421E-2</v>
      </c>
      <c r="D18" s="18">
        <v>3.0534605028363027E-2</v>
      </c>
      <c r="E18" s="18">
        <v>1.140838373341424E-2</v>
      </c>
      <c r="F18" s="18">
        <v>5.7599566374817668E-2</v>
      </c>
      <c r="G18" s="18">
        <v>3.2021683160350811E-2</v>
      </c>
      <c r="H18" s="18">
        <v>3.9619560228338679E-2</v>
      </c>
      <c r="I18" s="18">
        <v>6.0698951027909676E-2</v>
      </c>
      <c r="J18" s="18">
        <v>5.0941770834585176E-2</v>
      </c>
      <c r="K18" s="18">
        <v>-1.2581412976262474E-3</v>
      </c>
      <c r="L18" s="18">
        <v>7.5282491203301882E-2</v>
      </c>
      <c r="M18" s="18">
        <v>3.9744026619628059E-2</v>
      </c>
      <c r="N18" s="18">
        <v>1.9211814943874916E-2</v>
      </c>
      <c r="O18" s="18">
        <v>3.0048269457775278E-2</v>
      </c>
      <c r="P18" s="18">
        <v>5.0393459495359227E-3</v>
      </c>
      <c r="Q18" s="18">
        <v>-3.5457552842598106E-2</v>
      </c>
      <c r="R18" s="18">
        <v>-3.2759130499899647E-2</v>
      </c>
      <c r="S18" s="18">
        <v>1.3228683839367816E-2</v>
      </c>
      <c r="T18" s="18">
        <v>1.7836721768855313E-2</v>
      </c>
      <c r="U18" s="18">
        <v>1.2207618682791299E-2</v>
      </c>
      <c r="V18" s="18">
        <v>-3.2767506495341547E-2</v>
      </c>
      <c r="W18" s="18">
        <v>4.7625989483594866E-2</v>
      </c>
      <c r="X18" s="18">
        <v>3.0167179011841849E-2</v>
      </c>
      <c r="Y18" s="18">
        <v>3.2416517981320281E-2</v>
      </c>
      <c r="Z18" s="18">
        <v>3.3958547907858572E-2</v>
      </c>
      <c r="AA18" s="20">
        <v>2.1999606730333188E-2</v>
      </c>
      <c r="AB18" s="20">
        <v>1.4787158646593745E-2</v>
      </c>
      <c r="AC18" s="20">
        <v>1.4835542582529726E-2</v>
      </c>
      <c r="AD18" s="20">
        <v>1.4034099234319308E-2</v>
      </c>
      <c r="AE18" s="20">
        <v>1.4034099234319308E-2</v>
      </c>
      <c r="AF18" s="20">
        <v>1.4034099234319308E-2</v>
      </c>
      <c r="AG18" s="20">
        <v>1.4034099234319308E-2</v>
      </c>
    </row>
    <row r="19" spans="2:35">
      <c r="B19" s="16" t="s">
        <v>584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7.395058178473049E-2</v>
      </c>
      <c r="O19" s="18">
        <v>7.1989324886680597E-2</v>
      </c>
      <c r="P19" s="18">
        <v>6.8863643361877808E-2</v>
      </c>
      <c r="Q19" s="18">
        <v>8.6234917812816322E-2</v>
      </c>
      <c r="R19" s="18">
        <v>0.11621862125783347</v>
      </c>
      <c r="S19" s="18">
        <v>0.12832353880280695</v>
      </c>
      <c r="T19" s="18">
        <v>0.12371062396237216</v>
      </c>
      <c r="U19" s="18">
        <v>0.11986487582720645</v>
      </c>
      <c r="V19" s="18">
        <v>0.13745820800355577</v>
      </c>
      <c r="W19" s="18">
        <v>0.1323742387430685</v>
      </c>
      <c r="X19" s="18">
        <v>9.2687283843947199E-2</v>
      </c>
      <c r="Y19" s="18">
        <v>7.9756966043739788E-2</v>
      </c>
      <c r="Z19" s="18">
        <v>6.8295124807293134E-2</v>
      </c>
      <c r="AA19" s="20">
        <v>6.2324079269274454E-2</v>
      </c>
      <c r="AB19" s="20">
        <v>6.6575811971658738E-2</v>
      </c>
      <c r="AC19" s="20">
        <v>7.133298613677834E-2</v>
      </c>
      <c r="AD19" s="20">
        <v>7.442318120890884E-2</v>
      </c>
      <c r="AE19" s="20">
        <v>7.442318120890884E-2</v>
      </c>
      <c r="AF19" s="20">
        <v>7.442318120890884E-2</v>
      </c>
      <c r="AG19" s="20">
        <v>7.442318120890884E-2</v>
      </c>
    </row>
    <row r="20" spans="2:35">
      <c r="B20" s="16" t="s">
        <v>585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7.5160108431560402E-2</v>
      </c>
      <c r="O20" s="18">
        <v>6.8673539418332097E-2</v>
      </c>
      <c r="P20" s="18">
        <v>7.2065891575092911E-2</v>
      </c>
      <c r="Q20" s="18">
        <v>9.7088794495911679E-2</v>
      </c>
      <c r="R20" s="18">
        <v>0.12796007075631066</v>
      </c>
      <c r="S20" s="18">
        <v>0.12553532692195546</v>
      </c>
      <c r="T20" s="18">
        <v>0.12338088201644315</v>
      </c>
      <c r="U20" s="18">
        <v>0.11622086201235306</v>
      </c>
      <c r="V20" s="18">
        <v>0.14686537682677869</v>
      </c>
      <c r="W20" s="18">
        <v>0.11610700942190444</v>
      </c>
      <c r="X20" s="18">
        <v>8.4211912378366005E-2</v>
      </c>
      <c r="Y20" s="18">
        <v>7.8782255054822281E-2</v>
      </c>
      <c r="Z20" s="18">
        <v>6.5888725558952976E-2</v>
      </c>
      <c r="AA20" s="20">
        <v>6.4023470098982127E-2</v>
      </c>
      <c r="AB20" s="20">
        <v>6.9063668223844243E-2</v>
      </c>
      <c r="AC20" s="20">
        <v>7.3063668223844358E-2</v>
      </c>
      <c r="AD20" s="20">
        <v>7.5583668223844214E-2</v>
      </c>
      <c r="AE20" s="20">
        <v>7.5583668223844214E-2</v>
      </c>
      <c r="AF20" s="20">
        <v>7.5583668223844214E-2</v>
      </c>
      <c r="AG20" s="20">
        <v>7.5583668223844214E-2</v>
      </c>
    </row>
    <row r="21" spans="2:35">
      <c r="B21" s="21" t="s">
        <v>577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2:35">
      <c r="B22" s="16" t="s">
        <v>586</v>
      </c>
      <c r="C22" s="27">
        <v>7.6734364140733202E-2</v>
      </c>
      <c r="D22" s="27">
        <v>0.12530273356687704</v>
      </c>
      <c r="E22" s="27">
        <v>9.3005128004000293E-2</v>
      </c>
      <c r="F22" s="27">
        <v>7.5994958488264208E-2</v>
      </c>
      <c r="G22" s="27">
        <v>5.6892268187350936E-2</v>
      </c>
      <c r="H22" s="27">
        <v>3.1415161315768714E-2</v>
      </c>
      <c r="I22" s="27">
        <v>4.4576585533737223E-2</v>
      </c>
      <c r="J22" s="27">
        <v>5.9027243906546456E-2</v>
      </c>
      <c r="K22" s="27">
        <v>4.31165006256784E-2</v>
      </c>
      <c r="L22" s="27">
        <v>5.9086887217945305E-2</v>
      </c>
      <c r="M22" s="27">
        <v>6.5033527436801686E-2</v>
      </c>
      <c r="N22" s="27">
        <v>5.8385947181474496E-2</v>
      </c>
      <c r="O22" s="27">
        <v>5.910683255331084E-2</v>
      </c>
      <c r="P22" s="27">
        <v>6.4074707959081545E-2</v>
      </c>
      <c r="Q22" s="27">
        <v>0.1067302813397506</v>
      </c>
      <c r="R22" s="27">
        <v>6.2879882132213849E-2</v>
      </c>
      <c r="S22" s="27">
        <v>2.9474213204347066E-2</v>
      </c>
      <c r="T22" s="27">
        <v>3.7455811701915476E-2</v>
      </c>
      <c r="U22" s="27">
        <v>4.306151617159526E-2</v>
      </c>
      <c r="V22" s="27">
        <v>4.517456886424509E-2</v>
      </c>
      <c r="W22" s="27">
        <v>0.10060982737443336</v>
      </c>
      <c r="X22" s="27">
        <v>5.7850929078894664E-2</v>
      </c>
      <c r="Y22" s="27">
        <v>4.6211900050818322E-2</v>
      </c>
      <c r="Z22" s="27">
        <v>4.8311967483947837E-2</v>
      </c>
      <c r="AA22" s="28">
        <v>5.0645729174001675E-2</v>
      </c>
      <c r="AB22" s="28">
        <v>4.3688363844500921E-2</v>
      </c>
      <c r="AC22" s="28">
        <v>4.0000000000000924E-2</v>
      </c>
      <c r="AD22" s="28">
        <v>3.5000000000000142E-2</v>
      </c>
      <c r="AE22" s="28">
        <v>3.5000000000000142E-2</v>
      </c>
      <c r="AF22" s="28">
        <v>3.5000000000000142E-2</v>
      </c>
      <c r="AG22" s="28">
        <v>3.5000000000000142E-2</v>
      </c>
      <c r="AH22" s="29"/>
      <c r="AI22" s="29"/>
    </row>
    <row r="23" spans="2:35">
      <c r="B23" s="16" t="s">
        <v>587</v>
      </c>
      <c r="C23" s="27">
        <v>9.4410287889777234E-2</v>
      </c>
      <c r="D23" s="27">
        <v>0.14739919134520774</v>
      </c>
      <c r="E23" s="27">
        <v>0.10383957866064764</v>
      </c>
      <c r="F23" s="27">
        <v>6.1327937947308842E-2</v>
      </c>
      <c r="G23" s="27">
        <v>5.046764680776672E-2</v>
      </c>
      <c r="H23" s="27">
        <v>2.8130864627469387E-2</v>
      </c>
      <c r="I23" s="27">
        <v>5.1553414501044337E-2</v>
      </c>
      <c r="J23" s="27">
        <v>6.4809611922563626E-2</v>
      </c>
      <c r="K23" s="27">
        <v>4.1137974730346194E-2</v>
      </c>
      <c r="L23" s="27">
        <v>6.4652138821630123E-2</v>
      </c>
      <c r="M23" s="27">
        <v>6.0801877638154034E-2</v>
      </c>
      <c r="N23" s="27">
        <v>6.1973489753506472E-2</v>
      </c>
      <c r="O23" s="27">
        <v>5.5627484811861416E-2</v>
      </c>
      <c r="P23" s="27">
        <v>6.2283737024220853E-2</v>
      </c>
      <c r="Q23" s="27">
        <v>0.11276071233968388</v>
      </c>
      <c r="R23" s="27">
        <v>6.579949307016042E-2</v>
      </c>
      <c r="S23" s="27">
        <v>2.0672849226235357E-2</v>
      </c>
      <c r="T23" s="27">
        <v>3.433724905411939E-2</v>
      </c>
      <c r="U23" s="27">
        <v>4.4815263569577324E-2</v>
      </c>
      <c r="V23" s="27">
        <v>5.4473158845030234E-2</v>
      </c>
      <c r="W23" s="27">
        <v>0.10160248211585365</v>
      </c>
      <c r="X23" s="27">
        <v>5.932464430645501E-2</v>
      </c>
      <c r="Y23" s="27">
        <v>3.7069300801598537E-2</v>
      </c>
      <c r="Z23" s="27">
        <v>4.7762056985797274E-2</v>
      </c>
      <c r="AA23" s="28">
        <v>4.9916111191101065E-2</v>
      </c>
      <c r="AB23" s="28">
        <v>4.2196154886492865E-2</v>
      </c>
      <c r="AC23" s="28">
        <v>4.0000000000000924E-2</v>
      </c>
      <c r="AD23" s="28">
        <v>3.5000000000000142E-2</v>
      </c>
      <c r="AE23" s="28">
        <v>3.5000000000000142E-2</v>
      </c>
      <c r="AF23" s="28">
        <v>3.5000000000000142E-2</v>
      </c>
      <c r="AG23" s="28">
        <v>3.5000000000000142E-2</v>
      </c>
    </row>
    <row r="24" spans="2:35">
      <c r="B24" s="16" t="s">
        <v>173</v>
      </c>
      <c r="C24" s="18">
        <v>0.1038467627038151</v>
      </c>
      <c r="D24" s="18">
        <v>0.25306828643199819</v>
      </c>
      <c r="E24" s="18">
        <v>8.7083328718522202E-2</v>
      </c>
      <c r="F24" s="18">
        <v>0.12412762561342139</v>
      </c>
      <c r="G24" s="18">
        <v>1.208743070346352E-2</v>
      </c>
      <c r="H24" s="18">
        <v>3.8315731658537411E-2</v>
      </c>
      <c r="I24" s="18">
        <v>7.7543827369897844E-2</v>
      </c>
      <c r="J24" s="18">
        <v>9.8075050358176652E-2</v>
      </c>
      <c r="K24" s="18">
        <v>-1.7192492255360459E-2</v>
      </c>
      <c r="L24" s="18">
        <v>0.11323142949673537</v>
      </c>
      <c r="M24" s="18">
        <v>5.0968130206239914E-2</v>
      </c>
      <c r="N24" s="18">
        <v>7.818244825167131E-2</v>
      </c>
      <c r="O24" s="18">
        <v>5.5106104434671455E-2</v>
      </c>
      <c r="P24" s="18">
        <v>3.6857551498040264E-2</v>
      </c>
      <c r="Q24" s="27">
        <v>0.10539166948817025</v>
      </c>
      <c r="R24" s="18">
        <v>7.1729082528960708E-2</v>
      </c>
      <c r="S24" s="18">
        <v>-5.2094044493907754E-3</v>
      </c>
      <c r="T24" s="18">
        <v>7.5368734029632511E-2</v>
      </c>
      <c r="U24" s="18">
        <v>7.3039306458065001E-2</v>
      </c>
      <c r="V24" s="18">
        <v>0.23138351126052559</v>
      </c>
      <c r="W24" s="18">
        <v>0.17783212339450416</v>
      </c>
      <c r="X24" s="18">
        <v>5.4512855725947995E-2</v>
      </c>
      <c r="Y24" s="18">
        <v>-3.1758279716232463E-2</v>
      </c>
      <c r="Z24" s="18">
        <v>6.5356584277505458E-2</v>
      </c>
      <c r="AA24" s="28">
        <v>1.7552156950739084E-2</v>
      </c>
      <c r="AB24" s="28">
        <v>3.6658263529723234E-2</v>
      </c>
      <c r="AC24" s="28">
        <v>4.0000000000001368E-2</v>
      </c>
      <c r="AD24" s="28">
        <v>3.500000000000103E-2</v>
      </c>
      <c r="AE24" s="28">
        <v>3.500000000000103E-2</v>
      </c>
      <c r="AF24" s="28">
        <v>3.500000000000103E-2</v>
      </c>
      <c r="AG24" s="28">
        <v>3.500000000000103E-2</v>
      </c>
      <c r="AH24" s="29"/>
      <c r="AI24" s="29"/>
    </row>
    <row r="25" spans="2:35">
      <c r="B25" s="16" t="s">
        <v>588</v>
      </c>
      <c r="C25" s="18">
        <v>0.11883209760486002</v>
      </c>
      <c r="D25" s="18">
        <v>0.33643973239493863</v>
      </c>
      <c r="E25" s="18">
        <v>7.6478203407819745E-2</v>
      </c>
      <c r="F25" s="18">
        <v>0.15090038464557654</v>
      </c>
      <c r="G25" s="18">
        <v>-9.5625769030346364E-3</v>
      </c>
      <c r="H25" s="18">
        <v>4.3996606322377341E-2</v>
      </c>
      <c r="I25" s="18">
        <v>9.1920844327176843E-2</v>
      </c>
      <c r="J25" s="18">
        <v>0.10841440370386479</v>
      </c>
      <c r="K25" s="18">
        <v>-4.4244218493843523E-2</v>
      </c>
      <c r="L25" s="18">
        <v>0.13898437303978706</v>
      </c>
      <c r="M25" s="18">
        <v>4.3445260853805179E-2</v>
      </c>
      <c r="N25" s="18">
        <v>8.6333931501722638E-2</v>
      </c>
      <c r="O25" s="18">
        <v>5.1203318622375926E-2</v>
      </c>
      <c r="P25" s="18">
        <v>2.127058823529393E-2</v>
      </c>
      <c r="Q25" s="18">
        <v>0.11199757757678697</v>
      </c>
      <c r="R25" s="18">
        <v>7.6383133642735412E-2</v>
      </c>
      <c r="S25" s="18">
        <v>-2.5474169044099937E-2</v>
      </c>
      <c r="T25" s="18">
        <v>9.429498149681792E-2</v>
      </c>
      <c r="U25" s="18">
        <v>9.0768443323066217E-2</v>
      </c>
      <c r="V25" s="18">
        <v>0.31629741524001354</v>
      </c>
      <c r="W25" s="18">
        <v>0.20566523142681414</v>
      </c>
      <c r="X25" s="18">
        <v>5.2735292085666075E-2</v>
      </c>
      <c r="Y25" s="18">
        <v>-5.5919134395437053E-2</v>
      </c>
      <c r="Z25" s="18">
        <v>7.233372372608482E-2</v>
      </c>
      <c r="AA25" s="20">
        <v>2.8100425908379467E-3</v>
      </c>
      <c r="AB25" s="20">
        <v>3.2917339227744202E-2</v>
      </c>
      <c r="AC25" s="20">
        <v>4.0000000000000924E-2</v>
      </c>
      <c r="AD25" s="20">
        <v>3.5000000000000142E-2</v>
      </c>
      <c r="AE25" s="20">
        <v>3.5000000000000142E-2</v>
      </c>
      <c r="AF25" s="20">
        <v>3.5000000000000142E-2</v>
      </c>
      <c r="AG25" s="20">
        <v>3.5000000000000142E-2</v>
      </c>
    </row>
    <row r="26" spans="2:35">
      <c r="B26" s="21" t="s">
        <v>589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2:35">
      <c r="B27" s="16" t="s">
        <v>590</v>
      </c>
      <c r="C27" s="30">
        <v>0.19</v>
      </c>
      <c r="D27" s="30">
        <v>0.25</v>
      </c>
      <c r="E27" s="30">
        <v>0.16500000000000001</v>
      </c>
      <c r="F27" s="30">
        <v>0.17749999999999999</v>
      </c>
      <c r="G27" s="30">
        <v>0.18</v>
      </c>
      <c r="H27" s="30">
        <v>0.13250000000000001</v>
      </c>
      <c r="I27" s="30">
        <v>0.1125</v>
      </c>
      <c r="J27" s="30">
        <v>0.13750000000000001</v>
      </c>
      <c r="K27" s="30">
        <v>8.7499999999999994E-2</v>
      </c>
      <c r="L27" s="30">
        <v>0.1075</v>
      </c>
      <c r="M27" s="30">
        <v>0.11</v>
      </c>
      <c r="N27" s="30">
        <v>7.2499999999999995E-2</v>
      </c>
      <c r="O27" s="30">
        <v>0.1</v>
      </c>
      <c r="P27" s="30">
        <v>0.11749999999999999</v>
      </c>
      <c r="Q27" s="30">
        <v>0.14249999999999999</v>
      </c>
      <c r="R27" s="30">
        <v>0.13750000000000001</v>
      </c>
      <c r="S27" s="30">
        <v>7.0000000000000007E-2</v>
      </c>
      <c r="T27" s="30">
        <v>6.5000000000000002E-2</v>
      </c>
      <c r="U27" s="30">
        <v>4.4999999999999998E-2</v>
      </c>
      <c r="V27" s="30">
        <v>0.02</v>
      </c>
      <c r="W27" s="30">
        <v>9.2499999999999999E-2</v>
      </c>
      <c r="X27" s="30">
        <v>0.13750000000000001</v>
      </c>
      <c r="Y27" s="30">
        <v>0.11749999999999999</v>
      </c>
      <c r="Z27" s="30">
        <v>0.1225</v>
      </c>
      <c r="AA27" s="31">
        <v>0.15</v>
      </c>
      <c r="AB27" s="31">
        <v>0.1275</v>
      </c>
      <c r="AC27" s="31">
        <v>0.1125</v>
      </c>
      <c r="AD27" s="31">
        <v>0.10249999999999999</v>
      </c>
      <c r="AE27" s="31">
        <v>0.10249999999999999</v>
      </c>
      <c r="AF27" s="31">
        <v>0.10249999999999999</v>
      </c>
      <c r="AG27" s="31">
        <v>0.10249999999999999</v>
      </c>
    </row>
    <row r="28" spans="2:35">
      <c r="B28" s="16" t="s">
        <v>591</v>
      </c>
      <c r="C28" s="30">
        <v>0.17624999999999999</v>
      </c>
      <c r="D28" s="30">
        <v>0.19479166666666667</v>
      </c>
      <c r="E28" s="30">
        <v>0.23083333333333333</v>
      </c>
      <c r="F28" s="30">
        <v>0.16437499999999999</v>
      </c>
      <c r="G28" s="30">
        <v>0.19145833333333331</v>
      </c>
      <c r="H28" s="30">
        <v>0.15062500000000001</v>
      </c>
      <c r="I28" s="30">
        <v>0.11979166666666666</v>
      </c>
      <c r="J28" s="30">
        <v>0.12541666666666665</v>
      </c>
      <c r="K28" s="30">
        <v>9.9166666666666667E-2</v>
      </c>
      <c r="L28" s="30">
        <v>0.1</v>
      </c>
      <c r="M28" s="30">
        <v>0.11708333333333334</v>
      </c>
      <c r="N28" s="30">
        <v>8.4583333333333344E-2</v>
      </c>
      <c r="O28" s="30">
        <v>8.4375000000000006E-2</v>
      </c>
      <c r="P28" s="30">
        <v>0.11020833333333334</v>
      </c>
      <c r="Q28" s="30">
        <v>0.13583333333333333</v>
      </c>
      <c r="R28" s="30">
        <v>0.14166666666666666</v>
      </c>
      <c r="S28" s="30">
        <v>9.9166666666666667E-2</v>
      </c>
      <c r="T28" s="30">
        <v>6.5625000000000003E-2</v>
      </c>
      <c r="U28" s="30">
        <v>5.9583333333333328E-2</v>
      </c>
      <c r="V28" s="30">
        <v>2.8125000000000001E-2</v>
      </c>
      <c r="W28" s="30">
        <v>4.8125000000000001E-2</v>
      </c>
      <c r="X28" s="30">
        <v>0.12625</v>
      </c>
      <c r="Y28" s="30">
        <v>0.13250000000000001</v>
      </c>
      <c r="Z28" s="30">
        <v>0.10916666666666666</v>
      </c>
      <c r="AA28" s="31">
        <v>0.145625</v>
      </c>
      <c r="AB28" s="31">
        <v>0.13458333333333333</v>
      </c>
      <c r="AC28" s="31">
        <v>0.11770833333333335</v>
      </c>
      <c r="AD28" s="31">
        <v>0.10458333333333333</v>
      </c>
      <c r="AE28" s="31">
        <v>0.10458333333333333</v>
      </c>
      <c r="AF28" s="31">
        <v>0.10458333333333333</v>
      </c>
      <c r="AG28" s="31">
        <v>0.10458333333333333</v>
      </c>
      <c r="AH28" s="32"/>
      <c r="AI28" s="32"/>
    </row>
    <row r="29" spans="2:35">
      <c r="B29" s="16" t="s">
        <v>592</v>
      </c>
      <c r="C29" s="33">
        <f t="shared" ref="C29:AD29" si="1">(1+C27)/(1+C22)-1</f>
        <v>0.10519366673102892</v>
      </c>
      <c r="D29" s="33">
        <f t="shared" si="1"/>
        <v>0.11081219543284093</v>
      </c>
      <c r="E29" s="33">
        <f t="shared" si="1"/>
        <v>6.5868741281638554E-2</v>
      </c>
      <c r="F29" s="33">
        <f t="shared" si="1"/>
        <v>9.4335982442098842E-2</v>
      </c>
      <c r="G29" s="33">
        <f t="shared" si="1"/>
        <v>0.1164808708685019</v>
      </c>
      <c r="H29" s="33">
        <f t="shared" si="1"/>
        <v>9.8005965469111445E-2</v>
      </c>
      <c r="I29" s="33">
        <f t="shared" si="1"/>
        <v>6.5024829588303135E-2</v>
      </c>
      <c r="J29" s="33">
        <f t="shared" si="1"/>
        <v>7.4098902124540844E-2</v>
      </c>
      <c r="K29" s="33">
        <f t="shared" si="1"/>
        <v>4.2548938059842278E-2</v>
      </c>
      <c r="L29" s="33">
        <f t="shared" si="1"/>
        <v>4.5712125573783791E-2</v>
      </c>
      <c r="M29" s="33">
        <f t="shared" si="1"/>
        <v>4.2220710808436701E-2</v>
      </c>
      <c r="N29" s="33">
        <f t="shared" si="1"/>
        <v>1.3335449942539324E-2</v>
      </c>
      <c r="O29" s="33">
        <f t="shared" si="1"/>
        <v>3.8610993895774826E-2</v>
      </c>
      <c r="P29" s="33">
        <f t="shared" si="1"/>
        <v>5.0208215307916859E-2</v>
      </c>
      <c r="Q29" s="33">
        <f t="shared" si="1"/>
        <v>3.2320177068751121E-2</v>
      </c>
      <c r="R29" s="33">
        <f t="shared" si="1"/>
        <v>7.0205598132211167E-2</v>
      </c>
      <c r="S29" s="33">
        <f t="shared" si="1"/>
        <v>3.9365519093006007E-2</v>
      </c>
      <c r="T29" s="33">
        <f t="shared" si="1"/>
        <v>2.6549746010771313E-2</v>
      </c>
      <c r="U29" s="33">
        <f t="shared" si="1"/>
        <v>1.8584558996286304E-3</v>
      </c>
      <c r="V29" s="33">
        <f t="shared" si="1"/>
        <v>-2.4086472838313888E-2</v>
      </c>
      <c r="W29" s="33">
        <f t="shared" si="1"/>
        <v>-7.3684853366972058E-3</v>
      </c>
      <c r="X29" s="33">
        <f t="shared" si="1"/>
        <v>7.5293284461600107E-2</v>
      </c>
      <c r="Y29" s="33">
        <f t="shared" si="1"/>
        <v>6.8139255485164085E-2</v>
      </c>
      <c r="Z29" s="33">
        <f t="shared" si="1"/>
        <v>7.0769040912611825E-2</v>
      </c>
      <c r="AA29" s="34">
        <f t="shared" si="1"/>
        <v>9.4564959497916323E-2</v>
      </c>
      <c r="AB29" s="34">
        <f t="shared" si="1"/>
        <v>8.0303315682061394E-2</v>
      </c>
      <c r="AC29" s="34">
        <f t="shared" si="1"/>
        <v>6.9711538461537659E-2</v>
      </c>
      <c r="AD29" s="34">
        <f t="shared" si="1"/>
        <v>6.5217391304347672E-2</v>
      </c>
      <c r="AE29" s="34">
        <f>(1+AE27)/(1+AE22)-1</f>
        <v>6.5217391304347672E-2</v>
      </c>
      <c r="AF29" s="34">
        <f>(1+AF27)/(1+AF22)-1</f>
        <v>6.5217391304347672E-2</v>
      </c>
      <c r="AG29" s="34">
        <f>(1+AG27)/(1+AG22)-1</f>
        <v>6.5217391304347672E-2</v>
      </c>
    </row>
    <row r="30" spans="2:35">
      <c r="B30" s="16" t="s">
        <v>593</v>
      </c>
      <c r="C30" s="30">
        <v>0.1905</v>
      </c>
      <c r="D30" s="30">
        <v>0.2291</v>
      </c>
      <c r="E30" s="30">
        <v>0.1681</v>
      </c>
      <c r="F30" s="30">
        <v>0.17460000000000001</v>
      </c>
      <c r="G30" s="30">
        <v>0.18149999999999999</v>
      </c>
      <c r="H30" s="30">
        <v>0.13110120704476697</v>
      </c>
      <c r="I30" s="30">
        <v>0.11109969802313063</v>
      </c>
      <c r="J30" s="30">
        <v>0.13610008595841577</v>
      </c>
      <c r="K30" s="30">
        <v>8.6099475416244242E-2</v>
      </c>
      <c r="L30" s="30">
        <v>0.10609883677758386</v>
      </c>
      <c r="M30" s="30">
        <v>0.10859925378752461</v>
      </c>
      <c r="N30" s="30">
        <v>7.1098984525206077E-2</v>
      </c>
      <c r="O30" s="30">
        <v>9.7799999999999998E-2</v>
      </c>
      <c r="P30" s="30">
        <v>0.11509999999999999</v>
      </c>
      <c r="Q30" s="30">
        <v>0.1414</v>
      </c>
      <c r="R30" s="30">
        <v>0.1363</v>
      </c>
      <c r="S30" s="30">
        <v>6.9900000000000004E-2</v>
      </c>
      <c r="T30" s="30">
        <v>6.4000000000000001E-2</v>
      </c>
      <c r="U30" s="30">
        <v>4.5899999999999996E-2</v>
      </c>
      <c r="V30" s="30">
        <v>1.9E-2</v>
      </c>
      <c r="W30" s="30">
        <v>8.7599999999999997E-2</v>
      </c>
      <c r="X30" s="30">
        <v>0.13650000000000001</v>
      </c>
      <c r="Y30" s="30">
        <v>0.11869999999999999</v>
      </c>
      <c r="Z30" s="30">
        <v>0.1177</v>
      </c>
      <c r="AA30" s="31">
        <v>0.14879866459632141</v>
      </c>
      <c r="AB30" s="31">
        <v>0.12632859856183509</v>
      </c>
      <c r="AC30" s="31">
        <v>0.11134837706469884</v>
      </c>
      <c r="AD30" s="31">
        <v>0.10136403876435569</v>
      </c>
      <c r="AE30" s="31">
        <v>0.10136403876435569</v>
      </c>
      <c r="AF30" s="31">
        <v>0.10136403876435569</v>
      </c>
      <c r="AG30" s="31">
        <v>0.10136403876435569</v>
      </c>
    </row>
    <row r="31" spans="2:35">
      <c r="B31" s="16" t="s">
        <v>594</v>
      </c>
      <c r="C31" s="33">
        <v>0.17422850431038683</v>
      </c>
      <c r="D31" s="33">
        <v>0.19037730952872756</v>
      </c>
      <c r="E31" s="33">
        <v>0.23224121137974185</v>
      </c>
      <c r="F31" s="33">
        <v>0.16169691194490365</v>
      </c>
      <c r="G31" s="33">
        <v>0.19072618185637613</v>
      </c>
      <c r="H31" s="33">
        <v>0.15179870575726562</v>
      </c>
      <c r="I31" s="33">
        <v>0.11905525543414952</v>
      </c>
      <c r="J31" s="33">
        <v>0.12298304837229779</v>
      </c>
      <c r="K31" s="33">
        <v>0.10004968270418302</v>
      </c>
      <c r="L31" s="33">
        <v>9.7538638373997344E-2</v>
      </c>
      <c r="M31" s="33">
        <v>0.11610634760581817</v>
      </c>
      <c r="N31" s="33">
        <v>8.4881228726430002E-2</v>
      </c>
      <c r="O31" s="33">
        <v>8.0172152034942101E-2</v>
      </c>
      <c r="P31" s="33">
        <v>0.10765295782093309</v>
      </c>
      <c r="Q31" s="33">
        <v>0.13333478108493146</v>
      </c>
      <c r="R31" s="33">
        <v>0.14059903456814271</v>
      </c>
      <c r="S31" s="33">
        <v>0.10046304404301298</v>
      </c>
      <c r="T31" s="33">
        <v>6.4757174250057226E-2</v>
      </c>
      <c r="U31" s="33">
        <v>5.9381227447692364E-2</v>
      </c>
      <c r="V31" s="33">
        <v>2.7847095323454196E-2</v>
      </c>
      <c r="W31" s="33">
        <v>4.3967663233453358E-2</v>
      </c>
      <c r="X31" s="33">
        <v>0.1242156862134729</v>
      </c>
      <c r="Y31" s="33">
        <v>0.13198299273696934</v>
      </c>
      <c r="Z31" s="33">
        <v>0.10838193185851752</v>
      </c>
      <c r="AA31" s="34">
        <v>0.14305188627202159</v>
      </c>
      <c r="AB31" s="34">
        <v>0.13440971397495916</v>
      </c>
      <c r="AC31" s="34">
        <v>0.1172777140947765</v>
      </c>
      <c r="AD31" s="34">
        <v>0.10405010963754213</v>
      </c>
      <c r="AE31" s="34">
        <v>0.10405010963754213</v>
      </c>
      <c r="AF31" s="34">
        <v>0.10405010963754213</v>
      </c>
      <c r="AG31" s="34">
        <v>0.10405010963754213</v>
      </c>
      <c r="AH31" s="35"/>
      <c r="AI31" s="35"/>
    </row>
    <row r="32" spans="2:35">
      <c r="B32" s="16" t="s">
        <v>595</v>
      </c>
      <c r="C32" s="36">
        <v>0.1</v>
      </c>
      <c r="D32" s="36">
        <v>0.1</v>
      </c>
      <c r="E32" s="36">
        <v>0.11</v>
      </c>
      <c r="F32" s="36">
        <v>9.7500000000000003E-2</v>
      </c>
      <c r="G32" s="36">
        <v>9.7500000000000003E-2</v>
      </c>
      <c r="H32" s="36">
        <v>6.8499999999999991E-2</v>
      </c>
      <c r="I32" s="36">
        <v>6.25E-2</v>
      </c>
      <c r="J32" s="36">
        <v>6.25E-2</v>
      </c>
      <c r="K32" s="36">
        <v>0.06</v>
      </c>
      <c r="L32" s="36">
        <v>0.06</v>
      </c>
      <c r="M32" s="36">
        <v>0.06</v>
      </c>
      <c r="N32" s="36">
        <v>5.5E-2</v>
      </c>
      <c r="O32" s="36">
        <v>0.05</v>
      </c>
      <c r="P32" s="36">
        <v>0.05</v>
      </c>
      <c r="Q32" s="36">
        <v>7.0000000000000007E-2</v>
      </c>
      <c r="R32" s="36">
        <v>7.4999999999999997E-2</v>
      </c>
      <c r="S32" s="36">
        <v>7.0000000000000007E-2</v>
      </c>
      <c r="T32" s="36">
        <v>6.9800000000000001E-2</v>
      </c>
      <c r="U32" s="36">
        <v>5.57E-2</v>
      </c>
      <c r="V32" s="36">
        <v>4.5499999999999999E-2</v>
      </c>
      <c r="W32" s="36">
        <v>5.3200000000000004E-2</v>
      </c>
      <c r="X32" s="36">
        <v>7.2000000000000008E-2</v>
      </c>
      <c r="Y32" s="36">
        <v>6.5500000000000003E-2</v>
      </c>
      <c r="Z32" s="36">
        <v>7.4299999999999991E-2</v>
      </c>
      <c r="AA32" s="37">
        <v>8.8080029007604102E-2</v>
      </c>
      <c r="AB32" s="37">
        <v>7.9054419552192126E-2</v>
      </c>
      <c r="AC32" s="37">
        <v>7.2143815097402239E-2</v>
      </c>
      <c r="AD32" s="37">
        <v>6.9763358766251823E-2</v>
      </c>
      <c r="AE32" s="37">
        <v>6.9763358766251823E-2</v>
      </c>
      <c r="AF32" s="37">
        <v>6.9763358766251823E-2</v>
      </c>
      <c r="AG32" s="37">
        <v>6.9763358766251823E-2</v>
      </c>
    </row>
    <row r="33" spans="2:33">
      <c r="B33" s="16" t="s">
        <v>596</v>
      </c>
      <c r="C33" s="36" t="s">
        <v>235</v>
      </c>
      <c r="D33" s="36" t="s">
        <v>235</v>
      </c>
      <c r="E33" s="36" t="s">
        <v>235</v>
      </c>
      <c r="F33" s="36" t="s">
        <v>235</v>
      </c>
      <c r="G33" s="36" t="s">
        <v>235</v>
      </c>
      <c r="H33" s="36" t="s">
        <v>235</v>
      </c>
      <c r="I33" s="36" t="s">
        <v>235</v>
      </c>
      <c r="J33" s="36" t="s">
        <v>235</v>
      </c>
      <c r="K33" s="36" t="s">
        <v>235</v>
      </c>
      <c r="L33" s="36" t="s">
        <v>235</v>
      </c>
      <c r="M33" s="36" t="s">
        <v>235</v>
      </c>
      <c r="N33" s="36" t="s">
        <v>235</v>
      </c>
      <c r="O33" s="36" t="s">
        <v>235</v>
      </c>
      <c r="P33" s="36" t="s">
        <v>235</v>
      </c>
      <c r="Q33" s="36" t="s">
        <v>235</v>
      </c>
      <c r="R33" s="36" t="s">
        <v>235</v>
      </c>
      <c r="S33" s="36" t="s">
        <v>235</v>
      </c>
      <c r="T33" s="38">
        <v>2.98E-2</v>
      </c>
      <c r="U33" s="38">
        <v>1.6799999999999999E-2</v>
      </c>
      <c r="V33" s="38">
        <v>1.83E-2</v>
      </c>
      <c r="W33" s="38">
        <v>4.0999999999999995E-2</v>
      </c>
      <c r="X33" s="38">
        <v>5.2300000000000006E-2</v>
      </c>
      <c r="Y33" s="38">
        <v>5.5599999999999997E-2</v>
      </c>
      <c r="Z33" s="38">
        <v>6.6600000000000006E-2</v>
      </c>
      <c r="AA33" s="37">
        <v>7.2926072491665689E-2</v>
      </c>
      <c r="AB33" s="37">
        <v>6.4309774641554351E-2</v>
      </c>
      <c r="AC33" s="37">
        <v>6.1888505110267715E-2</v>
      </c>
      <c r="AD33" s="37">
        <v>6.119146356718301E-2</v>
      </c>
      <c r="AE33" s="37">
        <v>6.119146356718301E-2</v>
      </c>
      <c r="AF33" s="37">
        <v>6.119146356718301E-2</v>
      </c>
      <c r="AG33" s="37">
        <v>6.119146356718301E-2</v>
      </c>
    </row>
    <row r="34" spans="2:33">
      <c r="B34" s="21" t="s">
        <v>597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spans="2:33">
      <c r="B35" s="39" t="s">
        <v>598</v>
      </c>
      <c r="C35" s="40" t="s">
        <v>235</v>
      </c>
      <c r="D35" s="40" t="s">
        <v>235</v>
      </c>
      <c r="E35" s="40">
        <v>3.2000000000000001E-2</v>
      </c>
      <c r="F35" s="40">
        <v>3.7000000000000005E-2</v>
      </c>
      <c r="G35" s="40">
        <v>3.7000000000000005E-2</v>
      </c>
      <c r="H35" s="40">
        <v>3.15073653216182E-2</v>
      </c>
      <c r="I35" s="40">
        <v>3.2378480492074396E-2</v>
      </c>
      <c r="J35" s="40">
        <v>3.3308747482959998E-2</v>
      </c>
      <c r="K35" s="40">
        <v>1.9432367228807701E-2</v>
      </c>
      <c r="L35" s="40">
        <v>2.6170881076282199E-2</v>
      </c>
      <c r="M35" s="40">
        <v>2.9428565897347402E-2</v>
      </c>
      <c r="N35" s="40">
        <v>2.1837930118834E-2</v>
      </c>
      <c r="O35" s="40">
        <v>1.7174248698826701E-2</v>
      </c>
      <c r="P35" s="40">
        <v>-5.7207907345401196E-3</v>
      </c>
      <c r="Q35" s="40">
        <v>-1.8761145372644502E-2</v>
      </c>
      <c r="R35" s="40">
        <v>-2.4857811416732E-2</v>
      </c>
      <c r="S35" s="40">
        <v>-1.6892206089228624E-2</v>
      </c>
      <c r="T35" s="40">
        <v>-1.5454563589696808E-2</v>
      </c>
      <c r="U35" s="40">
        <v>-8.1762220116021675E-3</v>
      </c>
      <c r="V35" s="40">
        <v>-9.219633395093299E-2</v>
      </c>
      <c r="W35" s="40">
        <v>6.8614946101761103E-3</v>
      </c>
      <c r="X35" s="40">
        <v>1.2336075628965239E-2</v>
      </c>
      <c r="Y35" s="40">
        <v>-2.2764887953810063E-2</v>
      </c>
      <c r="Z35" s="40">
        <v>-4.0487167455574855E-3</v>
      </c>
      <c r="AA35" s="19">
        <v>-6.1948442402248284E-3</v>
      </c>
      <c r="AB35" s="19">
        <v>-9.4333480352279103E-3</v>
      </c>
      <c r="AC35" s="19">
        <v>-6.8973207060378291E-3</v>
      </c>
      <c r="AD35" s="19">
        <v>-5.9815590715999838E-3</v>
      </c>
      <c r="AE35" s="19">
        <v>-5.9815590715999838E-3</v>
      </c>
      <c r="AF35" s="19">
        <v>-5.9815590715999838E-3</v>
      </c>
      <c r="AG35" s="19">
        <v>-5.9815590715999838E-3</v>
      </c>
    </row>
    <row r="36" spans="2:33">
      <c r="B36" s="39" t="s">
        <v>599</v>
      </c>
      <c r="C36" s="40" t="s">
        <v>235</v>
      </c>
      <c r="D36" s="40" t="s">
        <v>235</v>
      </c>
      <c r="E36" s="40" t="s">
        <v>235</v>
      </c>
      <c r="F36" s="40" t="s">
        <v>235</v>
      </c>
      <c r="G36" s="40" t="s">
        <v>235</v>
      </c>
      <c r="H36" s="40">
        <v>-3.5696839514598698E-2</v>
      </c>
      <c r="I36" s="40">
        <v>-2.73725336606261E-2</v>
      </c>
      <c r="J36" s="40">
        <v>-1.9913540252873299E-2</v>
      </c>
      <c r="K36" s="40">
        <v>-3.1875435007577099E-2</v>
      </c>
      <c r="L36" s="40">
        <v>-2.4106255204233901E-2</v>
      </c>
      <c r="M36" s="40">
        <v>-2.4669424086251199E-2</v>
      </c>
      <c r="N36" s="40">
        <v>-2.2620359102577502E-2</v>
      </c>
      <c r="O36" s="40">
        <v>-2.9550042751220702E-2</v>
      </c>
      <c r="P36" s="40">
        <v>-5.9511874696770696E-2</v>
      </c>
      <c r="Q36" s="40">
        <v>-0.102244257415259</v>
      </c>
      <c r="R36" s="40">
        <v>-8.9803173097582206E-2</v>
      </c>
      <c r="S36" s="40">
        <v>-7.7656986062181133E-2</v>
      </c>
      <c r="T36" s="40">
        <v>-6.959341842404089E-2</v>
      </c>
      <c r="U36" s="40">
        <v>-5.8079033139961149E-2</v>
      </c>
      <c r="V36" s="40">
        <v>-0.1334354209651607</v>
      </c>
      <c r="W36" s="40">
        <v>-4.2571866432834587E-2</v>
      </c>
      <c r="X36" s="40">
        <v>-4.5679322564105611E-2</v>
      </c>
      <c r="Y36" s="40">
        <v>-8.8402361511053684E-2</v>
      </c>
      <c r="Z36" s="40">
        <v>-8.4972366032466204E-2</v>
      </c>
      <c r="AA36" s="19">
        <v>-8.8251401824977857E-2</v>
      </c>
      <c r="AB36" s="19">
        <v>-9.4742150397644831E-2</v>
      </c>
      <c r="AC36" s="19">
        <v>-0.10179326734730786</v>
      </c>
      <c r="AD36" s="19">
        <v>-9.8227062564156989E-2</v>
      </c>
      <c r="AE36" s="19">
        <v>-9.8227062564156989E-2</v>
      </c>
      <c r="AF36" s="19">
        <v>-9.8227062564156989E-2</v>
      </c>
      <c r="AG36" s="19">
        <v>-9.8227062564156989E-2</v>
      </c>
    </row>
    <row r="37" spans="2:33">
      <c r="B37" s="16" t="s">
        <v>600</v>
      </c>
      <c r="C37" s="40" t="s">
        <v>235</v>
      </c>
      <c r="D37" s="40" t="s">
        <v>235</v>
      </c>
      <c r="E37" s="40">
        <v>0.54100000000000004</v>
      </c>
      <c r="F37" s="40">
        <v>0.502</v>
      </c>
      <c r="G37" s="40">
        <v>0.47899999999999998</v>
      </c>
      <c r="H37" s="40">
        <v>0.46485821992278403</v>
      </c>
      <c r="I37" s="40">
        <v>0.44545775549754901</v>
      </c>
      <c r="J37" s="40">
        <v>0.37566313321511902</v>
      </c>
      <c r="K37" s="40">
        <v>0.40884919586917595</v>
      </c>
      <c r="L37" s="40">
        <v>0.37979359383795297</v>
      </c>
      <c r="M37" s="40">
        <v>0.34491652270314299</v>
      </c>
      <c r="N37" s="40">
        <v>0.32253671689330404</v>
      </c>
      <c r="O37" s="40">
        <v>0.30590588384252998</v>
      </c>
      <c r="P37" s="40">
        <v>0.33111382800798095</v>
      </c>
      <c r="Q37" s="40">
        <v>0.36036742344724604</v>
      </c>
      <c r="R37" s="40">
        <v>0.46159547274065998</v>
      </c>
      <c r="S37" s="40">
        <v>0.51369721286391623</v>
      </c>
      <c r="T37" s="40">
        <v>0.52766460848092378</v>
      </c>
      <c r="U37" s="40">
        <v>0.54698837798440214</v>
      </c>
      <c r="V37" s="40">
        <v>0.61370702812009126</v>
      </c>
      <c r="W37" s="40">
        <v>0.55113661378912737</v>
      </c>
      <c r="X37" s="40">
        <v>0.56132920193191693</v>
      </c>
      <c r="Y37" s="40">
        <v>0.60427870399771499</v>
      </c>
      <c r="Z37" s="40">
        <v>0.61480777983974499</v>
      </c>
      <c r="AA37" s="19">
        <v>0.67375978540154291</v>
      </c>
      <c r="AB37" s="19">
        <v>0.73235813476223843</v>
      </c>
      <c r="AC37" s="19">
        <v>0.78746644091549611</v>
      </c>
      <c r="AD37" s="19">
        <v>0.83599416412134697</v>
      </c>
      <c r="AE37" s="19">
        <v>0.83599416412134697</v>
      </c>
      <c r="AF37" s="19">
        <v>0.83599416412134697</v>
      </c>
      <c r="AG37" s="19">
        <v>0.83599416412134697</v>
      </c>
    </row>
    <row r="38" spans="2:33">
      <c r="B38" s="16" t="s">
        <v>601</v>
      </c>
      <c r="C38" s="40" t="s">
        <v>235</v>
      </c>
      <c r="D38" s="40" t="s">
        <v>235</v>
      </c>
      <c r="E38" s="40" t="s">
        <v>235</v>
      </c>
      <c r="F38" s="40" t="s">
        <v>235</v>
      </c>
      <c r="G38" s="40" t="s">
        <v>235</v>
      </c>
      <c r="H38" s="40">
        <v>0.55475105726361296</v>
      </c>
      <c r="I38" s="40">
        <v>0.56717011307652498</v>
      </c>
      <c r="J38" s="40">
        <v>0.55980644387381295</v>
      </c>
      <c r="K38" s="40">
        <v>0.59207932367207694</v>
      </c>
      <c r="L38" s="40">
        <v>0.51765333582335005</v>
      </c>
      <c r="M38" s="40">
        <v>0.512661763786457</v>
      </c>
      <c r="N38" s="40">
        <v>0.53667189110830205</v>
      </c>
      <c r="O38" s="40">
        <v>0.51541505601346704</v>
      </c>
      <c r="P38" s="40">
        <v>0.56280930979222399</v>
      </c>
      <c r="Q38" s="40">
        <v>0.6545249470723159</v>
      </c>
      <c r="R38" s="40">
        <v>0.69863462180864699</v>
      </c>
      <c r="S38" s="40">
        <v>0.73717926766953923</v>
      </c>
      <c r="T38" s="40">
        <v>0.75269504977745294</v>
      </c>
      <c r="U38" s="40">
        <v>0.74435060850549495</v>
      </c>
      <c r="V38" s="40">
        <v>0.86940722081747657</v>
      </c>
      <c r="W38" s="40">
        <v>0.77305985650159537</v>
      </c>
      <c r="X38" s="40">
        <v>0.71677718048971817</v>
      </c>
      <c r="Y38" s="40">
        <v>0.73828164631582704</v>
      </c>
      <c r="Z38" s="40">
        <v>0.76496034039239358</v>
      </c>
      <c r="AA38" s="19">
        <v>0.79540567163753417</v>
      </c>
      <c r="AB38" s="19">
        <v>0.84745678751526077</v>
      </c>
      <c r="AC38" s="19">
        <v>0.90310189395468388</v>
      </c>
      <c r="AD38" s="19">
        <v>0.95445283721976315</v>
      </c>
      <c r="AE38" s="19">
        <v>0.95445283721976315</v>
      </c>
      <c r="AF38" s="19">
        <v>0.95445283721976315</v>
      </c>
      <c r="AG38" s="19">
        <v>0.95445283721976315</v>
      </c>
    </row>
    <row r="39" spans="2:33">
      <c r="B39" s="21" t="s">
        <v>602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spans="2:33">
      <c r="B40" s="41" t="s">
        <v>603</v>
      </c>
      <c r="C40" s="42">
        <v>2.3105000000000002</v>
      </c>
      <c r="D40" s="42">
        <v>3.54</v>
      </c>
      <c r="E40" s="42">
        <v>2.8914999999999997</v>
      </c>
      <c r="F40" s="42">
        <v>2.6560000000000001</v>
      </c>
      <c r="G40" s="42">
        <v>2.3355000000000001</v>
      </c>
      <c r="H40" s="42">
        <v>2.1364000000000001</v>
      </c>
      <c r="I40" s="42">
        <v>1.78</v>
      </c>
      <c r="J40" s="42">
        <v>2.3144999999999998</v>
      </c>
      <c r="K40" s="42">
        <v>1.7444999999999999</v>
      </c>
      <c r="L40" s="42">
        <v>1.6613</v>
      </c>
      <c r="M40" s="42">
        <v>1.8668</v>
      </c>
      <c r="N40" s="42">
        <v>2.0516000000000001</v>
      </c>
      <c r="O40" s="42">
        <v>2.3620999999999999</v>
      </c>
      <c r="P40" s="42">
        <v>2.6576</v>
      </c>
      <c r="Q40" s="42">
        <v>3.9578000000000002</v>
      </c>
      <c r="R40" s="42">
        <v>3.2551999999999999</v>
      </c>
      <c r="S40" s="42">
        <v>3.3125</v>
      </c>
      <c r="T40" s="42">
        <v>3.8763999999999998</v>
      </c>
      <c r="U40" s="42">
        <v>4.0309999999999997</v>
      </c>
      <c r="V40" s="42">
        <v>5.1925999999999997</v>
      </c>
      <c r="W40" s="42">
        <v>5.5698999999999996</v>
      </c>
      <c r="X40" s="42">
        <v>5.2804000000000002</v>
      </c>
      <c r="Y40" s="42">
        <v>4.8571999999999997</v>
      </c>
      <c r="Z40" s="42">
        <v>6.1773999999999996</v>
      </c>
      <c r="AA40" s="43">
        <v>5.5</v>
      </c>
      <c r="AB40" s="43">
        <v>5.5</v>
      </c>
      <c r="AC40" s="43">
        <v>5.7</v>
      </c>
      <c r="AD40" s="43">
        <v>5.75</v>
      </c>
      <c r="AE40" s="43">
        <v>5.75</v>
      </c>
      <c r="AF40" s="43">
        <v>5.75</v>
      </c>
      <c r="AG40" s="43">
        <v>5.75</v>
      </c>
    </row>
    <row r="41" spans="2:33">
      <c r="B41" s="41" t="s">
        <v>604</v>
      </c>
      <c r="C41" s="42">
        <v>2.3507822333584287</v>
      </c>
      <c r="D41" s="42">
        <v>2.921697396715603</v>
      </c>
      <c r="E41" s="42">
        <v>3.0770607382834556</v>
      </c>
      <c r="F41" s="42">
        <v>2.9261243364546079</v>
      </c>
      <c r="G41" s="42">
        <v>2.4351059884559882</v>
      </c>
      <c r="H41" s="42">
        <v>2.1750479670148692</v>
      </c>
      <c r="I41" s="42">
        <v>1.9472187596172577</v>
      </c>
      <c r="J41" s="42">
        <v>1.8360254648974215</v>
      </c>
      <c r="K41" s="42">
        <v>1.9993631764853508</v>
      </c>
      <c r="L41" s="42">
        <v>1.7602312912510192</v>
      </c>
      <c r="M41" s="42">
        <v>1.6752187327260841</v>
      </c>
      <c r="N41" s="42">
        <v>1.9548007777719991</v>
      </c>
      <c r="O41" s="42">
        <v>2.1599811758893281</v>
      </c>
      <c r="P41" s="42">
        <v>2.3541833333333329</v>
      </c>
      <c r="Q41" s="42">
        <v>3.3308666666666666</v>
      </c>
      <c r="R41" s="42">
        <v>3.4866583333333332</v>
      </c>
      <c r="S41" s="42">
        <v>3.1917583333333339</v>
      </c>
      <c r="T41" s="42">
        <v>3.6558666666666664</v>
      </c>
      <c r="U41" s="42">
        <v>3.9461500000000007</v>
      </c>
      <c r="V41" s="42">
        <v>5.1604750000000008</v>
      </c>
      <c r="W41" s="42">
        <v>5.395908333333332</v>
      </c>
      <c r="X41" s="42">
        <v>5.1652166666666668</v>
      </c>
      <c r="Y41" s="42">
        <v>4.9918333333333322</v>
      </c>
      <c r="Z41" s="42">
        <v>5.3895460944026725</v>
      </c>
      <c r="AA41" s="43">
        <v>5.6361183001093886</v>
      </c>
      <c r="AB41" s="43">
        <v>5.5</v>
      </c>
      <c r="AC41" s="43">
        <v>5.6083333333333334</v>
      </c>
      <c r="AD41" s="43">
        <v>5.7270833333333329</v>
      </c>
      <c r="AE41" s="43">
        <v>5.7270833333333329</v>
      </c>
      <c r="AF41" s="43">
        <v>5.7270833333333329</v>
      </c>
      <c r="AG41" s="43">
        <v>5.7270833333333329</v>
      </c>
    </row>
    <row r="42" spans="2:33">
      <c r="B42" s="21" t="s">
        <v>605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2:33">
      <c r="B43" s="16" t="s">
        <v>606</v>
      </c>
      <c r="C43" s="44">
        <f t="shared" ref="C43:AD43" si="2">C44-C45</f>
        <v>1.4632740609999999</v>
      </c>
      <c r="D43" s="44">
        <f t="shared" si="2"/>
        <v>11.872394550000003</v>
      </c>
      <c r="E43" s="44">
        <f t="shared" si="2"/>
        <v>23.469583537999995</v>
      </c>
      <c r="F43" s="44">
        <f t="shared" si="2"/>
        <v>31.308035700999994</v>
      </c>
      <c r="G43" s="44">
        <f t="shared" si="2"/>
        <v>43.90561985299999</v>
      </c>
      <c r="H43" s="44">
        <f t="shared" si="2"/>
        <v>45.050054339000013</v>
      </c>
      <c r="I43" s="44">
        <f t="shared" si="2"/>
        <v>37.774434713000005</v>
      </c>
      <c r="J43" s="44">
        <f t="shared" si="2"/>
        <v>21.057536550999998</v>
      </c>
      <c r="K43" s="44">
        <f t="shared" si="2"/>
        <v>22.394062663000028</v>
      </c>
      <c r="L43" s="44">
        <f t="shared" si="2"/>
        <v>17.09716997999999</v>
      </c>
      <c r="M43" s="44">
        <f t="shared" si="2"/>
        <v>25.696552806000028</v>
      </c>
      <c r="N43" s="44">
        <f t="shared" si="2"/>
        <v>14.786112088999971</v>
      </c>
      <c r="O43" s="44">
        <f t="shared" si="2"/>
        <v>-8.9566308529999787</v>
      </c>
      <c r="P43" s="44">
        <f t="shared" si="2"/>
        <v>-9.8997819579999771</v>
      </c>
      <c r="Q43" s="44">
        <f t="shared" si="2"/>
        <v>13.678095985999988</v>
      </c>
      <c r="R43" s="44">
        <f t="shared" si="2"/>
        <v>40.204771560999973</v>
      </c>
      <c r="S43" s="44">
        <f t="shared" si="2"/>
        <v>56.036664349999967</v>
      </c>
      <c r="T43" s="44">
        <f t="shared" si="2"/>
        <v>46.567539897000017</v>
      </c>
      <c r="U43" s="44">
        <f t="shared" si="2"/>
        <v>35.19884006700002</v>
      </c>
      <c r="V43" s="44">
        <f t="shared" si="2"/>
        <v>50.393416776000009</v>
      </c>
      <c r="W43" s="44">
        <f t="shared" si="2"/>
        <v>61.406528280000003</v>
      </c>
      <c r="X43" s="44">
        <f t="shared" si="2"/>
        <v>61.525351274000002</v>
      </c>
      <c r="Y43" s="44">
        <f t="shared" si="2"/>
        <v>98.838153590999951</v>
      </c>
      <c r="Z43" s="44">
        <f t="shared" si="2"/>
        <v>74.552129113999968</v>
      </c>
      <c r="AA43" s="45">
        <f t="shared" si="2"/>
        <v>65.29635514950678</v>
      </c>
      <c r="AB43" s="45">
        <f t="shared" si="2"/>
        <v>58.419578185290675</v>
      </c>
      <c r="AC43" s="45">
        <f t="shared" si="2"/>
        <v>70.675116115918968</v>
      </c>
      <c r="AD43" s="45">
        <f t="shared" si="2"/>
        <v>78.323740715222357</v>
      </c>
      <c r="AE43" s="45">
        <f>AE44-AE45</f>
        <v>78.323740715222357</v>
      </c>
      <c r="AF43" s="45">
        <f>AF44-AF45</f>
        <v>78.323740715222357</v>
      </c>
      <c r="AG43" s="45">
        <f>AG44-AG45</f>
        <v>78.323740715222357</v>
      </c>
    </row>
    <row r="44" spans="2:33">
      <c r="B44" s="46" t="s">
        <v>607</v>
      </c>
      <c r="C44" s="47">
        <v>58.032294243000003</v>
      </c>
      <c r="D44" s="47">
        <v>60.147158103000002</v>
      </c>
      <c r="E44" s="47">
        <v>72.776746689999996</v>
      </c>
      <c r="F44" s="47">
        <v>95.121672368999995</v>
      </c>
      <c r="G44" s="47">
        <v>118.59783540699999</v>
      </c>
      <c r="H44" s="47">
        <v>137.58115120900001</v>
      </c>
      <c r="I44" s="47">
        <v>159.816383833</v>
      </c>
      <c r="J44" s="47">
        <v>195.764624177</v>
      </c>
      <c r="K44" s="47">
        <v>151.79167418600002</v>
      </c>
      <c r="L44" s="47">
        <v>200.43413482599999</v>
      </c>
      <c r="M44" s="47">
        <v>253.66630950700002</v>
      </c>
      <c r="N44" s="47">
        <v>239.95253815799998</v>
      </c>
      <c r="O44" s="47">
        <v>232.54425560600001</v>
      </c>
      <c r="P44" s="47">
        <v>220.92323683800001</v>
      </c>
      <c r="Q44" s="47">
        <v>186.78235506299998</v>
      </c>
      <c r="R44" s="47">
        <v>179.52612921399998</v>
      </c>
      <c r="S44" s="47">
        <v>214.98810835299997</v>
      </c>
      <c r="T44" s="47">
        <v>231.88952339899998</v>
      </c>
      <c r="U44" s="47">
        <v>221.12680764700002</v>
      </c>
      <c r="V44" s="47">
        <v>209.180241655</v>
      </c>
      <c r="W44" s="47">
        <v>280.81457746000001</v>
      </c>
      <c r="X44" s="47">
        <v>334.13603821999999</v>
      </c>
      <c r="Y44" s="47">
        <v>339.67277781899998</v>
      </c>
      <c r="Z44" s="47">
        <v>337.03627542200002</v>
      </c>
      <c r="AA44" s="48">
        <v>338.27947103850391</v>
      </c>
      <c r="AB44" s="48">
        <v>335.42610399274849</v>
      </c>
      <c r="AC44" s="48">
        <v>367.07845668975619</v>
      </c>
      <c r="AD44" s="48">
        <v>376.53907390547647</v>
      </c>
      <c r="AE44" s="48">
        <v>376.53907390547647</v>
      </c>
      <c r="AF44" s="48">
        <v>376.53907390547647</v>
      </c>
      <c r="AG44" s="48">
        <v>376.53907390547647</v>
      </c>
    </row>
    <row r="45" spans="2:33">
      <c r="B45" s="16" t="s">
        <v>608</v>
      </c>
      <c r="C45" s="47">
        <v>56.569020182000003</v>
      </c>
      <c r="D45" s="47">
        <v>48.274763553</v>
      </c>
      <c r="E45" s="47">
        <v>49.307163152000001</v>
      </c>
      <c r="F45" s="47">
        <v>63.813636668000001</v>
      </c>
      <c r="G45" s="47">
        <v>74.692215554000001</v>
      </c>
      <c r="H45" s="47">
        <v>92.531096869999999</v>
      </c>
      <c r="I45" s="47">
        <v>122.04194912</v>
      </c>
      <c r="J45" s="47">
        <v>174.707087626</v>
      </c>
      <c r="K45" s="47">
        <v>129.39761152299999</v>
      </c>
      <c r="L45" s="47">
        <v>183.336964846</v>
      </c>
      <c r="M45" s="47">
        <v>227.96975670099999</v>
      </c>
      <c r="N45" s="47">
        <v>225.16642606900001</v>
      </c>
      <c r="O45" s="47">
        <v>241.50088645899999</v>
      </c>
      <c r="P45" s="47">
        <v>230.82301879599999</v>
      </c>
      <c r="Q45" s="47">
        <v>173.10425907699999</v>
      </c>
      <c r="R45" s="47">
        <v>139.32135765300001</v>
      </c>
      <c r="S45" s="47">
        <v>158.95144400300001</v>
      </c>
      <c r="T45" s="47">
        <v>185.32198350199997</v>
      </c>
      <c r="U45" s="47">
        <v>185.92796758</v>
      </c>
      <c r="V45" s="47">
        <v>158.78682487899999</v>
      </c>
      <c r="W45" s="47">
        <v>219.40804918000001</v>
      </c>
      <c r="X45" s="47">
        <v>272.61068694599999</v>
      </c>
      <c r="Y45" s="47">
        <v>240.83462422800002</v>
      </c>
      <c r="Z45" s="47">
        <v>262.48414630800005</v>
      </c>
      <c r="AA45" s="48">
        <v>272.98311588899713</v>
      </c>
      <c r="AB45" s="48">
        <v>277.00652580745782</v>
      </c>
      <c r="AC45" s="48">
        <v>296.40334057383723</v>
      </c>
      <c r="AD45" s="48">
        <v>298.21533319025411</v>
      </c>
      <c r="AE45" s="48">
        <v>298.21533319025411</v>
      </c>
      <c r="AF45" s="48">
        <v>298.21533319025411</v>
      </c>
      <c r="AG45" s="48">
        <v>298.21533319025411</v>
      </c>
    </row>
    <row r="46" spans="2:33">
      <c r="B46" s="16" t="s">
        <v>609</v>
      </c>
      <c r="C46" s="40">
        <v>-4.4481277675291392E-2</v>
      </c>
      <c r="D46" s="40">
        <v>-1.8514120730035864E-2</v>
      </c>
      <c r="E46" s="40">
        <v>3.9201255099448632E-3</v>
      </c>
      <c r="F46" s="40">
        <v>1.338529501336088E-2</v>
      </c>
      <c r="G46" s="40">
        <v>1.3092985284308535E-2</v>
      </c>
      <c r="H46" s="40">
        <v>9.731458991268125E-3</v>
      </c>
      <c r="I46" s="40">
        <v>-1.9714176043610083E-3</v>
      </c>
      <c r="J46" s="40">
        <v>-2.102695608405112E-2</v>
      </c>
      <c r="K46" s="40">
        <v>-1.7534374467448169E-2</v>
      </c>
      <c r="L46" s="40">
        <v>-3.9243235135655564E-2</v>
      </c>
      <c r="M46" s="40">
        <v>-3.1966640422219403E-2</v>
      </c>
      <c r="N46" s="40">
        <v>-3.7619779974488017E-2</v>
      </c>
      <c r="O46" s="40">
        <v>-3.5805390127711431E-2</v>
      </c>
      <c r="P46" s="40">
        <v>-4.5010253738871998E-2</v>
      </c>
      <c r="Q46" s="40">
        <v>-3.5302312547721031E-2</v>
      </c>
      <c r="R46" s="40">
        <v>-1.6959196074747773E-2</v>
      </c>
      <c r="S46" s="40">
        <v>-1.2244950671030468E-2</v>
      </c>
      <c r="T46" s="40">
        <v>-2.808576302372701E-2</v>
      </c>
      <c r="U46" s="40">
        <v>-3.470800353380233E-2</v>
      </c>
      <c r="V46" s="40">
        <v>-1.68844946477399E-2</v>
      </c>
      <c r="W46" s="40">
        <v>-2.4189892418890708E-2</v>
      </c>
      <c r="X46" s="40">
        <v>-2.1601460710324809E-2</v>
      </c>
      <c r="Y46" s="40">
        <v>-1.2748926073523339E-2</v>
      </c>
      <c r="Z46" s="40">
        <v>-2.6574468872896634E-2</v>
      </c>
      <c r="AA46" s="19">
        <v>-0.03</v>
      </c>
      <c r="AB46" s="19">
        <v>-3.1E-2</v>
      </c>
      <c r="AC46" s="19">
        <v>-2.993122886080684E-2</v>
      </c>
      <c r="AD46" s="19">
        <v>-2.9073234003915035E-2</v>
      </c>
      <c r="AE46" s="19">
        <v>-2.9073234003915035E-2</v>
      </c>
      <c r="AF46" s="19">
        <v>-2.9073234003915035E-2</v>
      </c>
      <c r="AG46" s="19">
        <v>-2.9073234003915035E-2</v>
      </c>
    </row>
    <row r="47" spans="2:33" ht="15" thickBot="1">
      <c r="B47" s="49" t="s">
        <v>610</v>
      </c>
      <c r="C47" s="50">
        <v>4.1496224988979688E-2</v>
      </c>
      <c r="D47" s="50">
        <v>3.2550656375913693E-2</v>
      </c>
      <c r="E47" s="50">
        <v>1.81315578384426E-2</v>
      </c>
      <c r="F47" s="50">
        <v>2.7144659607659549E-2</v>
      </c>
      <c r="G47" s="50">
        <v>1.7344039109111233E-2</v>
      </c>
      <c r="H47" s="50">
        <v>1.7529007700273189E-2</v>
      </c>
      <c r="I47" s="50">
        <v>3.1910893917023231E-2</v>
      </c>
      <c r="J47" s="50">
        <v>2.9942927853072218E-2</v>
      </c>
      <c r="K47" s="50">
        <v>1.8884212156662545E-2</v>
      </c>
      <c r="L47" s="50">
        <v>3.7321422385995937E-2</v>
      </c>
      <c r="M47" s="50">
        <v>3.9207731746105527E-2</v>
      </c>
      <c r="N47" s="50">
        <v>3.7582923653028566E-2</v>
      </c>
      <c r="O47" s="50">
        <v>3.0469995537709637E-2</v>
      </c>
      <c r="P47" s="50">
        <v>3.5732216093521806E-2</v>
      </c>
      <c r="Q47" s="50">
        <v>3.5964279174056778E-2</v>
      </c>
      <c r="R47" s="50">
        <v>4.1318626886891925E-2</v>
      </c>
      <c r="S47" s="50">
        <v>3.3386461478526669E-2</v>
      </c>
      <c r="T47" s="50">
        <v>4.0797650789927975E-2</v>
      </c>
      <c r="U47" s="50">
        <v>3.6942450328840803E-2</v>
      </c>
      <c r="V47" s="50">
        <v>3.0287338194280145E-2</v>
      </c>
      <c r="W47" s="50">
        <v>2.7781424956094421E-2</v>
      </c>
      <c r="X47" s="50">
        <v>4.7412603335001378E-2</v>
      </c>
      <c r="Y47" s="50">
        <v>2.8281452786887321E-2</v>
      </c>
      <c r="Z47" s="50">
        <v>3.2122398827266571E-2</v>
      </c>
      <c r="AA47" s="51">
        <v>3.7973760941399461E-2</v>
      </c>
      <c r="AB47" s="51">
        <v>3.7782545100598912E-2</v>
      </c>
      <c r="AC47" s="51">
        <v>4.1602922476031548E-2</v>
      </c>
      <c r="AD47" s="51">
        <v>4.0750131424583856E-2</v>
      </c>
      <c r="AE47" s="51">
        <v>4.0750131424583856E-2</v>
      </c>
      <c r="AF47" s="51">
        <v>4.0750131424583856E-2</v>
      </c>
      <c r="AG47" s="51">
        <v>4.0750131424583856E-2</v>
      </c>
    </row>
    <row r="48" spans="2:33" ht="15" thickTop="1">
      <c r="B48" s="3" t="s">
        <v>611</v>
      </c>
      <c r="C48" s="40">
        <v>6.9000000000000006E-2</v>
      </c>
      <c r="D48" s="40">
        <v>6.4000000000000001E-2</v>
      </c>
      <c r="E48" s="40">
        <v>0.09</v>
      </c>
      <c r="F48" s="40">
        <v>6.0999999999999999E-2</v>
      </c>
      <c r="G48" s="40">
        <v>5.4000000000000006E-2</v>
      </c>
      <c r="H48" s="40">
        <v>4.2000000000000003E-2</v>
      </c>
      <c r="I48" s="40">
        <v>4.2000000000000003E-2</v>
      </c>
      <c r="J48" s="40">
        <v>6.5000000000000002E-2</v>
      </c>
      <c r="K48" s="40">
        <v>4.5999999999999999E-2</v>
      </c>
      <c r="L48" s="40">
        <v>4.2000000000000003E-2</v>
      </c>
      <c r="M48" s="40">
        <v>5.0999999999999997E-2</v>
      </c>
      <c r="N48" s="40">
        <v>4.5999999999999999E-2</v>
      </c>
      <c r="O48" s="40">
        <v>4.4999999999999998E-2</v>
      </c>
      <c r="P48" s="40">
        <v>4.8000000000000001E-2</v>
      </c>
      <c r="Q48" s="40">
        <v>5.2999999999999999E-2</v>
      </c>
      <c r="R48" s="40">
        <v>5.4000000000000006E-2</v>
      </c>
      <c r="S48" s="40">
        <v>6.3E-2</v>
      </c>
      <c r="T48" s="40">
        <v>6.7000000000000004E-2</v>
      </c>
      <c r="U48" s="40">
        <v>7.5999999999999998E-2</v>
      </c>
      <c r="V48" s="40">
        <v>6.5000000000000002E-2</v>
      </c>
      <c r="W48" s="40">
        <v>9.9000000000000005E-2</v>
      </c>
      <c r="X48" s="40">
        <v>0.14199999999999999</v>
      </c>
      <c r="Y48" s="40">
        <v>0.14800000000000002</v>
      </c>
      <c r="Z48" s="40">
        <v>0.16600000000000001</v>
      </c>
      <c r="AA48" s="40">
        <v>7.2000000000000008E-2</v>
      </c>
      <c r="AB48" s="40">
        <v>4.8000000000000001E-2</v>
      </c>
      <c r="AC48" s="40">
        <v>3.9E-2</v>
      </c>
      <c r="AD48" s="40">
        <v>3.6000000000000004E-2</v>
      </c>
      <c r="AE48" s="40">
        <v>3.6000000000000004E-2</v>
      </c>
      <c r="AF48" s="40">
        <v>3.6000000000000004E-2</v>
      </c>
      <c r="AG48" s="40">
        <v>3.6000000000000004E-2</v>
      </c>
    </row>
    <row r="49" spans="2:33">
      <c r="B49" s="3" t="s">
        <v>612</v>
      </c>
      <c r="C49" s="52"/>
      <c r="D49" s="52"/>
      <c r="E49" s="52"/>
      <c r="F49" s="52"/>
      <c r="G49" s="52"/>
      <c r="H49" s="53"/>
      <c r="I49" s="53"/>
      <c r="J49" s="54"/>
      <c r="K49" s="55"/>
      <c r="L49" s="55"/>
      <c r="M49" s="55"/>
      <c r="N49" s="55"/>
      <c r="O49" s="55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6"/>
      <c r="AA49" s="57">
        <v>0.29272237196765494</v>
      </c>
      <c r="AB49" s="57">
        <v>0.30569948186528501</v>
      </c>
      <c r="AC49" s="57">
        <v>0.31631135349528999</v>
      </c>
      <c r="AD49" s="57">
        <v>0.3265402843601895</v>
      </c>
      <c r="AE49" s="57">
        <v>0.3265402843601895</v>
      </c>
      <c r="AF49" s="57">
        <v>0.3265402843601895</v>
      </c>
      <c r="AG49" s="57">
        <v>0.3265402843601895</v>
      </c>
    </row>
    <row r="50" spans="2:33">
      <c r="B50" s="58" t="s">
        <v>613</v>
      </c>
      <c r="C50" s="59"/>
      <c r="D50" s="59"/>
      <c r="E50" s="59"/>
      <c r="F50" s="59"/>
      <c r="G50" s="59"/>
      <c r="H50" s="60"/>
      <c r="I50" s="60"/>
      <c r="J50" s="61"/>
      <c r="K50" s="62"/>
      <c r="L50" s="62"/>
      <c r="M50" s="62"/>
      <c r="N50" s="62"/>
      <c r="O50" s="62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63"/>
      <c r="AA50" s="64">
        <v>5.0999999999999997E-2</v>
      </c>
      <c r="AB50" s="64">
        <v>4.2000000000000003E-2</v>
      </c>
      <c r="AC50" s="64">
        <v>0.04</v>
      </c>
      <c r="AD50" s="65">
        <v>0.04</v>
      </c>
      <c r="AE50" s="65">
        <v>0.04</v>
      </c>
      <c r="AF50" s="65">
        <v>0.04</v>
      </c>
      <c r="AG50" s="65">
        <v>0.04</v>
      </c>
    </row>
    <row r="51" spans="2:33">
      <c r="B51" s="3" t="s">
        <v>614</v>
      </c>
      <c r="AE51" s="35"/>
      <c r="AF51" s="35"/>
    </row>
  </sheetData>
  <mergeCells count="2">
    <mergeCell ref="T1:V1"/>
    <mergeCell ref="W1:X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302F42447F04488514221A4289208E" ma:contentTypeVersion="6" ma:contentTypeDescription="Crie um novo documento." ma:contentTypeScope="" ma:versionID="ebe83642928ee20df75d7efe31eef3b2">
  <xsd:schema xmlns:xsd="http://www.w3.org/2001/XMLSchema" xmlns:xs="http://www.w3.org/2001/XMLSchema" xmlns:p="http://schemas.microsoft.com/office/2006/metadata/properties" xmlns:ns3="827dcc01-6ae9-4710-b0d0-e8b2583e6a93" targetNamespace="http://schemas.microsoft.com/office/2006/metadata/properties" ma:root="true" ma:fieldsID="04ff25ab99c9a809a75fe684be32b0fc" ns3:_="">
    <xsd:import namespace="827dcc01-6ae9-4710-b0d0-e8b2583e6a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dcc01-6ae9-4710-b0d0-e8b2583e6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7dcc01-6ae9-4710-b0d0-e8b2583e6a93" xsi:nil="true"/>
  </documentManagement>
</p:properties>
</file>

<file path=customXml/itemProps1.xml><?xml version="1.0" encoding="utf-8"?>
<ds:datastoreItem xmlns:ds="http://schemas.openxmlformats.org/officeDocument/2006/customXml" ds:itemID="{618931DB-0A28-4330-93FB-FB17BE0746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420AA1-1C8D-4DD2-AB60-4ED20848AC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7dcc01-6ae9-4710-b0d0-e8b2583e6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1BFBC-82BA-4A95-A1FB-C416D7D7E064}">
  <ds:schemaRefs>
    <ds:schemaRef ds:uri="http://schemas.microsoft.com/office/2006/metadata/properties"/>
    <ds:schemaRef ds:uri="http://schemas.microsoft.com/office/infopath/2007/PartnerControls"/>
    <ds:schemaRef ds:uri="827dcc01-6ae9-4710-b0d0-e8b2583e6a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To do list</vt:lpstr>
      <vt:lpstr>Model </vt:lpstr>
      <vt:lpstr>Build-Up</vt:lpstr>
      <vt:lpstr>Unit Economics</vt:lpstr>
      <vt:lpstr>D@G</vt:lpstr>
      <vt:lpstr>AVP</vt:lpstr>
      <vt:lpstr>Macro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RAMCKE DA ROCHA E SILVA MANDETTA</dc:creator>
  <cp:keywords/>
  <dc:description/>
  <cp:lastModifiedBy>Eduardo Lima</cp:lastModifiedBy>
  <cp:revision/>
  <dcterms:created xsi:type="dcterms:W3CDTF">2025-10-29T10:28:53Z</dcterms:created>
  <dcterms:modified xsi:type="dcterms:W3CDTF">2026-04-02T20:49:05Z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0x0101008E302F42447F04488514221A4289208E</vt:lpwstr>
  </property>
</Properties>
</file>